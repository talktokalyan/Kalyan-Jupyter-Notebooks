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0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4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8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0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1.xml" ContentType="application/vnd.openxmlformats-officedocument.drawing+xml"/>
  <Override PartName="/xl/charts/chart29.xml" ContentType="application/vnd.openxmlformats-officedocument.drawingml.chart+xml"/>
  <Override PartName="/xl/drawings/drawing22.xml" ContentType="application/vnd.openxmlformats-officedocument.drawing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3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4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5.xml" ContentType="application/vnd.openxmlformats-officedocument.drawing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6.xml" ContentType="application/vnd.openxmlformats-officedocument.drawing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7.xml" ContentType="application/vnd.openxmlformats-officedocument.drawing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8.xml" ContentType="application/vnd.openxmlformats-officedocument.drawing+xml"/>
  <Override PartName="/xl/charts/chartEx1.xml" ContentType="application/vnd.ms-office.chartex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29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0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112" documentId="8_{28FFCAC0-0054-E748-A16F-43803246E076}" xr6:coauthVersionLast="47" xr6:coauthVersionMax="47" xr10:uidLastSave="{7DF04816-0F63-7E46-94A8-6AD4E658C595}"/>
  <bookViews>
    <workbookView xWindow="0" yWindow="680" windowWidth="29400" windowHeight="16340" activeTab="2" xr2:uid="{76B7034E-9A87-8443-BB0E-07AC5642BFDE}"/>
  </bookViews>
  <sheets>
    <sheet name="Savings-Rates-India" sheetId="50" r:id="rId1"/>
    <sheet name="Savings-Rates-Institutions" sheetId="49" r:id="rId2"/>
    <sheet name="GCF-Financing" sheetId="8" r:id="rId3"/>
    <sheet name="RBI-Rates" sheetId="48" r:id="rId4"/>
    <sheet name="WPI-Inflation" sheetId="47" r:id="rId5"/>
    <sheet name="CPI-Level" sheetId="46" r:id="rId6"/>
    <sheet name="CPI-Inflation" sheetId="45" r:id="rId7"/>
    <sheet name="REER-CPI" sheetId="43" r:id="rId8"/>
    <sheet name="Textile-Apparel-Imports" sheetId="42" r:id="rId9"/>
    <sheet name="Textile-Apparel-Exports" sheetId="41" r:id="rId10"/>
    <sheet name="Trade Balance" sheetId="40" r:id="rId11"/>
    <sheet name="WPI-Textiles" sheetId="39" r:id="rId12"/>
    <sheet name="Inflation-Clothing" sheetId="38" r:id="rId13"/>
    <sheet name="InstitutionalCredit-Industry" sheetId="37" r:id="rId14"/>
    <sheet name="GDP growth rate" sheetId="28" r:id="rId15"/>
    <sheet name="country-code" sheetId="30" r:id="rId16"/>
    <sheet name="GDP-Per Cap" sheetId="29" r:id="rId17"/>
    <sheet name="GDP-10-ConstUSD" sheetId="27" r:id="rId18"/>
    <sheet name="IIP" sheetId="16" r:id="rId19"/>
    <sheet name="ASI-Tex-Apparel" sheetId="35" r:id="rId20"/>
    <sheet name="IIP-Textiles-Apparel" sheetId="32" r:id="rId21"/>
    <sheet name="OBICUS-Order-Books" sheetId="34" r:id="rId22"/>
    <sheet name="OBICUS-Survey" sheetId="17" r:id="rId23"/>
    <sheet name="RCA - Textiles" sheetId="36" r:id="rId24"/>
    <sheet name="BOP-FinAcct" sheetId="25" r:id="rId25"/>
    <sheet name="Unemp-rate" sheetId="24" r:id="rId26"/>
    <sheet name="LFPR" sheetId="23" r:id="rId27"/>
    <sheet name="Corp-Gov-vs-Pvt" sheetId="20" r:id="rId28"/>
    <sheet name="Corporate-Pvt-Perf" sheetId="21" r:id="rId29"/>
    <sheet name="Corporate-Gov-Perf" sheetId="19" r:id="rId30"/>
    <sheet name="Corp-Fin-Perf" sheetId="18" r:id="rId31"/>
    <sheet name="CG-Tax-Rev" sheetId="15" r:id="rId32"/>
    <sheet name="CG-Deficit-Financing" sheetId="14" r:id="rId33"/>
    <sheet name="Power SourcesCoal_x000a__x000a_203,775_x000a__x000a_49." sheetId="31" r:id="rId34"/>
    <sheet name="C-GOVT-FINANCES" sheetId="13" r:id="rId35"/>
    <sheet name="House-Price-Index" sheetId="11" r:id="rId36"/>
    <sheet name="WPI" sheetId="10" r:id="rId37"/>
    <sheet name="GCF-Public &amp; Private" sheetId="7" r:id="rId38"/>
    <sheet name="GVA" sheetId="6" r:id="rId39"/>
    <sheet name="GDP-Nominal" sheetId="4" r:id="rId40"/>
    <sheet name="GDp-Components" sheetId="5" r:id="rId41"/>
    <sheet name="CPI" sheetId="2" r:id="rId42"/>
    <sheet name="GDP Projection" sheetId="3" r:id="rId43"/>
  </sheets>
  <externalReferences>
    <externalReference r:id="rId44"/>
  </externalReferences>
  <definedNames>
    <definedName name="_xlnm._FilterDatabase" localSheetId="37" hidden="1">'GCF-Public &amp; Private'!$AC$1:$AC$34</definedName>
    <definedName name="_xlnm._FilterDatabase" localSheetId="38" hidden="1">GVA!$BK$1:$BK$29</definedName>
    <definedName name="_xlchart.v1.0" hidden="1">'Savings-Rates-Institutions'!$A$63</definedName>
    <definedName name="_xlchart.v1.1" hidden="1">'Savings-Rates-Institutions'!$B$3,'Savings-Rates-Institutions'!$D$3,'Savings-Rates-Institutions'!$E$3,'Savings-Rates-Institutions'!$F$3,'Savings-Rates-Institutions'!$G$3,'Savings-Rates-Institutions'!$H$3</definedName>
    <definedName name="_xlchart.v1.10" hidden="1">'GCF-Financing'!$B$7:$N$7</definedName>
    <definedName name="_xlchart.v1.11" hidden="1">'GCF-Financing'!$A$12</definedName>
    <definedName name="_xlchart.v1.12" hidden="1">'GCF-Financing'!$A$17</definedName>
    <definedName name="_xlchart.v1.13" hidden="1">'GCF-Financing'!$A$18</definedName>
    <definedName name="_xlchart.v1.14" hidden="1">'GCF-Financing'!$A$7</definedName>
    <definedName name="_xlchart.v1.15" hidden="1">'GCF-Financing'!$B$12:$N$12</definedName>
    <definedName name="_xlchart.v1.16" hidden="1">'GCF-Financing'!$B$17:$N$17</definedName>
    <definedName name="_xlchart.v1.17" hidden="1">'GCF-Financing'!$B$18:$N$18</definedName>
    <definedName name="_xlchart.v1.18" hidden="1">'GCF-Financing'!$B$7:$N$7</definedName>
    <definedName name="_xlchart.v1.19" hidden="1">'GDp-Components'!$A$1:$D$10</definedName>
    <definedName name="_xlchart.v1.2" hidden="1">'Savings-Rates-Institutions'!$B$63,'Savings-Rates-Institutions'!$D$63,'Savings-Rates-Institutions'!$E$63,'Savings-Rates-Institutions'!$F$63,'Savings-Rates-Institutions'!$G$63,'Savings-Rates-Institutions'!$H$63</definedName>
    <definedName name="_xlchart.v1.20" hidden="1">'GDp-Components'!$E$1:$E$10</definedName>
    <definedName name="_xlchart.v1.3" hidden="1">'GCF-Financing'!$A$12</definedName>
    <definedName name="_xlchart.v1.4" hidden="1">'GCF-Financing'!$A$17</definedName>
    <definedName name="_xlchart.v1.5" hidden="1">'GCF-Financing'!$A$18</definedName>
    <definedName name="_xlchart.v1.6" hidden="1">'GCF-Financing'!$A$7</definedName>
    <definedName name="_xlchart.v1.7" hidden="1">'GCF-Financing'!$B$12:$N$12</definedName>
    <definedName name="_xlchart.v1.8" hidden="1">'GCF-Financing'!$B$17:$N$17</definedName>
    <definedName name="_xlchart.v1.9" hidden="1">'GCF-Financing'!$B$18:$N$18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25" i="8" l="1"/>
  <c r="I1" i="8"/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<sst xmlns="http://schemas.openxmlformats.org/spreadsheetml/2006/main" count="4112" uniqueCount="1428">
  <si>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</si>
  <si>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</si>
  <si>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</si>
  <si>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</si>
  <si>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</si>
  <si>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</si>
  <si>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</si>
  <si>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</si>
  <si>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</si>
  <si>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</si>
  <si>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</si>
  <si>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</si>
  <si>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</si>
  <si>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</si>
  <si>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</si>
  <si>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</si>
  <si>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</si>
  <si>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</si>
  <si>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</si>
  <si>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</si>
  <si>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</si>
  <si>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</si>
  <si>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</si>
  <si>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</si>
  <si>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</si>
  <si>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</si>
  <si>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</si>
  <si>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</si>
  <si>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</si>
  <si>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</si>
  <si>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</si>
  <si>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</si>
  <si>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</si>
  <si>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</si>
  <si>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</si>
  <si>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</si>
  <si>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</si>
  <si>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</si>
  <si>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</si>
  <si>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</si>
  <si>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</si>
  <si>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</si>
  <si>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</si>
  <si>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</si>
  <si>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</si>
  <si>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</si>
  <si>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</si>
  <si>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</si>
  <si>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</si>
  <si>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</si>
  <si>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</si>
  <si>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</si>
  <si>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</si>
  <si>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</si>
  <si>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</si>
  <si>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</si>
  <si>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</si>
  <si>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</si>
  <si>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</si>
  <si>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</si>
  <si>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</si>
  <si>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</si>
  <si>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</si>
  <si>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</si>
  <si>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</si>
  <si>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</si>
  <si>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</si>
  <si>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</si>
  <si>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</si>
  <si>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</si>
  <si>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</si>
  <si>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</si>
  <si>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</si>
  <si>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</si>
  <si>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</si>
  <si>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</si>
  <si>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</si>
  <si>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</si>
  <si>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</si>
  <si>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</si>
  <si>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</si>
  <si>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</si>
  <si>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</si>
  <si>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</si>
  <si>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</si>
  <si>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</si>
  <si>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</si>
  <si>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</si>
  <si>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</si>
  <si>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</si>
  <si>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</si>
  <si>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</si>
  <si>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</si>
  <si>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</si>
  <si>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</si>
  <si>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</si>
  <si>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</si>
  <si>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</si>
  <si>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</si>
  <si>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</si>
  <si>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</si>
  <si>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</si>
  <si>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</si>
  <si>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</si>
  <si>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</si>
  <si>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</si>
  <si>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</si>
  <si>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</si>
  <si>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</si>
  <si>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</si>
  <si>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</si>
  <si>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</si>
  <si>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</si>
  <si>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</si>
  <si>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</si>
  <si>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</si>
  <si>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</si>
  <si>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</si>
  <si>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</si>
  <si>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</si>
  <si>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</si>
  <si>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</si>
  <si>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</si>
  <si>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</si>
  <si>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</si>
  <si>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</si>
  <si>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</si>
  <si>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</si>
  <si>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</si>
  <si>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</si>
  <si>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</si>
  <si>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</si>
  <si>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</si>
  <si>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</si>
  <si>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</si>
  <si>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</si>
  <si>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</si>
  <si>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</si>
  <si>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</si>
  <si>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</si>
  <si>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</si>
  <si>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</si>
  <si>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</si>
  <si>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</si>
  <si>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</si>
  <si>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</si>
  <si>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</si>
  <si>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</si>
  <si>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</si>
  <si>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</si>
  <si>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</si>
  <si>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</si>
  <si>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</si>
  <si>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</si>
  <si>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</si>
  <si>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</si>
  <si>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</si>
  <si>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</si>
  <si>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</si>
  <si>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</si>
  <si>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</si>
  <si>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</si>
  <si>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</si>
  <si>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</si>
  <si>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</si>
  <si>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</si>
  <si>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</si>
  <si>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</si>
  <si>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</si>
  <si>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</si>
  <si>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</si>
  <si>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</si>
  <si>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</si>
  <si>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</si>
  <si>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</si>
  <si>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</si>
  <si>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</si>
  <si>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</si>
  <si>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</si>
  <si>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</si>
  <si>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</si>
  <si>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</si>
  <si>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</si>
  <si>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</si>
  <si>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</si>
  <si>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</si>
  <si>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</si>
  <si>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</si>
  <si>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</si>
  <si>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</si>
  <si>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</si>
  <si>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</si>
  <si>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</si>
  <si>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</si>
  <si>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</si>
  <si>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</si>
  <si>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</si>
  <si>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</si>
  <si>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</si>
  <si>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</si>
  <si>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</si>
  <si>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</si>
  <si>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</si>
  <si>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</si>
  <si>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</si>
  <si>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</si>
  <si>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</si>
  <si>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</si>
  <si>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</si>
  <si>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</si>
  <si>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</si>
  <si>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</si>
  <si>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</si>
  <si>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</si>
  <si>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</si>
  <si>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</si>
  <si>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</si>
  <si>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</si>
  <si>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</si>
  <si>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</si>
  <si>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</si>
  <si>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</si>
  <si>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</si>
  <si>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</si>
  <si>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</si>
  <si>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</si>
  <si>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</si>
  <si>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</si>
  <si>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</si>
  <si>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</si>
  <si>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</si>
  <si>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</si>
  <si>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</si>
  <si>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</si>
  <si>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</si>
  <si>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</si>
  <si>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</si>
  <si>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</si>
  <si>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</si>
  <si>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</si>
  <si>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</si>
  <si>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</si>
  <si>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</si>
  <si>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</si>
  <si>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</si>
  <si>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</si>
  <si>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</si>
  <si>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</si>
  <si>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</si>
  <si>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</si>
  <si>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</si>
  <si>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</si>
  <si>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</si>
  <si>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</si>
  <si>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</si>
  <si>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</si>
  <si>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</si>
  <si>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</si>
  <si>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</si>
  <si>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</si>
  <si>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</si>
  <si>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</si>
  <si>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</si>
  <si>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</si>
  <si>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</si>
  <si>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</si>
  <si>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</si>
  <si>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</si>
  <si>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</si>
  <si>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</si>
  <si>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</si>
  <si>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</si>
  <si>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</si>
  <si>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</si>
  <si>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</si>
  <si>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</si>
  <si>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</si>
  <si>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</si>
  <si>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</si>
  <si>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</si>
  <si>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</si>
  <si>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</si>
  <si>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</si>
  <si>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</si>
  <si>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</si>
  <si>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</si>
  <si>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</si>
  <si>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</si>
  <si>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</si>
  <si>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</si>
  <si>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</si>
  <si>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</si>
  <si>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</si>
  <si>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</si>
  <si>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</si>
  <si>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</si>
  <si>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</si>
  <si>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</si>
  <si>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</si>
  <si>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</si>
  <si>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</si>
  <si>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</si>
  <si>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</si>
  <si>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</si>
  <si>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</si>
  <si>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</si>
  <si>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</si>
  <si>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</si>
  <si>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</si>
  <si>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</si>
  <si>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</si>
  <si>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</si>
  <si>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</si>
  <si>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</si>
  <si>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</si>
  <si>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</si>
  <si>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</si>
  <si>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</si>
  <si>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</si>
  <si>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</si>
  <si>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</si>
  <si>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</si>
  <si>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</si>
  <si>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</si>
  <si>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</si>
  <si>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</si>
  <si>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</si>
  <si>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</si>
  <si>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</si>
  <si>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</si>
  <si>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</si>
  <si>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</si>
  <si>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</si>
  <si>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</si>
  <si>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</si>
  <si>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</si>
  <si>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</si>
  <si>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</si>
  <si>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</si>
  <si>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</si>
  <si>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</si>
  <si>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</si>
  <si>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</si>
  <si>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</si>
  <si>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</si>
  <si>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</si>
  <si>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</si>
  <si>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</si>
  <si>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</si>
  <si>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</si>
  <si>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</si>
  <si>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</si>
  <si>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</si>
  <si>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</si>
  <si>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</si>
  <si>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</si>
  <si>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</si>
  <si>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</si>
  <si>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</si>
  <si>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</si>
  <si>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</si>
  <si>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</si>
  <si>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</si>
  <si>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</si>
  <si>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</si>
  <si>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</si>
  <si>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</si>
  <si>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</si>
  <si>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</si>
  <si>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</si>
  <si>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</si>
  <si>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</si>
  <si>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</si>
  <si>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</si>
  <si>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</si>
  <si>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</si>
  <si>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</si>
  <si>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</si>
  <si>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</si>
  <si>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</si>
  <si>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</si>
  <si>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</si>
  <si>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</si>
  <si>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</si>
  <si>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</si>
  <si>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</si>
  <si>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</si>
  <si>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</si>
  <si>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</si>
  <si>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</si>
  <si>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</si>
  <si>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</si>
  <si>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</si>
  <si>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</si>
  <si>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</si>
  <si>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</si>
  <si>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</si>
  <si>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</si>
  <si>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</si>
  <si>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</si>
  <si>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</si>
  <si>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</si>
  <si>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</si>
  <si>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</si>
  <si>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</si>
  <si>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</si>
  <si>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</si>
  <si>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</si>
  <si>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</si>
  <si>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</si>
  <si>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</si>
  <si>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</si>
  <si>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</si>
  <si>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</si>
  <si>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</si>
  <si>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</si>
  <si>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</si>
  <si>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</si>
  <si>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</si>
  <si>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</si>
  <si>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</si>
  <si>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</si>
  <si>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</si>
  <si>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</si>
  <si>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</si>
  <si>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</si>
  <si>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</si>
  <si>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</si>
  <si>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</si>
  <si>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</si>
  <si>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</si>
  <si>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</si>
  <si>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</si>
  <si>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</si>
  <si>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</si>
  <si>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</si>
  <si>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</si>
  <si>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</si>
  <si>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</si>
  <si>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</si>
  <si>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</si>
  <si>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</si>
  <si>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</si>
  <si>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</si>
  <si>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</si>
  <si>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</si>
  <si>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</si>
  <si>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</si>
  <si>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</si>
  <si>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</si>
  <si>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</si>
  <si>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</si>
  <si>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</si>
  <si>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</si>
  <si>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</si>
  <si>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</si>
  <si>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</si>
  <si>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</si>
  <si>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</si>
  <si>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</si>
  <si>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</si>
  <si>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</si>
  <si>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</si>
  <si>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</si>
  <si>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</si>
  <si>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</si>
  <si>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</si>
  <si>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</si>
  <si>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</si>
  <si>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</si>
  <si>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</si>
  <si>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</si>
  <si>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</si>
  <si>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</si>
  <si>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</si>
  <si>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</si>
  <si>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</si>
  <si>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</si>
  <si>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</si>
  <si>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</si>
  <si>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</si>
  <si>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</si>
  <si>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</si>
  <si>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</si>
  <si>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</si>
  <si>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</si>
  <si>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</si>
  <si>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</si>
  <si>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</si>
  <si>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</si>
  <si>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</si>
  <si>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</si>
  <si>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</si>
  <si>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</si>
  <si>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</si>
  <si>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</si>
  <si>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</si>
  <si>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</si>
  <si>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</si>
  <si>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</si>
  <si>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</si>
  <si>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</si>
  <si>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</si>
  <si>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</si>
  <si>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</si>
  <si>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</si>
  <si>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</si>
  <si>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</si>
  <si>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</si>
  <si>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</si>
  <si>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</si>
  <si>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</si>
  <si>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</si>
  <si>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</si>
  <si>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</si>
  <si>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</si>
  <si>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</si>
  <si>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</si>
  <si>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</si>
  <si>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</si>
  <si>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</si>
  <si>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</si>
  <si>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</si>
  <si>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</si>
  <si>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</si>
  <si>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</si>
  <si>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</si>
  <si>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</si>
  <si>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</si>
  <si>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</si>
  <si>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</si>
  <si>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</si>
  <si>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</si>
  <si>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</si>
  <si>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</si>
  <si>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</si>
  <si>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</si>
  <si>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</si>
  <si>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</si>
  <si>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</si>
  <si>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</si>
  <si>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</si>
  <si>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</si>
  <si>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</si>
  <si>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</si>
  <si>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</si>
  <si>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</si>
  <si>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</si>
  <si>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</si>
  <si>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</si>
  <si>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</si>
  <si>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</si>
  <si>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</si>
  <si>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</si>
  <si>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</si>
  <si>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</si>
  <si>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</si>
  <si>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</si>
  <si>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</si>
  <si>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</si>
  <si>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</si>
  <si>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</si>
  <si>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</si>
  <si>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</si>
  <si>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</si>
  <si>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</si>
  <si>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</si>
  <si>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</si>
  <si>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</si>
  <si>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</si>
  <si>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</si>
  <si>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</si>
  <si>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</si>
  <si>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</si>
  <si>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</si>
  <si>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</si>
  <si>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</si>
  <si>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</si>
  <si>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</si>
  <si>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</si>
  <si>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</si>
  <si>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</si>
  <si>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</si>
  <si>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</si>
  <si>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</si>
  <si>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</si>
  <si>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</si>
  <si>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</si>
  <si>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</si>
  <si>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</si>
  <si>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</si>
  <si>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</si>
  <si>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</si>
  <si>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</si>
  <si>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</si>
  <si>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</si>
  <si>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</si>
  <si>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</si>
  <si>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</si>
  <si>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</si>
  <si>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</si>
  <si>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</si>
  <si>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</si>
  <si>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</si>
  <si>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</si>
  <si>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</si>
  <si>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</si>
  <si>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</si>
  <si>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</si>
  <si>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</si>
  <si>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</si>
  <si>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</si>
  <si>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</si>
  <si>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</si>
  <si>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</si>
  <si>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</si>
  <si>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</si>
  <si>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</si>
  <si>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</si>
  <si>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</si>
  <si>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</si>
  <si>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</si>
  <si>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</si>
  <si>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</si>
  <si>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</si>
  <si>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</si>
  <si>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</si>
  <si>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</si>
  <si>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</si>
  <si>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</si>
  <si>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</si>
  <si>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</si>
  <si>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</si>
  <si>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</si>
  <si>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</si>
  <si>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</si>
  <si>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</si>
  <si>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</si>
  <si>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</si>
  <si>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</si>
  <si>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</si>
  <si>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</si>
  <si>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</si>
  <si>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</si>
  <si>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</si>
  <si>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</si>
  <si>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</si>
  <si>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</si>
  <si>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</si>
  <si>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</si>
  <si>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</si>
  <si>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</si>
  <si>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</si>
  <si>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</si>
  <si>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</si>
  <si>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</si>
  <si>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</si>
  <si>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</si>
  <si>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</si>
  <si>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</si>
  <si>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</si>
  <si>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</si>
  <si>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</si>
  <si>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</si>
  <si>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</si>
  <si>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</si>
  <si>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</si>
  <si>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</si>
  <si>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</si>
  <si>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</si>
  <si>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</si>
  <si>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</si>
  <si>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</si>
  <si>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</si>
  <si>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</si>
  <si>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</si>
  <si>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</si>
  <si>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</si>
  <si>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</si>
  <si>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</si>
  <si>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</si>
  <si>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</si>
  <si>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</si>
  <si>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</si>
  <si>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</si>
  <si>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</si>
  <si>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</si>
  <si>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</si>
  <si>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</si>
  <si>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</si>
  <si>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</si>
  <si>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</si>
  <si>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</si>
  <si>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</si>
  <si>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</si>
  <si>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</si>
  <si>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</si>
  <si>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</si>
  <si>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</si>
  <si>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</si>
  <si>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</si>
  <si>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</si>
  <si>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</si>
  <si>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</si>
  <si>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</si>
  <si>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</si>
  <si>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</si>
  <si>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</si>
  <si>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</si>
  <si>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</si>
  <si>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</si>
  <si>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</si>
  <si>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</si>
  <si>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</si>
  <si>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</si>
  <si>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</si>
  <si>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</si>
  <si>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</si>
  <si>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</si>
  <si>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</si>
  <si>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</si>
  <si>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</si>
  <si>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</si>
  <si>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</si>
  <si>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</si>
  <si>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</si>
  <si>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</si>
  <si>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</si>
  <si>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</si>
  <si>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</si>
  <si>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</si>
  <si>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</si>
  <si>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</si>
  <si>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</si>
  <si>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</si>
  <si>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</si>
  <si>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</si>
  <si>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</si>
  <si>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</si>
  <si>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</si>
  <si>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</si>
  <si>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</si>
  <si>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</si>
  <si>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</si>
  <si>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</si>
  <si>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</si>
  <si>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</si>
  <si>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</si>
  <si>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</si>
  <si>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</si>
  <si>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</si>
  <si>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</si>
  <si>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</si>
  <si>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</si>
  <si>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</si>
  <si>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</si>
  <si>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</si>
  <si>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</si>
  <si>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</si>
  <si>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</si>
  <si>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</si>
  <si>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</si>
  <si>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</si>
  <si>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</si>
  <si>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</si>
  <si>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</si>
  <si>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</si>
  <si>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</si>
  <si>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</si>
  <si>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</si>
  <si>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</si>
  <si>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</si>
  <si>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</si>
  <si>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</si>
  <si>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</si>
  <si>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</si>
  <si>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</si>
  <si>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</si>
  <si>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</si>
  <si>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</si>
  <si>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</si>
  <si>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</si>
  <si>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</si>
  <si>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</si>
  <si>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</si>
  <si>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</si>
  <si>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</si>
  <si>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</si>
  <si>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</si>
  <si>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</si>
  <si>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</si>
  <si>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</si>
  <si>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</si>
  <si>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</si>
  <si>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</si>
  <si>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</si>
  <si>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</si>
  <si>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</si>
  <si>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</si>
  <si>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</si>
  <si>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</si>
  <si>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</si>
  <si>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</si>
  <si>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</si>
  <si>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</si>
  <si>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</si>
  <si>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</si>
  <si>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</si>
  <si>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</si>
  <si>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</si>
  <si>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</si>
  <si>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</si>
  <si>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</si>
  <si>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</si>
  <si>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</si>
  <si>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</si>
  <si>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</si>
  <si>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</si>
  <si>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</si>
  <si>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</si>
  <si>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</si>
  <si>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</si>
  <si>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</si>
  <si>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</si>
  <si>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</si>
  <si>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</si>
  <si>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</si>
  <si>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</si>
  <si>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</si>
  <si>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</si>
  <si>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</si>
  <si>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</si>
  <si>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</si>
  <si>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</si>
  <si>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</si>
  <si>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</si>
  <si>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</si>
  <si>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</si>
  <si>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</si>
  <si>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</si>
  <si>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</si>
  <si>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</si>
  <si>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</si>
  <si>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</si>
  <si>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</si>
  <si>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</si>
  <si>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</si>
  <si>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</si>
  <si>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</si>
  <si>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</si>
  <si>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</si>
  <si>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</si>
  <si>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</si>
  <si>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</si>
  <si>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</si>
  <si>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</si>
  <si>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</si>
  <si>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</si>
  <si>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</si>
  <si>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</si>
  <si>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</si>
  <si>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</si>
  <si>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</si>
  <si>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</si>
  <si>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</si>
  <si>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</si>
  <si>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</si>
  <si>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</si>
  <si>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</si>
  <si>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</si>
  <si>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</si>
  <si>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</si>
  <si>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</si>
  <si>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</si>
  <si>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</si>
  <si>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</si>
  <si>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</si>
  <si>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</si>
  <si>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</si>
  <si>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</si>
  <si>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</si>
  <si>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</si>
  <si>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</si>
  <si>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</si>
  <si>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</si>
  <si>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</si>
  <si>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</si>
  <si>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</si>
  <si>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</si>
  <si>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</si>
  <si>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</si>
  <si>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</si>
  <si>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</si>
  <si>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</si>
  <si>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</si>
  <si>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</si>
  <si>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</si>
  <si>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</si>
  <si>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</si>
  <si>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</si>
  <si>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</si>
  <si>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</si>
  <si>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</si>
  <si>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</si>
  <si>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</si>
  <si>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</si>
  <si>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</si>
  <si>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</si>
  <si>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</si>
  <si>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</si>
  <si>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</si>
  <si>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</si>
  <si>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</si>
  <si>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</si>
  <si>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</si>
  <si>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</si>
  <si>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</si>
  <si>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</si>
  <si>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</si>
  <si>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</si>
  <si>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</si>
  <si>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</si>
  <si>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</si>
  <si>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</si>
  <si>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</si>
  <si>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</si>
  <si>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</si>
  <si>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</si>
  <si>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</si>
  <si>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</si>
  <si>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</si>
  <si>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</si>
  <si>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</si>
  <si>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</si>
  <si>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</si>
  <si>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</si>
  <si>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</si>
  <si>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</si>
  <si>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</si>
  <si>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</si>
  <si>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</si>
  <si>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</si>
  <si>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</si>
  <si>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</si>
  <si>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</si>
  <si>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</si>
  <si>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</si>
  <si>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</si>
  <si>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</si>
  <si>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</si>
  <si>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</si>
  <si>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</si>
  <si>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</si>
  <si>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</si>
  <si>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</si>
  <si>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</si>
  <si>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</si>
  <si>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</si>
  <si>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</si>
  <si>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</si>
  <si>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</si>
  <si>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</si>
  <si>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</si>
  <si>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</si>
  <si>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</si>
  <si>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</si>
  <si>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</si>
  <si>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</si>
  <si>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</si>
  <si>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</si>
  <si>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</si>
  <si>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</si>
  <si>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</si>
  <si>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</si>
  <si>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</si>
  <si>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</si>
  <si>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</si>
  <si>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</si>
  <si>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</si>
  <si>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</si>
  <si>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</si>
  <si>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</si>
  <si>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</si>
  <si>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</si>
  <si>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</si>
  <si>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</si>
  <si>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</si>
  <si>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</si>
  <si>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</si>
  <si>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</si>
  <si>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</si>
  <si>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</si>
  <si>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</si>
  <si>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</si>
  <si>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</si>
  <si>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</si>
  <si>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</si>
  <si>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</si>
  <si>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</si>
  <si>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</si>
  <si>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</si>
  <si>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</si>
  <si>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</si>
  <si>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</si>
  <si>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</si>
  <si>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</si>
  <si>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</si>
  <si>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</si>
  <si>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</si>
  <si>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</si>
  <si>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</si>
  <si>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</si>
  <si>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</si>
  <si>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</si>
  <si>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</si>
  <si>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</si>
  <si>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</si>
  <si>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</si>
  <si>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</si>
  <si>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</si>
  <si>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</si>
  <si>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</si>
  <si>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</si>
  <si>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</si>
  <si>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</si>
  <si>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</si>
  <si>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</si>
  <si>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</si>
  <si>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</si>
  <si>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</si>
  <si>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</si>
  <si>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</si>
  <si>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</si>
  <si>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</si>
  <si>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</si>
  <si>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</si>
  <si>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</si>
  <si>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</si>
  <si>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</si>
  <si>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</si>
  <si>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</si>
  <si>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</si>
  <si>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</si>
  <si>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</si>
  <si>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</si>
  <si>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</si>
  <si>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</si>
  <si>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</si>
  <si>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</si>
  <si>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</si>
  <si>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</si>
  <si>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</si>
  <si>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</si>
  <si>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</si>
  <si>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</si>
  <si>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</si>
  <si>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</si>
  <si>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</si>
  <si>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</si>
  <si>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</si>
  <si>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</si>
  <si>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</si>
  <si>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</si>
  <si>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</si>
  <si>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</si>
  <si>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</si>
  <si>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</si>
  <si>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</si>
  <si>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</si>
  <si>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</si>
  <si>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</si>
  <si>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</si>
  <si>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</si>
  <si>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</si>
  <si>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</si>
  <si>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</si>
  <si>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</si>
  <si>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</si>
  <si>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</si>
  <si>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</si>
  <si>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</si>
  <si>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</si>
  <si>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</si>
  <si>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</si>
  <si>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</si>
  <si>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</si>
  <si>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</si>
  <si>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</si>
  <si>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</si>
  <si>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</si>
  <si>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</si>
  <si>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</si>
  <si>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</si>
  <si>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</si>
  <si>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</si>
  <si>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</si>
  <si>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</si>
  <si>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</si>
  <si>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</si>
  <si>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</si>
  <si>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</si>
  <si>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</si>
  <si>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</si>
  <si>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</si>
  <si>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</si>
  <si>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</si>
  <si>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</si>
  <si>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</si>
  <si>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</si>
  <si>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</si>
  <si>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</si>
  <si>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</si>
  <si>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</si>
  <si>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</si>
  <si>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</si>
  <si>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</si>
  <si>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</si>
  <si>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</si>
  <si>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</si>
  <si>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</si>
  <si>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</si>
  <si>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</si>
  <si>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</si>
  <si>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</si>
  <si>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</si>
  <si>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</si>
  <si>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</si>
  <si>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</si>
  <si>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</si>
  <si>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</si>
  <si>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</si>
  <si>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</si>
  <si>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</si>
  <si>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</si>
  <si>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</si>
  <si>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</si>
  <si>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</si>
  <si>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</si>
  <si>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</si>
  <si>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</si>
  <si>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</si>
  <si>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</si>
  <si>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</si>
  <si>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</si>
  <si>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</si>
  <si>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</si>
  <si>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</si>
  <si>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</si>
  <si>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</si>
  <si>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</si>
  <si>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</si>
  <si>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</si>
  <si>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</si>
  <si>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</si>
  <si>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</si>
  <si>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</si>
  <si>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</si>
  <si>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</si>
  <si>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</si>
  <si>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</si>
  <si>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</si>
  <si>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</si>
  <si>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</si>
  <si>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</si>
  <si>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</si>
  <si>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</si>
  <si>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</si>
  <si>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</si>
  <si>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</si>
  <si>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</si>
  <si>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</si>
  <si>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</si>
  <si>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</si>
  <si>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</si>
  <si>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</si>
  <si>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</si>
  <si>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</si>
  <si>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</si>
  <si>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</si>
  <si>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</si>
  <si>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</si>
  <si>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</si>
  <si>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</si>
  <si>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</si>
  <si>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</si>
  <si>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</si>
  <si>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</si>
  <si>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</si>
  <si>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</si>
  <si>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</si>
  <si>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</si>
  <si>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</si>
  <si>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</si>
  <si>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</si>
  <si>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</si>
  <si>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</si>
  <si>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</si>
  <si>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</si>
  <si>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</si>
  <si>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</si>
  <si>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</si>
  <si>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</si>
  <si>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</si>
  <si>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</si>
  <si>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</si>
  <si>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</si>
  <si>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</si>
  <si>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</si>
  <si>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</si>
  <si>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</si>
  <si>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</si>
  <si>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</si>
  <si>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</si>
  <si>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</si>
  <si>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</si>
  <si>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</si>
  <si>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</si>
  <si>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</si>
  <si>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</si>
  <si>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</si>
  <si>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</si>
  <si>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</si>
  <si>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</si>
  <si>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</si>
  <si>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</si>
  <si>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</si>
  <si>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</si>
  <si>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</si>
  <si>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</si>
  <si>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</si>
  <si>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</si>
  <si>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</si>
  <si>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</si>
  <si>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</si>
  <si>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</si>
  <si>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</si>
  <si>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</si>
  <si>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</si>
  <si>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</si>
  <si>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</si>
  <si>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</si>
  <si>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</si>
  <si>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</si>
  <si>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</si>
  <si>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</si>
  <si>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</si>
  <si>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</si>
  <si>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</si>
  <si>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</si>
  <si>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</si>
  <si>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</si>
  <si>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</si>
  <si>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</si>
  <si>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</si>
  <si>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</si>
  <si>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</si>
  <si>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</si>
  <si>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</si>
  <si>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</si>
  <si>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</si>
  <si>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</si>
  <si>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</si>
  <si>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</si>
  <si>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</si>
  <si>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</si>
  <si>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</si>
  <si>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</si>
  <si>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</si>
  <si>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</si>
  <si>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</si>
  <si>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</si>
  <si>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</si>
  <si>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</si>
  <si>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</si>
  <si>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</si>
  <si>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</si>
  <si>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</si>
  <si>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</si>
  <si>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</si>
  <si>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</si>
  <si>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</si>
  <si>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</si>
  <si>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</si>
  <si>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</si>
  <si>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</si>
  <si>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</si>
  <si>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</si>
  <si>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</si>
  <si>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</si>
  <si>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</si>
  <si>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</si>
  <si>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</si>
  <si>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</si>
  <si>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</si>
  <si>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</si>
  <si>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</si>
  <si>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</si>
  <si>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</si>
  <si>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</si>
  <si>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</si>
  <si>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</si>
  <si>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</si>
  <si>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</si>
  <si>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</si>
  <si>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</si>
  <si>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</si>
  <si>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</si>
  <si>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</si>
  <si>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</si>
  <si>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</si>
  <si>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</si>
  <si>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</si>
  <si>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</si>
  <si>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</si>
  <si>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</si>
  <si>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</si>
  <si>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</si>
  <si>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</si>
  <si>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</si>
  <si>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</si>
  <si>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</si>
  <si>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</si>
  <si>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</si>
  <si>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</si>
  <si>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</si>
  <si>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</si>
  <si>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</si>
  <si>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</si>
  <si>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</si>
  <si>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</si>
  <si>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</si>
  <si>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</si>
  <si>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</si>
  <si>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</si>
  <si>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</si>
  <si>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</si>
  <si>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</si>
  <si>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</si>
  <si>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</si>
  <si>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</si>
  <si>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</si>
  <si>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</si>
  <si>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</si>
  <si>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</si>
  <si>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</si>
  <si>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</si>
  <si>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</si>
  <si>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</si>
  <si>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</si>
  <si>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</si>
  <si>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</si>
  <si>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</si>
  <si>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</si>
  <si>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</si>
  <si>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</si>
  <si>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</si>
  <si>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</si>
  <si>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</si>
  <si>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</si>
  <si>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</si>
  <si>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</si>
  <si>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</si>
  <si>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</si>
  <si>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</si>
  <si>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</si>
  <si>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</si>
  <si>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</si>
  <si>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</si>
  <si>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</si>
  <si>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</si>
  <si>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</si>
  <si>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</si>
  <si>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</si>
  <si>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</si>
  <si>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</si>
  <si>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</si>
  <si>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</si>
  <si>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</si>
  <si>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</si>
  <si>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</si>
  <si>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</si>
  <si>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</si>
  <si>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</si>
  <si>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</si>
  <si>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</si>
  <si>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</si>
  <si>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</si>
  <si>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</si>
  <si>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</si>
  <si>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</si>
  <si>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</si>
  <si>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</si>
  <si>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</si>
  <si>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</si>
  <si>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</si>
  <si>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</si>
  <si>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</si>
  <si>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</si>
  <si>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</si>
  <si>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</si>
  <si>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</si>
  <si>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</si>
  <si>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</si>
  <si>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</si>
  <si>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</si>
  <si>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</si>
  <si>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</si>
  <si>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</si>
  <si>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</si>
  <si>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</si>
  <si>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</si>
  <si>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</si>
  <si>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</si>
  <si>
    <t>Rate of Savings for Institutional Sectors at Current Prices: Base Year 2011-12</t>
  </si>
  <si>
    <t>Per cent : 1964-65 to 2023-24</t>
  </si>
  <si>
    <t xml:space="preserve">Public non-financial  corporations </t>
  </si>
  <si>
    <t xml:space="preserve">Private non- financial  corporations </t>
  </si>
  <si>
    <t xml:space="preserve">Public financial  corporations </t>
  </si>
  <si>
    <t xml:space="preserve">Private financial  corporations </t>
  </si>
  <si>
    <t xml:space="preserve">General Government </t>
  </si>
  <si>
    <t xml:space="preserve">Households including  NPISH </t>
  </si>
  <si>
    <t xml:space="preserve">Public non-financial 
corp. </t>
  </si>
  <si>
    <t xml:space="preserve">Private non- financial  
corp. </t>
  </si>
  <si>
    <t>Public financial  
corp.</t>
  </si>
  <si>
    <t xml:space="preserve">Private financial
 corp </t>
  </si>
  <si>
    <t>Total Savings</t>
  </si>
  <si>
    <t xml:space="preserve">2023-24 </t>
  </si>
  <si>
    <t>India GDP in Million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</si>
</sst>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5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  <xf numFmtId="4" fontId="0" fillId="2" borderId="0" xfId="0" applyNumberFormat="1" applyFill="1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INSTUTITION-WISE</a:t>
            </a:r>
            <a:r>
              <a:rPr lang="en-GB" baseline="0"/>
              <a:t> </a:t>
            </a:r>
            <a:r>
              <a:rPr lang="en-GB"/>
              <a:t>Savings RATES (% of India GDP)</a:t>
            </a:r>
          </a:p>
        </c:rich>
      </c:tx>
      <c:layout>
        <c:manualLayout>
          <c:xMode val="edge"/>
          <c:yMode val="edge"/>
          <c:x val="0.58308160779537155"/>
          <c:y val="0.8793103448275861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72972972972978E-3"/>
          <c:y val="1.9994363120717295E-2"/>
          <c:w val="0.98104731122982347"/>
          <c:h val="0.96001127375856543"/>
        </c:manualLayout>
      </c:layout>
      <c:ofPieChart>
        <c:ofPieType val="bar"/>
        <c:varyColors val="1"/>
        <c:ser>
          <c:idx val="0"/>
          <c:order val="0"/>
          <c:explosion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05-9B48-828D-8F34231CE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05-9B48-828D-8F34231CE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05-9B48-828D-8F34231CE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05-9B48-828D-8F34231CE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05-9B48-828D-8F34231CE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05-9B48-828D-8F34231CE1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05-9B48-828D-8F34231CE1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05-9B48-828D-8F34231CE10B}"/>
              </c:ext>
            </c:extLst>
          </c:dPt>
          <c:dLbls>
            <c:dLbl>
              <c:idx val="0"/>
              <c:layout>
                <c:manualLayout>
                  <c:x val="0.33275336395983379"/>
                  <c:y val="-0.181231078604398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212162162162162"/>
                      <c:h val="8.145413870246084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05-9B48-828D-8F34231CE10B}"/>
                </c:ext>
              </c:extLst>
            </c:dLbl>
            <c:dLbl>
              <c:idx val="1"/>
              <c:layout>
                <c:manualLayout>
                  <c:x val="1.1233773143221961E-3"/>
                  <c:y val="-0.1263768958410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05-9B48-828D-8F34231CE10B}"/>
                </c:ext>
              </c:extLst>
            </c:dLbl>
            <c:dLbl>
              <c:idx val="2"/>
              <c:layout>
                <c:manualLayout>
                  <c:x val="-1.5173161211121453E-2"/>
                  <c:y val="9.056175025101727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C05-9B48-828D-8F34231CE10B}"/>
                </c:ext>
              </c:extLst>
            </c:dLbl>
            <c:dLbl>
              <c:idx val="3"/>
              <c:layout>
                <c:manualLayout>
                  <c:x val="-8.2687715192726358E-2"/>
                  <c:y val="3.85906040268456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C05-9B48-828D-8F34231CE10B}"/>
                </c:ext>
              </c:extLst>
            </c:dLbl>
            <c:dLbl>
              <c:idx val="4"/>
              <c:layout>
                <c:manualLayout>
                  <c:x val="2.0385525440274326E-2"/>
                  <c:y val="-1.719036798252567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165613281287464"/>
                      <c:h val="6.17786115661716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C05-9B48-828D-8F34231CE10B}"/>
                </c:ext>
              </c:extLst>
            </c:dLbl>
            <c:dLbl>
              <c:idx val="5"/>
              <c:layout>
                <c:manualLayout>
                  <c:x val="-0.17775456280510621"/>
                  <c:y val="-3.654714227531903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64864864864866"/>
                      <c:h val="0.1861410276735542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7C05-9B48-828D-8F34231CE10B}"/>
                </c:ext>
              </c:extLst>
            </c:dLbl>
            <c:dLbl>
              <c:idx val="6"/>
              <c:layout>
                <c:manualLayout>
                  <c:x val="5.7276127633863062E-2"/>
                  <c:y val="6.79913623404833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901944047493455"/>
                      <c:h val="7.58729296768938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7C05-9B48-828D-8F34231CE10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C05-9B48-828D-8F34231CE10B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'Savings-Rates-India'!$B$1:$H$1</c:f>
              <c:strCache>
                <c:ptCount val="7"/>
                <c:pt idx="0">
                  <c:v>Total Savings</c:v>
                </c:pt>
                <c:pt idx="1">
                  <c:v>Public non-financial 
corp. </c:v>
                </c:pt>
                <c:pt idx="2">
                  <c:v>Private non- financial  
corp. </c:v>
                </c:pt>
                <c:pt idx="3">
                  <c:v>Public financial  
corp.</c:v>
                </c:pt>
                <c:pt idx="4">
                  <c:v>Private financial
 corp </c:v>
                </c:pt>
                <c:pt idx="5">
                  <c:v>General Government </c:v>
                </c:pt>
                <c:pt idx="6">
                  <c:v>Households including  NPISH </c:v>
                </c:pt>
              </c:strCache>
            </c:strRef>
          </c:cat>
          <c:val>
            <c:numRef>
              <c:f>'Savings-Rates-India'!$B$2:$H$2</c:f>
              <c:numCache>
                <c:formatCode>General</c:formatCode>
                <c:ptCount val="7"/>
                <c:pt idx="0">
                  <c:v>30.74</c:v>
                </c:pt>
                <c:pt idx="1">
                  <c:v>1.51</c:v>
                </c:pt>
                <c:pt idx="2">
                  <c:v>9.5399999999999991</c:v>
                </c:pt>
                <c:pt idx="3">
                  <c:v>1.39</c:v>
                </c:pt>
                <c:pt idx="4">
                  <c:v>1.1100000000000001</c:v>
                </c:pt>
                <c:pt idx="5">
                  <c:v>-0.95</c:v>
                </c:pt>
                <c:pt idx="6">
                  <c:v>18.13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C05-9B48-828D-8F34231CE10B}"/>
            </c:ext>
          </c:extLst>
        </c:ser>
        <c:dLbls>
          <c:dLblPos val="bestFit"/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gapWidth val="100"/>
        <c:splitType val="val"/>
        <c:splitPos val="1"/>
        <c:secondPieSize val="2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51-4140-89E3-1F1AE9E633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5081279"/>
        <c:axId val="1585082175"/>
      </c:barChart>
      <c:catAx>
        <c:axId val="158508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2175"/>
        <c:crosses val="autoZero"/>
        <c:auto val="1"/>
        <c:lblAlgn val="ctr"/>
        <c:lblOffset val="100"/>
        <c:noMultiLvlLbl val="0"/>
      </c:catAx>
      <c:valAx>
        <c:axId val="1585082175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1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of Indian Households (2023-24)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('GCF-Financing'!$A$19,'GCF-Financing'!$A$22,'GCF-Financing'!$A$23)</c:f>
              <c:strCache>
                <c:ptCount val="3"/>
                <c:pt idx="0">
                  <c:v>                Net financial saving (household)</c:v>
                </c:pt>
                <c:pt idx="1">
                  <c:v>                Saving in physical assets</c:v>
                </c:pt>
                <c:pt idx="2">
                  <c:v>                Saving in the form of gold &amp; silver ornaments</c:v>
                </c:pt>
              </c:strCache>
            </c:strRef>
          </c:cat>
          <c:val>
            <c:numRef>
              <c:f>('GCF-Financing'!$N$19,'GCF-Financing'!$N$22,'GCF-Financing'!$N$23)</c:f>
              <c:numCache>
                <c:formatCode>#,##0.00</c:formatCode>
                <c:ptCount val="3"/>
                <c:pt idx="0">
                  <c:v>15516410</c:v>
                </c:pt>
                <c:pt idx="1">
                  <c:v>38445150</c:v>
                </c:pt>
                <c:pt idx="2">
                  <c:v>651040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F6-5E44-ADD1-E90F2C866E6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380360512787137"/>
          <c:y val="0.22770843536902385"/>
          <c:w val="0.35718061726130967"/>
          <c:h val="0.36988207813736201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 of Indian Savings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'GCF-Financing'!$B$3:$N$3</c:f>
              <c:strCache>
                <c:ptCount val="13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'GCF-Financing'!$B$7:$N$7</c:f>
              <c:numCache>
                <c:formatCode>#,##0.00</c:formatCode>
                <c:ptCount val="13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  <c:pt idx="10">
                  <c:v>27331260.100000001</c:v>
                </c:pt>
                <c:pt idx="11">
                  <c:v>29763748.5</c:v>
                </c:pt>
                <c:pt idx="12">
                  <c:v>33289470.100000001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7-484B-8806-68CDC1984B42}"/>
            </c:ext>
          </c:extLst>
        </c:ser>
        <c:ser>
          <c:idx val="1"/>
          <c:order val="1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'GCF-Financing'!$B$3:$N$3</c:f>
              <c:strCache>
                <c:ptCount val="13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'GCF-Financing'!$B$12:$N$12</c:f>
              <c:numCache>
                <c:formatCode>#,##0.00</c:formatCode>
                <c:ptCount val="13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  <c:pt idx="10">
                  <c:v>5910022.2000000002</c:v>
                </c:pt>
                <c:pt idx="11">
                  <c:v>7698213.4000000004</c:v>
                </c:pt>
                <c:pt idx="12">
                  <c:v>7549132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B7-484B-8806-68CDC1984B42}"/>
            </c:ext>
          </c:extLst>
        </c:ser>
        <c:ser>
          <c:idx val="2"/>
          <c:order val="2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'GCF-Financing'!$B$3:$N$3</c:f>
              <c:strCache>
                <c:ptCount val="13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'GCF-Financing'!$B$17:$N$17</c:f>
              <c:numCache>
                <c:formatCode>#,##0.00</c:formatCode>
                <c:ptCount val="13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  <c:pt idx="10">
                  <c:v>-7033589.9000000004</c:v>
                </c:pt>
                <c:pt idx="11">
                  <c:v>-5126224.2</c:v>
                </c:pt>
                <c:pt idx="12">
                  <c:v>-2859337.9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B7-484B-8806-68CDC1984B42}"/>
            </c:ext>
          </c:extLst>
        </c:ser>
        <c:ser>
          <c:idx val="3"/>
          <c:order val="3"/>
          <c:tx>
            <c:strRef>
              <c:f>'GCF-Financing'!$A$18</c:f>
              <c:strCache>
                <c:ptCount val="1"/>
                <c:pt idx="0">
                  <c:v>            Household sector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'GCF-Financing'!$B$3:$N$3</c:f>
              <c:strCache>
                <c:ptCount val="13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'GCF-Financing'!$B$18:$N$18</c:f>
              <c:numCache>
                <c:formatCode>#,##0.00</c:formatCode>
                <c:ptCount val="13"/>
                <c:pt idx="0">
                  <c:v>20655660</c:v>
                </c:pt>
                <c:pt idx="1">
                  <c:v>22352800</c:v>
                </c:pt>
                <c:pt idx="2">
                  <c:v>22853010</c:v>
                </c:pt>
                <c:pt idx="3">
                  <c:v>24391040</c:v>
                </c:pt>
                <c:pt idx="4">
                  <c:v>24749130</c:v>
                </c:pt>
                <c:pt idx="5">
                  <c:v>27871340</c:v>
                </c:pt>
                <c:pt idx="6">
                  <c:v>32965960</c:v>
                </c:pt>
                <c:pt idx="7">
                  <c:v>38445820</c:v>
                </c:pt>
                <c:pt idx="8">
                  <c:v>39291480</c:v>
                </c:pt>
                <c:pt idx="9">
                  <c:v>43905840</c:v>
                </c:pt>
                <c:pt idx="10">
                  <c:v>47423332.700000003</c:v>
                </c:pt>
                <c:pt idx="11">
                  <c:v>50104750</c:v>
                </c:pt>
                <c:pt idx="12">
                  <c:v>54612590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B7-484B-8806-68CDC1984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72727103"/>
        <c:axId val="1572900799"/>
        <c:axId val="0"/>
      </c:bar3DChart>
      <c:catAx>
        <c:axId val="187272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900799"/>
        <c:crosses val="autoZero"/>
        <c:auto val="1"/>
        <c:lblAlgn val="ctr"/>
        <c:lblOffset val="100"/>
        <c:noMultiLvlLbl val="0"/>
      </c:catAx>
      <c:valAx>
        <c:axId val="157290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727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_xlchart.v1.19</cx:f>
      </cx:strDim>
      <cx:numDim type="size">
        <cx:f>_xlchart.v1.20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5" Type="http://schemas.openxmlformats.org/officeDocument/2006/relationships/chart" Target="../charts/chart39.xml"/><Relationship Id="rId4" Type="http://schemas.openxmlformats.org/officeDocument/2006/relationships/chart" Target="../charts/chart38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microsoft.com/office/2014/relationships/chartEx" Target="../charts/chartEx1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2006600</xdr:colOff>
      <xdr:row>2</xdr:row>
      <xdr:rowOff>101600</xdr:rowOff>
    </xdr:from>
    <xdr:to>
      <xdr:col>8</xdr:col>
      <xdr:colOff>749300</xdr:colOff>
      <xdr:row>31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6ACEB-09C2-C94A-A592-3FD46B9BB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29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361950</xdr:colOff>
      <xdr:row>25</xdr:row>
      <xdr:rowOff>127000</xdr:rowOff>
    </xdr:from>
    <xdr:to>
      <xdr:col>13</xdr:col>
      <xdr:colOff>546100</xdr:colOff>
      <xdr:row>46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47C1B0-2C1A-FAE4-CDE3-E0AE54223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1022350</xdr:colOff>
      <xdr:row>21</xdr:row>
      <xdr:rowOff>127000</xdr:rowOff>
    </xdr:from>
    <xdr:to>
      <xdr:col>18</xdr:col>
      <xdr:colOff>762000</xdr:colOff>
      <xdr:row>47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E62AC7-0D6E-495F-A826-ADEC8985A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755650</xdr:colOff>
      <xdr:row>5</xdr:row>
      <xdr:rowOff>19050</xdr:rowOff>
    </xdr:from>
    <xdr:to>
      <xdr:col>13</xdr:col>
      <xdr:colOff>736600</xdr:colOff>
      <xdr:row>30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2A64D2-4BC8-B24B-3A27-B119A608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kalyan/Downloads/Rate%20of%20Savings.xlsx" TargetMode="External"/><Relationship Id="rId1" Type="http://schemas.openxmlformats.org/officeDocument/2006/relationships/externalLinkPath" Target="/Users/kalyan/Downloads/Rate%20of%20Sav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vings-Rates-Institutions"/>
    </sheetNames>
    <sheetDataSet>
      <sheetData sheetId="0">
        <row r="1">
          <cell r="B1" t="str">
            <v xml:space="preserve">Total </v>
          </cell>
          <cell r="C1" t="str">
            <v xml:space="preserve">Public non-financial 
corp. </v>
          </cell>
          <cell r="D1" t="str">
            <v xml:space="preserve">Private non- financial  
corp. </v>
          </cell>
          <cell r="E1" t="str">
            <v>Public financial  
corp.</v>
          </cell>
          <cell r="F1" t="str">
            <v xml:space="preserve">Private financial
 corp </v>
          </cell>
          <cell r="G1" t="str">
            <v xml:space="preserve">General Government </v>
          </cell>
          <cell r="H1" t="str">
            <v xml:space="preserve">Households including  NPISH </v>
          </cell>
        </row>
        <row r="2">
          <cell r="B2">
            <v>30.74</v>
          </cell>
          <cell r="C2">
            <v>1.51</v>
          </cell>
          <cell r="D2">
            <v>9.5399999999999991</v>
          </cell>
          <cell r="E2">
            <v>1.39</v>
          </cell>
          <cell r="F2">
            <v>1.1100000000000001</v>
          </cell>
          <cell r="G2">
            <v>-0.95</v>
          </cell>
          <cell r="H2">
            <v>18.13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59E7-6B5E-6242-9FBC-3D3CD8600D8F}">
  <dimension ref="A1:H2"/>
  <sheetViews>
    <sheetView workbookViewId="0">
      <selection activeCell="C31" sqref="C31"/>
    </sheetView>
  </sheetViews>
  <sheetFormatPr baseColWidth="10" defaultRowHeight="16" x14ac:dyDescent="0.2"/>
  <cols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ht="34" x14ac:dyDescent="0.2">
      <c r="A1" t="s">
        <v>46</v>
      </c>
      <c r="B1" t="s">
        <v>1425</v>
      </c>
      <c r="C1" s="34" t="s">
        <v>1421</v>
      </c>
      <c r="D1" s="34" t="s">
        <v>1422</v>
      </c>
      <c r="E1" s="34" t="s">
        <v>1423</v>
      </c>
      <c r="F1" s="34" t="s">
        <v>1424</v>
      </c>
      <c r="G1" t="s">
        <v>1419</v>
      </c>
      <c r="H1" t="s">
        <v>1420</v>
      </c>
    </row>
    <row r="2" spans="1:8" x14ac:dyDescent="0.2">
      <c r="A2" t="s">
        <v>1270</v>
      </c>
      <c r="B2">
        <v>30.74</v>
      </c>
      <c r="C2">
        <v>1.51</v>
      </c>
      <c r="D2">
        <v>9.5399999999999991</v>
      </c>
      <c r="E2">
        <v>1.39</v>
      </c>
      <c r="F2">
        <v>1.1100000000000001</v>
      </c>
      <c r="G2">
        <v>-0.95</v>
      </c>
      <c r="H2">
        <v>18.13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7938-2C56-F540-A0A6-FFC4CCED7760}">
  <dimension ref="A1:H63"/>
  <sheetViews>
    <sheetView workbookViewId="0">
      <selection activeCell="B6" sqref="B6"/>
    </sheetView>
  </sheetViews>
  <sheetFormatPr baseColWidth="10" defaultRowHeight="16" x14ac:dyDescent="0.2"/>
  <cols>
    <col min="2" max="2" width="12" bestFit="1" customWidth="1"/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x14ac:dyDescent="0.2">
      <c r="A1" t="s">
        <v>1413</v>
      </c>
    </row>
    <row r="2" spans="1:8" x14ac:dyDescent="0.2">
      <c r="A2" t="s">
        <v>1414</v>
      </c>
    </row>
    <row r="3" spans="1:8" x14ac:dyDescent="0.2">
      <c r="A3" t="s">
        <v>46</v>
      </c>
      <c r="B3" t="s">
        <v>1425</v>
      </c>
      <c r="C3" t="s">
        <v>1415</v>
      </c>
      <c r="D3" t="s">
        <v>1416</v>
      </c>
      <c r="E3" t="s">
        <v>1417</v>
      </c>
      <c r="F3" t="s">
        <v>1418</v>
      </c>
      <c r="G3" t="s">
        <v>1419</v>
      </c>
      <c r="H3" t="s">
        <v>1420</v>
      </c>
    </row>
    <row r="4" spans="1:8" x14ac:dyDescent="0.2">
      <c r="A4" t="s">
        <v>68</v>
      </c>
      <c r="B4">
        <v>11.93</v>
      </c>
    </row>
    <row r="5" spans="1:8" x14ac:dyDescent="0.2">
      <c r="A5" t="s">
        <v>69</v>
      </c>
      <c r="B5">
        <v>13.9</v>
      </c>
    </row>
    <row r="6" spans="1:8" x14ac:dyDescent="0.2">
      <c r="A6" t="s">
        <v>70</v>
      </c>
      <c r="B6">
        <v>13.71</v>
      </c>
    </row>
    <row r="7" spans="1:8" x14ac:dyDescent="0.2">
      <c r="A7" t="s">
        <v>71</v>
      </c>
      <c r="B7">
        <v>12</v>
      </c>
    </row>
    <row r="8" spans="1:8" x14ac:dyDescent="0.2">
      <c r="A8" t="s">
        <v>72</v>
      </c>
      <c r="B8">
        <v>11.88</v>
      </c>
    </row>
    <row r="9" spans="1:8" x14ac:dyDescent="0.2">
      <c r="A9" t="s">
        <v>73</v>
      </c>
      <c r="B9">
        <v>13.95</v>
      </c>
    </row>
    <row r="10" spans="1:8" x14ac:dyDescent="0.2">
      <c r="A10" t="s">
        <v>74</v>
      </c>
      <c r="B10">
        <v>13.87</v>
      </c>
      <c r="D10">
        <v>1.26</v>
      </c>
      <c r="F10">
        <v>0.03</v>
      </c>
      <c r="G10">
        <v>1.47</v>
      </c>
    </row>
    <row r="11" spans="1:8" x14ac:dyDescent="0.2">
      <c r="A11" t="s">
        <v>75</v>
      </c>
      <c r="B11">
        <v>14.67</v>
      </c>
      <c r="D11">
        <v>1.35</v>
      </c>
      <c r="F11">
        <v>0.04</v>
      </c>
      <c r="G11">
        <v>1.36</v>
      </c>
    </row>
    <row r="12" spans="1:8" x14ac:dyDescent="0.2">
      <c r="A12" t="s">
        <v>76</v>
      </c>
      <c r="B12">
        <v>13.76</v>
      </c>
      <c r="D12">
        <v>1.29</v>
      </c>
      <c r="F12">
        <v>0.03</v>
      </c>
      <c r="G12">
        <v>1.32</v>
      </c>
    </row>
    <row r="13" spans="1:8" x14ac:dyDescent="0.2">
      <c r="A13" t="s">
        <v>77</v>
      </c>
      <c r="B13">
        <v>16.34</v>
      </c>
      <c r="D13">
        <v>1.45</v>
      </c>
      <c r="F13">
        <v>0.02</v>
      </c>
      <c r="G13">
        <v>1.64</v>
      </c>
    </row>
    <row r="14" spans="1:8" x14ac:dyDescent="0.2">
      <c r="A14" t="s">
        <v>78</v>
      </c>
      <c r="B14">
        <v>16.13</v>
      </c>
      <c r="D14">
        <v>1.67</v>
      </c>
      <c r="F14">
        <v>0.02</v>
      </c>
      <c r="G14">
        <v>2</v>
      </c>
    </row>
    <row r="15" spans="1:8" x14ac:dyDescent="0.2">
      <c r="A15" t="s">
        <v>79</v>
      </c>
      <c r="B15">
        <v>16.63</v>
      </c>
      <c r="D15">
        <v>1.0900000000000001</v>
      </c>
      <c r="F15">
        <v>0.03</v>
      </c>
      <c r="G15">
        <v>2.56</v>
      </c>
    </row>
    <row r="16" spans="1:8" x14ac:dyDescent="0.2">
      <c r="A16" t="s">
        <v>80</v>
      </c>
      <c r="B16">
        <v>18.07</v>
      </c>
      <c r="D16">
        <v>1.07</v>
      </c>
      <c r="F16">
        <v>0.04</v>
      </c>
      <c r="G16">
        <v>2.52</v>
      </c>
    </row>
    <row r="17" spans="1:7" x14ac:dyDescent="0.2">
      <c r="A17" t="s">
        <v>81</v>
      </c>
      <c r="B17">
        <v>18.55</v>
      </c>
      <c r="D17">
        <v>1.1499999999999999</v>
      </c>
      <c r="F17">
        <v>0.03</v>
      </c>
      <c r="G17">
        <v>2.25</v>
      </c>
    </row>
    <row r="18" spans="1:7" x14ac:dyDescent="0.2">
      <c r="A18" t="s">
        <v>82</v>
      </c>
      <c r="B18">
        <v>20.309999999999999</v>
      </c>
      <c r="D18">
        <v>1.22</v>
      </c>
      <c r="F18">
        <v>0.03</v>
      </c>
      <c r="G18">
        <v>2.4300000000000002</v>
      </c>
    </row>
    <row r="19" spans="1:7" x14ac:dyDescent="0.2">
      <c r="A19" t="s">
        <v>83</v>
      </c>
      <c r="B19">
        <v>19.239999999999998</v>
      </c>
      <c r="D19">
        <v>1.71</v>
      </c>
      <c r="F19">
        <v>0.03</v>
      </c>
      <c r="G19">
        <v>2.36</v>
      </c>
    </row>
    <row r="20" spans="1:7" x14ac:dyDescent="0.2">
      <c r="A20" t="s">
        <v>84</v>
      </c>
      <c r="B20">
        <v>17.21</v>
      </c>
      <c r="D20">
        <v>1.4</v>
      </c>
      <c r="F20">
        <v>0.02</v>
      </c>
      <c r="G20">
        <v>2.04</v>
      </c>
    </row>
    <row r="21" spans="1:7" x14ac:dyDescent="0.2">
      <c r="A21" t="s">
        <v>85</v>
      </c>
      <c r="B21">
        <v>16.78</v>
      </c>
      <c r="D21">
        <v>1.31</v>
      </c>
      <c r="F21">
        <v>0.03</v>
      </c>
      <c r="G21">
        <v>2.4300000000000002</v>
      </c>
    </row>
    <row r="22" spans="1:7" x14ac:dyDescent="0.2">
      <c r="A22" t="s">
        <v>86</v>
      </c>
      <c r="B22">
        <v>17.239999999999998</v>
      </c>
      <c r="D22">
        <v>1.35</v>
      </c>
      <c r="F22">
        <v>0.04</v>
      </c>
      <c r="G22">
        <v>1.94</v>
      </c>
    </row>
    <row r="23" spans="1:7" x14ac:dyDescent="0.2">
      <c r="A23" t="s">
        <v>87</v>
      </c>
      <c r="B23">
        <v>16.89</v>
      </c>
      <c r="D23">
        <v>1.27</v>
      </c>
      <c r="F23">
        <v>0.05</v>
      </c>
      <c r="G23">
        <v>1.1200000000000001</v>
      </c>
    </row>
    <row r="24" spans="1:7" x14ac:dyDescent="0.2">
      <c r="A24" t="s">
        <v>88</v>
      </c>
      <c r="B24">
        <v>17.79</v>
      </c>
      <c r="D24">
        <v>1.45</v>
      </c>
      <c r="F24">
        <v>0.03</v>
      </c>
      <c r="G24">
        <v>0.6</v>
      </c>
    </row>
    <row r="25" spans="1:7" x14ac:dyDescent="0.2">
      <c r="A25" t="s">
        <v>89</v>
      </c>
      <c r="B25">
        <v>18.36</v>
      </c>
      <c r="D25">
        <v>1.7</v>
      </c>
      <c r="F25">
        <v>0.06</v>
      </c>
      <c r="G25">
        <v>0.59</v>
      </c>
    </row>
    <row r="26" spans="1:7" x14ac:dyDescent="0.2">
      <c r="A26" t="s">
        <v>90</v>
      </c>
      <c r="B26">
        <v>18.16</v>
      </c>
      <c r="D26">
        <v>1.45</v>
      </c>
      <c r="F26">
        <v>0.06</v>
      </c>
      <c r="G26">
        <v>0.16</v>
      </c>
    </row>
    <row r="27" spans="1:7" x14ac:dyDescent="0.2">
      <c r="A27" t="s">
        <v>91</v>
      </c>
      <c r="B27">
        <v>20.309999999999999</v>
      </c>
      <c r="D27">
        <v>1.42</v>
      </c>
      <c r="F27">
        <v>7.0000000000000007E-2</v>
      </c>
      <c r="G27">
        <v>-0.49</v>
      </c>
    </row>
    <row r="28" spans="1:7" x14ac:dyDescent="0.2">
      <c r="A28" t="s">
        <v>92</v>
      </c>
      <c r="B28">
        <v>20.46</v>
      </c>
      <c r="D28">
        <v>1.83</v>
      </c>
      <c r="F28">
        <v>0.1</v>
      </c>
      <c r="G28">
        <v>-0.77</v>
      </c>
    </row>
    <row r="29" spans="1:7" x14ac:dyDescent="0.2">
      <c r="A29" t="s">
        <v>93</v>
      </c>
      <c r="B29">
        <v>21.76</v>
      </c>
      <c r="D29">
        <v>2.21</v>
      </c>
      <c r="F29">
        <v>0.11</v>
      </c>
      <c r="G29">
        <v>-1.24</v>
      </c>
    </row>
    <row r="30" spans="1:7" x14ac:dyDescent="0.2">
      <c r="A30" t="s">
        <v>94</v>
      </c>
      <c r="B30">
        <v>23.33</v>
      </c>
      <c r="D30">
        <v>2.23</v>
      </c>
      <c r="F30">
        <v>0.17</v>
      </c>
      <c r="G30">
        <v>-1.45</v>
      </c>
    </row>
    <row r="31" spans="1:7" x14ac:dyDescent="0.2">
      <c r="A31" t="s">
        <v>95</v>
      </c>
      <c r="B31">
        <v>21.62</v>
      </c>
      <c r="D31">
        <v>2.66</v>
      </c>
      <c r="F31">
        <v>0.2</v>
      </c>
      <c r="G31">
        <v>-0.9</v>
      </c>
    </row>
    <row r="32" spans="1:7" x14ac:dyDescent="0.2">
      <c r="A32" t="s">
        <v>96</v>
      </c>
      <c r="B32">
        <v>21.67</v>
      </c>
      <c r="D32">
        <v>2.29</v>
      </c>
      <c r="F32">
        <v>0.23</v>
      </c>
      <c r="G32">
        <v>-0.85</v>
      </c>
    </row>
    <row r="33" spans="1:7" x14ac:dyDescent="0.2">
      <c r="A33" t="s">
        <v>97</v>
      </c>
      <c r="B33">
        <v>22.18</v>
      </c>
      <c r="D33">
        <v>2.92</v>
      </c>
      <c r="F33">
        <v>0.32</v>
      </c>
      <c r="G33">
        <v>-1.93</v>
      </c>
    </row>
    <row r="34" spans="1:7" x14ac:dyDescent="0.2">
      <c r="A34" t="s">
        <v>98</v>
      </c>
      <c r="B34">
        <v>24.05</v>
      </c>
      <c r="D34">
        <v>2.74</v>
      </c>
      <c r="F34">
        <v>0.49</v>
      </c>
      <c r="G34">
        <v>-1.52</v>
      </c>
    </row>
    <row r="35" spans="1:7" x14ac:dyDescent="0.2">
      <c r="A35" t="s">
        <v>99</v>
      </c>
      <c r="B35">
        <v>23.94</v>
      </c>
      <c r="D35">
        <v>3.99</v>
      </c>
      <c r="F35">
        <v>0.67</v>
      </c>
      <c r="G35">
        <v>-1.1399999999999999</v>
      </c>
    </row>
    <row r="36" spans="1:7" x14ac:dyDescent="0.2">
      <c r="A36" t="s">
        <v>100</v>
      </c>
      <c r="B36">
        <v>22.81</v>
      </c>
      <c r="D36">
        <v>3.81</v>
      </c>
      <c r="F36">
        <v>0.42</v>
      </c>
      <c r="G36">
        <v>-1.44</v>
      </c>
    </row>
    <row r="37" spans="1:7" x14ac:dyDescent="0.2">
      <c r="A37" t="s">
        <v>101</v>
      </c>
      <c r="B37">
        <v>24.53</v>
      </c>
      <c r="D37">
        <v>3.51</v>
      </c>
      <c r="F37">
        <v>0.44</v>
      </c>
      <c r="G37">
        <v>-1.85</v>
      </c>
    </row>
    <row r="38" spans="1:7" x14ac:dyDescent="0.2">
      <c r="A38" t="s">
        <v>102</v>
      </c>
      <c r="B38">
        <v>23.73</v>
      </c>
      <c r="D38">
        <v>3.13</v>
      </c>
      <c r="F38">
        <v>0.38</v>
      </c>
      <c r="G38">
        <v>-3.66</v>
      </c>
    </row>
    <row r="39" spans="1:7" x14ac:dyDescent="0.2">
      <c r="A39" t="s">
        <v>103</v>
      </c>
      <c r="B39">
        <v>26.32</v>
      </c>
      <c r="D39">
        <v>3.75</v>
      </c>
      <c r="F39">
        <v>0.34</v>
      </c>
      <c r="G39">
        <v>-4.04</v>
      </c>
    </row>
    <row r="40" spans="1:7" x14ac:dyDescent="0.2">
      <c r="A40" t="s">
        <v>104</v>
      </c>
      <c r="B40">
        <v>24.84</v>
      </c>
      <c r="D40">
        <v>3.88</v>
      </c>
      <c r="F40">
        <v>-0.01</v>
      </c>
      <c r="G40">
        <v>-4.3600000000000003</v>
      </c>
    </row>
    <row r="41" spans="1:7" x14ac:dyDescent="0.2">
      <c r="A41" t="s">
        <v>105</v>
      </c>
      <c r="B41">
        <v>26.05</v>
      </c>
      <c r="D41">
        <v>3.2</v>
      </c>
      <c r="F41">
        <v>0.16</v>
      </c>
      <c r="G41">
        <v>-4.8099999999999996</v>
      </c>
    </row>
    <row r="42" spans="1:7" x14ac:dyDescent="0.2">
      <c r="A42" t="s">
        <v>106</v>
      </c>
      <c r="B42">
        <v>26.81</v>
      </c>
      <c r="D42">
        <v>3.66</v>
      </c>
      <c r="F42">
        <v>0.18</v>
      </c>
      <c r="G42">
        <v>-4.16</v>
      </c>
    </row>
    <row r="43" spans="1:7" x14ac:dyDescent="0.2">
      <c r="A43" t="s">
        <v>107</v>
      </c>
      <c r="B43">
        <v>29.58</v>
      </c>
      <c r="D43">
        <v>4.08</v>
      </c>
      <c r="F43">
        <v>0.22</v>
      </c>
      <c r="G43">
        <v>-2.89</v>
      </c>
    </row>
    <row r="44" spans="1:7" x14ac:dyDescent="0.2">
      <c r="A44" t="s">
        <v>108</v>
      </c>
      <c r="B44">
        <v>34.78</v>
      </c>
      <c r="D44">
        <v>7.09</v>
      </c>
      <c r="F44">
        <v>1.58</v>
      </c>
      <c r="G44">
        <v>-2.0499999999999998</v>
      </c>
    </row>
    <row r="45" spans="1:7" x14ac:dyDescent="0.2">
      <c r="A45" t="s">
        <v>109</v>
      </c>
      <c r="B45">
        <v>35.200000000000003</v>
      </c>
      <c r="D45">
        <v>7.88</v>
      </c>
      <c r="F45">
        <v>2.35</v>
      </c>
      <c r="G45">
        <v>-1.84</v>
      </c>
    </row>
    <row r="46" spans="1:7" x14ac:dyDescent="0.2">
      <c r="A46" t="s">
        <v>110</v>
      </c>
      <c r="B46">
        <v>34.93</v>
      </c>
      <c r="D46">
        <v>8.7100000000000009</v>
      </c>
      <c r="F46">
        <v>1.33</v>
      </c>
      <c r="G46">
        <v>-0.91</v>
      </c>
    </row>
    <row r="47" spans="1:7" x14ac:dyDescent="0.2">
      <c r="A47" t="s">
        <v>111</v>
      </c>
      <c r="B47">
        <v>37.82</v>
      </c>
      <c r="D47">
        <v>10.37</v>
      </c>
      <c r="F47">
        <v>1.83</v>
      </c>
      <c r="G47">
        <v>0.45</v>
      </c>
    </row>
    <row r="48" spans="1:7" x14ac:dyDescent="0.2">
      <c r="A48" t="s">
        <v>112</v>
      </c>
      <c r="B48">
        <v>36.020000000000003</v>
      </c>
      <c r="D48">
        <v>8.31</v>
      </c>
      <c r="F48">
        <v>1.21</v>
      </c>
      <c r="G48">
        <v>-2.46</v>
      </c>
    </row>
    <row r="49" spans="1:8" x14ac:dyDescent="0.2">
      <c r="A49" t="s">
        <v>113</v>
      </c>
      <c r="B49">
        <v>36.01</v>
      </c>
      <c r="D49">
        <v>9.39</v>
      </c>
      <c r="F49">
        <v>1.21</v>
      </c>
      <c r="G49">
        <v>-2.71</v>
      </c>
    </row>
    <row r="50" spans="1:8" x14ac:dyDescent="0.2">
      <c r="A50" t="s">
        <v>114</v>
      </c>
      <c r="B50">
        <v>36.909999999999997</v>
      </c>
      <c r="D50">
        <v>8.92</v>
      </c>
      <c r="F50">
        <v>1.28</v>
      </c>
      <c r="G50">
        <v>-0.47</v>
      </c>
    </row>
    <row r="51" spans="1:8" x14ac:dyDescent="0.2">
      <c r="A51" t="s">
        <v>115</v>
      </c>
      <c r="B51">
        <v>34.65</v>
      </c>
      <c r="C51">
        <v>1.42</v>
      </c>
      <c r="D51">
        <v>8.2799999999999994</v>
      </c>
      <c r="E51">
        <v>1.93</v>
      </c>
      <c r="F51">
        <v>1.18</v>
      </c>
      <c r="G51">
        <v>-1.81</v>
      </c>
      <c r="H51">
        <v>23.64</v>
      </c>
    </row>
    <row r="52" spans="1:8" x14ac:dyDescent="0.2">
      <c r="A52" t="s">
        <v>116</v>
      </c>
      <c r="B52">
        <v>33.880000000000003</v>
      </c>
      <c r="C52">
        <v>1.25</v>
      </c>
      <c r="D52">
        <v>8.73</v>
      </c>
      <c r="E52">
        <v>1.76</v>
      </c>
      <c r="F52">
        <v>1.27</v>
      </c>
      <c r="G52">
        <v>-1.6</v>
      </c>
      <c r="H52">
        <v>22.48</v>
      </c>
    </row>
    <row r="53" spans="1:8" x14ac:dyDescent="0.2">
      <c r="A53" t="s">
        <v>117</v>
      </c>
      <c r="B53">
        <v>32.119999999999997</v>
      </c>
      <c r="C53">
        <v>1.1200000000000001</v>
      </c>
      <c r="D53">
        <v>9.59</v>
      </c>
      <c r="E53">
        <v>1.45</v>
      </c>
      <c r="F53">
        <v>1.1599999999999999</v>
      </c>
      <c r="G53">
        <v>-1.55</v>
      </c>
      <c r="H53">
        <v>20.34</v>
      </c>
    </row>
    <row r="54" spans="1:8" x14ac:dyDescent="0.2">
      <c r="A54" t="s">
        <v>118</v>
      </c>
      <c r="B54">
        <v>32.24</v>
      </c>
      <c r="C54">
        <v>1.04</v>
      </c>
      <c r="D54">
        <v>10.33</v>
      </c>
      <c r="E54">
        <v>1.36</v>
      </c>
      <c r="F54">
        <v>1.36</v>
      </c>
      <c r="G54">
        <v>-1.41</v>
      </c>
      <c r="H54">
        <v>19.559999999999999</v>
      </c>
    </row>
    <row r="55" spans="1:8" x14ac:dyDescent="0.2">
      <c r="A55" t="s">
        <v>119</v>
      </c>
      <c r="B55">
        <v>31.09</v>
      </c>
      <c r="C55">
        <v>1.1200000000000001</v>
      </c>
      <c r="D55">
        <v>11.06</v>
      </c>
      <c r="E55">
        <v>1.28</v>
      </c>
      <c r="F55">
        <v>0.84</v>
      </c>
      <c r="G55">
        <v>-1.17</v>
      </c>
      <c r="H55">
        <v>17.97</v>
      </c>
    </row>
    <row r="56" spans="1:8" x14ac:dyDescent="0.2">
      <c r="A56" t="s">
        <v>120</v>
      </c>
      <c r="B56">
        <v>31.35</v>
      </c>
      <c r="C56">
        <v>1.1200000000000001</v>
      </c>
      <c r="D56">
        <v>10.65</v>
      </c>
      <c r="E56">
        <v>1.4</v>
      </c>
      <c r="F56">
        <v>0.87</v>
      </c>
      <c r="G56">
        <v>-0.79</v>
      </c>
      <c r="H56">
        <v>18.11</v>
      </c>
    </row>
    <row r="57" spans="1:8" x14ac:dyDescent="0.2">
      <c r="A57" t="s">
        <v>121</v>
      </c>
      <c r="B57">
        <v>32.07</v>
      </c>
      <c r="C57">
        <v>1.39</v>
      </c>
      <c r="D57">
        <v>10.34</v>
      </c>
      <c r="E57">
        <v>1.39</v>
      </c>
      <c r="F57">
        <v>0.88</v>
      </c>
      <c r="G57">
        <v>-1.22</v>
      </c>
      <c r="H57">
        <v>19.29</v>
      </c>
    </row>
    <row r="58" spans="1:8" x14ac:dyDescent="0.2">
      <c r="A58" t="s">
        <v>122</v>
      </c>
      <c r="B58">
        <v>31.75</v>
      </c>
      <c r="C58">
        <v>1.33</v>
      </c>
      <c r="D58">
        <v>9.58</v>
      </c>
      <c r="E58">
        <v>0.94</v>
      </c>
      <c r="F58">
        <v>0.93</v>
      </c>
      <c r="G58">
        <v>-1.37</v>
      </c>
      <c r="H58">
        <v>20.34</v>
      </c>
    </row>
    <row r="59" spans="1:8" x14ac:dyDescent="0.2">
      <c r="A59" t="s">
        <v>123</v>
      </c>
      <c r="B59">
        <v>29.55</v>
      </c>
      <c r="C59">
        <v>1.45</v>
      </c>
      <c r="D59">
        <v>9.15</v>
      </c>
      <c r="E59">
        <v>1.56</v>
      </c>
      <c r="F59">
        <v>1.05</v>
      </c>
      <c r="G59">
        <v>-2.79</v>
      </c>
      <c r="H59">
        <v>19.13</v>
      </c>
    </row>
    <row r="60" spans="1:8" x14ac:dyDescent="0.2">
      <c r="A60" t="s">
        <v>8</v>
      </c>
      <c r="B60">
        <v>29.15</v>
      </c>
      <c r="C60">
        <v>1.18</v>
      </c>
      <c r="D60">
        <v>9.34</v>
      </c>
      <c r="E60">
        <v>1.41</v>
      </c>
      <c r="F60">
        <v>1.18</v>
      </c>
      <c r="G60">
        <v>-6.66</v>
      </c>
      <c r="H60">
        <v>22.69</v>
      </c>
    </row>
    <row r="61" spans="1:8" x14ac:dyDescent="0.2">
      <c r="A61" t="s">
        <v>9</v>
      </c>
      <c r="B61">
        <v>31.2</v>
      </c>
      <c r="C61">
        <v>1.32</v>
      </c>
      <c r="D61">
        <v>10.26</v>
      </c>
      <c r="E61">
        <v>1.52</v>
      </c>
      <c r="F61">
        <v>0.98</v>
      </c>
      <c r="G61">
        <v>-2.98</v>
      </c>
      <c r="H61">
        <v>20.100000000000001</v>
      </c>
    </row>
    <row r="62" spans="1:8" x14ac:dyDescent="0.2">
      <c r="A62" t="s">
        <v>11</v>
      </c>
      <c r="B62">
        <v>30.66</v>
      </c>
      <c r="C62">
        <v>1.23</v>
      </c>
      <c r="D62">
        <v>9.83</v>
      </c>
      <c r="E62">
        <v>1.73</v>
      </c>
      <c r="F62">
        <v>1.1399999999999999</v>
      </c>
      <c r="G62">
        <v>-1.91</v>
      </c>
      <c r="H62">
        <v>18.63</v>
      </c>
    </row>
    <row r="63" spans="1:8" x14ac:dyDescent="0.2">
      <c r="A63" t="s">
        <v>1270</v>
      </c>
      <c r="B63">
        <v>30.74</v>
      </c>
      <c r="C63">
        <v>1.51</v>
      </c>
      <c r="D63">
        <v>9.5399999999999991</v>
      </c>
      <c r="E63">
        <v>1.39</v>
      </c>
      <c r="F63">
        <v>1.1100000000000001</v>
      </c>
      <c r="G63">
        <v>-0.95</v>
      </c>
      <c r="H63">
        <v>18.13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N25"/>
  <sheetViews>
    <sheetView tabSelected="1" topLeftCell="D1" workbookViewId="0">
      <selection activeCell="A18" activeCellId="3" sqref="A7:XFD7 A12:XFD12 A17:XFD17 A18:XFD18"/>
    </sheetView>
  </sheetViews>
  <sheetFormatPr baseColWidth="10" defaultRowHeight="16" x14ac:dyDescent="0.2"/>
  <cols>
    <col min="1" max="1" width="70.5" bestFit="1" customWidth="1"/>
    <col min="2" max="7" width="13.1640625" bestFit="1" customWidth="1"/>
    <col min="8" max="8" width="17.5" bestFit="1" customWidth="1"/>
    <col min="9" max="9" width="13.1640625" bestFit="1" customWidth="1"/>
    <col min="10" max="10" width="16.6640625" customWidth="1"/>
    <col min="11" max="11" width="26.83203125" customWidth="1"/>
    <col min="12" max="16" width="13.1640625" bestFit="1" customWidth="1"/>
  </cols>
  <sheetData>
    <row r="1" spans="1:14" x14ac:dyDescent="0.2">
      <c r="A1" t="s">
        <v>248</v>
      </c>
      <c r="H1" t="s">
        <v>1427</v>
      </c>
      <c r="I1">
        <f>300*10^6</f>
        <v>300000000</v>
      </c>
    </row>
    <row r="2" spans="1:14" x14ac:dyDescent="0.2">
      <c r="A2" t="s">
        <v>225</v>
      </c>
    </row>
    <row r="3" spans="1:14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  <c r="L3" t="s">
        <v>197</v>
      </c>
      <c r="M3" t="s">
        <v>1204</v>
      </c>
      <c r="N3" t="s">
        <v>1426</v>
      </c>
    </row>
    <row r="4" spans="1:14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  <c r="L4" s="7">
        <v>76480905.200000003</v>
      </c>
      <c r="M4" s="7">
        <v>87715732</v>
      </c>
      <c r="N4" s="7">
        <v>94681153.900000006</v>
      </c>
    </row>
    <row r="5" spans="1:14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  <c r="L5" s="7">
        <v>2849880.1</v>
      </c>
      <c r="M5" s="7">
        <v>5275249</v>
      </c>
      <c r="N5" s="7">
        <v>2089294.8</v>
      </c>
    </row>
    <row r="6" spans="1:14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  <c r="L6" s="7">
        <v>73631025.099999994</v>
      </c>
      <c r="M6" s="7">
        <v>82440483</v>
      </c>
      <c r="N6" s="7">
        <v>92591859</v>
      </c>
    </row>
    <row r="7" spans="1:14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  <c r="L7" s="7">
        <v>27331260.100000001</v>
      </c>
      <c r="M7" s="7">
        <v>29763748.5</v>
      </c>
      <c r="N7" s="7">
        <v>33289470.100000001</v>
      </c>
    </row>
    <row r="8" spans="1:14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  <c r="L8" s="7">
        <v>3124074.4</v>
      </c>
      <c r="M8" s="7">
        <v>3318674.5</v>
      </c>
      <c r="N8" s="7">
        <v>4540134.2</v>
      </c>
    </row>
    <row r="9" spans="1:14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  <c r="L9" s="7">
        <v>579402</v>
      </c>
      <c r="M9" s="7">
        <v>674169.6</v>
      </c>
      <c r="N9" s="7">
        <v>775555.4</v>
      </c>
    </row>
    <row r="10" spans="1:14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  <c r="L10" s="7">
        <v>2544672.4</v>
      </c>
      <c r="M10" s="7">
        <v>2644504.9</v>
      </c>
      <c r="N10" s="7">
        <v>3764578.8</v>
      </c>
    </row>
    <row r="11" spans="1:14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  <c r="L11" s="7">
        <v>24207185.699999999</v>
      </c>
      <c r="M11" s="7">
        <v>26445074</v>
      </c>
      <c r="N11" s="7">
        <v>28749336</v>
      </c>
    </row>
    <row r="12" spans="1:14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  <c r="L12" s="7">
        <v>5910022.2000000002</v>
      </c>
      <c r="M12" s="7">
        <v>7698213.4000000004</v>
      </c>
      <c r="N12" s="7">
        <v>7549132</v>
      </c>
    </row>
    <row r="13" spans="1:14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  <c r="L13" s="7">
        <v>3595675.6</v>
      </c>
      <c r="M13" s="7">
        <v>4642213.8</v>
      </c>
      <c r="N13" s="7">
        <v>4193976.4</v>
      </c>
    </row>
    <row r="14" spans="1:14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  <c r="L14" s="7">
        <v>65716</v>
      </c>
      <c r="M14" s="7">
        <v>67231.100000000006</v>
      </c>
      <c r="N14" s="7">
        <v>70740.2</v>
      </c>
    </row>
    <row r="15" spans="1:14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  <c r="L15" s="7">
        <v>3529959.6</v>
      </c>
      <c r="M15" s="7">
        <v>4574982.7</v>
      </c>
      <c r="N15" s="7">
        <v>4123236.2</v>
      </c>
    </row>
    <row r="16" spans="1:14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  <c r="L16" s="7">
        <v>2314346.6</v>
      </c>
      <c r="M16" s="7">
        <v>3055999.6</v>
      </c>
      <c r="N16" s="7">
        <v>3355155.6</v>
      </c>
    </row>
    <row r="17" spans="1:14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  <c r="L17" s="7">
        <v>-7033589.9000000004</v>
      </c>
      <c r="M17" s="7">
        <v>-5126224.2</v>
      </c>
      <c r="N17" s="7">
        <v>-2859337.9</v>
      </c>
    </row>
    <row r="18" spans="1:14" x14ac:dyDescent="0.2">
      <c r="A18" s="21" t="s">
        <v>257</v>
      </c>
      <c r="B18" s="54">
        <v>20655660</v>
      </c>
      <c r="C18" s="54">
        <v>22352800</v>
      </c>
      <c r="D18" s="54">
        <v>22853010</v>
      </c>
      <c r="E18" s="54">
        <v>24391040</v>
      </c>
      <c r="F18" s="54">
        <v>24749130</v>
      </c>
      <c r="G18" s="54">
        <v>27871340</v>
      </c>
      <c r="H18" s="54">
        <v>32965960</v>
      </c>
      <c r="I18" s="54">
        <v>38445820</v>
      </c>
      <c r="J18" s="54">
        <v>39291480</v>
      </c>
      <c r="K18" s="54">
        <v>43905840</v>
      </c>
      <c r="L18" s="54">
        <v>47423332.700000003</v>
      </c>
      <c r="M18" s="54">
        <v>50104750</v>
      </c>
      <c r="N18" s="54">
        <v>54612590</v>
      </c>
    </row>
    <row r="19" spans="1:14" x14ac:dyDescent="0.2">
      <c r="A19" s="21" t="s">
        <v>266</v>
      </c>
      <c r="B19" s="54">
        <v>6426090</v>
      </c>
      <c r="C19" s="54">
        <v>7336160</v>
      </c>
      <c r="D19" s="54">
        <v>8320910</v>
      </c>
      <c r="E19" s="54">
        <v>8804160</v>
      </c>
      <c r="F19" s="54">
        <v>11108450</v>
      </c>
      <c r="G19" s="54">
        <v>11460290</v>
      </c>
      <c r="H19" s="54">
        <v>13057050</v>
      </c>
      <c r="I19" s="54">
        <v>14924450</v>
      </c>
      <c r="J19" s="54">
        <v>16124680</v>
      </c>
      <c r="K19" s="54">
        <v>23037080</v>
      </c>
      <c r="L19" s="54">
        <v>17127035.699999999</v>
      </c>
      <c r="M19" s="54">
        <v>13311200</v>
      </c>
      <c r="N19" s="54">
        <v>15516410</v>
      </c>
    </row>
    <row r="20" spans="1:14" x14ac:dyDescent="0.2">
      <c r="A20" s="21" t="s">
        <v>258</v>
      </c>
      <c r="B20" s="54">
        <v>9327290</v>
      </c>
      <c r="C20" s="54">
        <v>10640410</v>
      </c>
      <c r="D20" s="54">
        <v>11907700</v>
      </c>
      <c r="E20" s="54">
        <v>12572470</v>
      </c>
      <c r="F20" s="54">
        <v>14962320</v>
      </c>
      <c r="G20" s="54">
        <v>16146770</v>
      </c>
      <c r="H20" s="54">
        <v>20564050</v>
      </c>
      <c r="I20" s="54">
        <v>22636900</v>
      </c>
      <c r="J20" s="54">
        <v>23990870</v>
      </c>
      <c r="K20" s="54">
        <v>31089970</v>
      </c>
      <c r="L20" s="54">
        <v>26119738.100000001</v>
      </c>
      <c r="M20" s="54">
        <v>29276040</v>
      </c>
      <c r="N20" s="54">
        <v>34306400</v>
      </c>
    </row>
    <row r="21" spans="1:14" x14ac:dyDescent="0.2">
      <c r="A21" s="21" t="s">
        <v>259</v>
      </c>
      <c r="B21" s="54">
        <v>2901200</v>
      </c>
      <c r="C21" s="54">
        <v>3304250</v>
      </c>
      <c r="D21" s="54">
        <v>3586790</v>
      </c>
      <c r="E21" s="54">
        <v>3768320</v>
      </c>
      <c r="F21" s="54">
        <v>3853880</v>
      </c>
      <c r="G21" s="54">
        <v>4686480</v>
      </c>
      <c r="H21" s="54">
        <v>7507000</v>
      </c>
      <c r="I21" s="54">
        <v>7712450</v>
      </c>
      <c r="J21" s="54">
        <v>7866190</v>
      </c>
      <c r="K21" s="54">
        <v>8052890</v>
      </c>
      <c r="L21" s="54">
        <v>8992702.4000000004</v>
      </c>
      <c r="M21" s="54">
        <v>15964850</v>
      </c>
      <c r="N21" s="54">
        <v>18789990</v>
      </c>
    </row>
    <row r="22" spans="1:14" x14ac:dyDescent="0.2">
      <c r="A22" s="21" t="s">
        <v>260</v>
      </c>
      <c r="B22" s="54">
        <v>13893220</v>
      </c>
      <c r="C22" s="54">
        <v>14650130</v>
      </c>
      <c r="D22" s="54">
        <v>14164280</v>
      </c>
      <c r="E22" s="54">
        <v>15131270</v>
      </c>
      <c r="F22" s="54">
        <v>13175990</v>
      </c>
      <c r="G22" s="54">
        <v>15945730</v>
      </c>
      <c r="H22" s="54">
        <v>19442260</v>
      </c>
      <c r="I22" s="54">
        <v>23094630</v>
      </c>
      <c r="J22" s="54">
        <v>22735440</v>
      </c>
      <c r="K22" s="54">
        <v>20484320</v>
      </c>
      <c r="L22" s="54">
        <v>29683023.899999999</v>
      </c>
      <c r="M22" s="54">
        <v>36148510</v>
      </c>
      <c r="N22" s="54">
        <v>38445150</v>
      </c>
    </row>
    <row r="23" spans="1:14" x14ac:dyDescent="0.2">
      <c r="A23" s="21" t="s">
        <v>261</v>
      </c>
      <c r="B23" s="54">
        <v>336350</v>
      </c>
      <c r="C23" s="54">
        <v>366500</v>
      </c>
      <c r="D23" s="54">
        <v>367820</v>
      </c>
      <c r="E23" s="54">
        <v>455620</v>
      </c>
      <c r="F23" s="54">
        <v>464690</v>
      </c>
      <c r="G23" s="54">
        <v>465320</v>
      </c>
      <c r="H23" s="54">
        <v>466650</v>
      </c>
      <c r="I23" s="54">
        <v>426730</v>
      </c>
      <c r="J23" s="54">
        <v>431360</v>
      </c>
      <c r="K23" s="54">
        <v>384440</v>
      </c>
      <c r="L23" s="54">
        <v>613273.1</v>
      </c>
      <c r="M23" s="54">
        <v>645040</v>
      </c>
      <c r="N23" s="54">
        <v>651040</v>
      </c>
    </row>
    <row r="25" spans="1:14" x14ac:dyDescent="0.2">
      <c r="N25" s="7">
        <f>N20-N21</f>
        <v>15516410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workbookViewId="0">
      <selection activeCell="D3" sqref="D3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222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C25" sqref="C25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Savings-Rates-India</vt:lpstr>
      <vt:lpstr>Savings-Rates-Institutions</vt:lpstr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2025-10-20T05:27:56Z</dcterms:modified>
</cp:coreProperties>
</file>