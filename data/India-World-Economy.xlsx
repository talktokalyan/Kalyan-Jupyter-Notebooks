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4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7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8.xml" ContentType="application/vnd.openxmlformats-officedocument.drawing+xml"/>
  <Override PartName="/xl/charts/chartEx1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"/>
    </mc:Choice>
  </mc:AlternateContent>
  <xr:revisionPtr revIDLastSave="57" documentId="8_{28FFCAC0-0054-E748-A16F-43803246E076}" xr6:coauthVersionLast="47" xr6:coauthVersionMax="47" xr10:uidLastSave="{9AF2481C-6B85-E746-BC7C-CA4C5D5DE18B}"/>
  <bookViews>
    <workbookView xWindow="4500" yWindow="620" windowWidth="29400" windowHeight="16220" activeTab="2" xr2:uid="{76B7034E-9A87-8443-BB0E-07AC5642BFDE}"/>
  </bookViews>
  <sheets>
    <sheet name="Savings-Rates-India" sheetId="50" r:id="rId1"/>
    <sheet name="Savings-Rates-Institutions" sheetId="49" r:id="rId2"/>
    <sheet name="GCF-Financing" sheetId="8" r:id="rId3"/>
    <sheet name="RBI-Rates" sheetId="48" r:id="rId4"/>
    <sheet name="WPI-Inflation" sheetId="47" r:id="rId5"/>
    <sheet name="CPI-Level" sheetId="46" r:id="rId6"/>
    <sheet name="CPI-Inflation" sheetId="45" r:id="rId7"/>
    <sheet name="REER-CPI" sheetId="43" r:id="rId8"/>
    <sheet name="Textile-Apparel-Imports" sheetId="42" r:id="rId9"/>
    <sheet name="Textile-Apparel-Exports" sheetId="41" r:id="rId10"/>
    <sheet name="Trade Balance" sheetId="40" r:id="rId11"/>
    <sheet name="WPI-Textiles" sheetId="39" r:id="rId12"/>
    <sheet name="Inflation-Clothing" sheetId="38" r:id="rId13"/>
    <sheet name="InstitutionalCredit-Industry" sheetId="37" r:id="rId14"/>
    <sheet name="GDP growth rate" sheetId="28" r:id="rId15"/>
    <sheet name="country-code" sheetId="30" r:id="rId16"/>
    <sheet name="GDP-Per Cap" sheetId="29" r:id="rId17"/>
    <sheet name="GDP-10-ConstUSD" sheetId="27" r:id="rId18"/>
    <sheet name="IIP" sheetId="16" r:id="rId19"/>
    <sheet name="ASI-Tex-Apparel" sheetId="35" r:id="rId20"/>
    <sheet name="IIP-Textiles-Apparel" sheetId="32" r:id="rId21"/>
    <sheet name="OBICUS-Order-Books" sheetId="34" r:id="rId22"/>
    <sheet name="OBICUS-Survey" sheetId="17" r:id="rId23"/>
    <sheet name="RCA - Textiles" sheetId="36" r:id="rId24"/>
    <sheet name="BOP-FinAcct" sheetId="25" r:id="rId25"/>
    <sheet name="Unemp-rate" sheetId="24" r:id="rId26"/>
    <sheet name="LFPR" sheetId="23" r:id="rId27"/>
    <sheet name="Corp-Gov-vs-Pvt" sheetId="20" r:id="rId28"/>
    <sheet name="Corporate-Pvt-Perf" sheetId="21" r:id="rId29"/>
    <sheet name="Corporate-Gov-Perf" sheetId="19" r:id="rId30"/>
    <sheet name="Corp-Fin-Perf" sheetId="18" r:id="rId31"/>
    <sheet name="CG-Tax-Rev" sheetId="15" r:id="rId32"/>
    <sheet name="CG-Deficit-Financing" sheetId="14" r:id="rId33"/>
    <sheet name="Power SourcesCoal_x000a__x000a_203,775_x000a__x000a_49." sheetId="31" r:id="rId34"/>
    <sheet name="C-GOVT-FINANCES" sheetId="13" r:id="rId35"/>
    <sheet name="House-Price-Index" sheetId="11" r:id="rId36"/>
    <sheet name="WPI" sheetId="10" r:id="rId37"/>
    <sheet name="GCF-Public &amp; Private" sheetId="7" r:id="rId38"/>
    <sheet name="GVA" sheetId="6" r:id="rId39"/>
    <sheet name="GDP-Nominal" sheetId="4" r:id="rId40"/>
    <sheet name="GDp-Components" sheetId="5" r:id="rId41"/>
    <sheet name="CPI" sheetId="2" r:id="rId42"/>
    <sheet name="GDP Projection" sheetId="3" r:id="rId43"/>
  </sheets>
  <externalReferences>
    <externalReference r:id="rId44"/>
  </externalReferences>
  <definedNames>
    <definedName name="_xlnm._FilterDatabase" localSheetId="37" hidden="1">'GCF-Public &amp; Private'!$AC$1:$AC$34</definedName>
    <definedName name="_xlnm._FilterDatabase" localSheetId="38" hidden="1">GVA!$BK$1:$BK$29</definedName>
    <definedName name="_xlchart.v1.0" hidden="1">'Savings-Rates-Institutions'!$A$63</definedName>
    <definedName name="_xlchart.v1.1" hidden="1">'Savings-Rates-Institutions'!$B$3,'Savings-Rates-Institutions'!$D$3,'Savings-Rates-Institutions'!$E$3,'Savings-Rates-Institutions'!$F$3,'Savings-Rates-Institutions'!$G$3,'Savings-Rates-Institutions'!$H$3</definedName>
    <definedName name="_xlchart.v1.2" hidden="1">'Savings-Rates-Institutions'!$B$63,'Savings-Rates-Institutions'!$D$63,'Savings-Rates-Institutions'!$E$63,'Savings-Rates-Institutions'!$F$63,'Savings-Rates-Institutions'!$G$63,'Savings-Rates-Institutions'!$H$63</definedName>
    <definedName name="_xlchart.v1.3" hidden="1">'GDp-Components'!$A$1:$D$10</definedName>
    <definedName name="_xlchart.v1.4" hidden="1">'GDp-Components'!$E$1:$E$10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27" l="1"/>
  <c r="G15" i="27"/>
  <c r="G17" i="27"/>
  <c r="G18" i="27"/>
  <c r="G16" i="27"/>
  <c r="G3" i="27"/>
  <c r="G4" i="27"/>
  <c r="G5" i="27"/>
  <c r="G6" i="27"/>
  <c r="G7" i="27"/>
  <c r="G8" i="27"/>
  <c r="G9" i="27"/>
  <c r="G10" i="27"/>
  <c r="G11" i="27"/>
  <c r="G12" i="27"/>
  <c r="G13" i="27"/>
  <c r="G2" i="27"/>
  <c r="BL16" i="6"/>
  <c r="C61" i="29"/>
  <c r="D3" i="27"/>
  <c r="D4" i="27"/>
  <c r="D5" i="27"/>
  <c r="D6" i="27"/>
  <c r="D7" i="27"/>
  <c r="D8" i="27"/>
  <c r="D9" i="27"/>
  <c r="D10" i="27"/>
  <c r="D11" i="27"/>
  <c r="D12" i="27"/>
  <c r="D13" i="27"/>
  <c r="D16" i="27"/>
  <c r="D14" i="27"/>
  <c r="D15" i="27"/>
  <c r="D17" i="27"/>
  <c r="D18" i="27"/>
  <c r="D2" i="27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5" i="29"/>
  <c r="D6" i="29"/>
  <c r="D3" i="29"/>
  <c r="D4" i="29"/>
  <c r="D2" i="29"/>
  <c r="C6" i="29"/>
  <c r="C5" i="29"/>
  <c r="C4" i="29"/>
  <c r="C3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C252" i="29"/>
  <c r="C253" i="29"/>
  <c r="C254" i="29"/>
  <c r="C255" i="29"/>
  <c r="C256" i="29"/>
  <c r="C257" i="29"/>
  <c r="C258" i="29"/>
  <c r="C259" i="29"/>
  <c r="C260" i="29"/>
  <c r="C261" i="29"/>
  <c r="C262" i="29"/>
  <c r="C263" i="29"/>
  <c r="C264" i="29"/>
  <c r="C265" i="29"/>
  <c r="C2" i="29"/>
  <c r="C3" i="27" l="1"/>
  <c r="C4" i="27"/>
  <c r="C5" i="27"/>
  <c r="C7" i="27"/>
  <c r="C6" i="27"/>
  <c r="C8" i="27"/>
  <c r="C11" i="27"/>
  <c r="C12" i="27"/>
  <c r="C16" i="27"/>
  <c r="C10" i="27"/>
  <c r="C13" i="27"/>
  <c r="C9" i="27"/>
  <c r="C15" i="27"/>
  <c r="C14" i="27"/>
  <c r="C18" i="27"/>
  <c r="C17" i="27"/>
  <c r="C2" i="27"/>
  <c r="L18" i="8"/>
  <c r="L19" i="8"/>
  <c r="C4" i="20"/>
  <c r="D4" i="20"/>
  <c r="E4" i="20"/>
  <c r="F4" i="20"/>
  <c r="G4" i="20"/>
  <c r="H4" i="20"/>
  <c r="I4" i="20"/>
  <c r="J4" i="20"/>
  <c r="K4" i="20"/>
  <c r="L4" i="20"/>
  <c r="B4" i="20"/>
  <c r="D2" i="13"/>
  <c r="E2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5" i="13"/>
  <c r="AC5" i="7" l="1" a="1"/>
  <c r="AC5" i="7" s="1"/>
  <c r="AC6" i="7" a="1"/>
  <c r="AC6" i="7" s="1"/>
  <c r="AC7" i="7" a="1"/>
  <c r="AC7" i="7" s="1"/>
  <c r="AC8" i="7" a="1"/>
  <c r="AC8" i="7" s="1"/>
  <c r="AC9" i="7" a="1"/>
  <c r="AC9" i="7" s="1"/>
  <c r="AC10" i="7" a="1"/>
  <c r="AC10" i="7" s="1"/>
  <c r="AC11" i="7" a="1"/>
  <c r="AC11" i="7" s="1"/>
  <c r="AC12" i="7" a="1"/>
  <c r="AC12" i="7" s="1"/>
  <c r="AC13" i="7" a="1"/>
  <c r="AC13" i="7" s="1"/>
  <c r="AC14" i="7" a="1"/>
  <c r="AC14" i="7" s="1"/>
  <c r="AC15" i="7" a="1"/>
  <c r="AC15" i="7" s="1"/>
  <c r="AC16" i="7" a="1"/>
  <c r="AC16" i="7" s="1"/>
  <c r="AC17" i="7" a="1"/>
  <c r="AC17" i="7" s="1"/>
  <c r="AC18" i="7" a="1"/>
  <c r="AC18" i="7" s="1"/>
  <c r="AC19" i="7" a="1"/>
  <c r="AC19" i="7" s="1"/>
  <c r="AC20" i="7" a="1"/>
  <c r="AC20" i="7" s="1"/>
  <c r="AC21" i="7" a="1"/>
  <c r="AC21" i="7" s="1"/>
  <c r="AC22" i="7" a="1"/>
  <c r="AC22" i="7"/>
  <c r="AC23" i="7" a="1"/>
  <c r="AC23" i="7" s="1"/>
  <c r="AC24" i="7" a="1"/>
  <c r="AC24" i="7" s="1"/>
  <c r="AC25" i="7" a="1"/>
  <c r="AC25" i="7" s="1"/>
  <c r="AC26" i="7" a="1"/>
  <c r="AC26" i="7" s="1"/>
  <c r="AC27" i="7" a="1"/>
  <c r="AC27" i="7" s="1"/>
  <c r="AC28" i="7" a="1"/>
  <c r="AC28" i="7" s="1"/>
  <c r="AC29" i="7" a="1"/>
  <c r="AC29" i="7" s="1"/>
  <c r="AC30" i="7" a="1"/>
  <c r="AC30" i="7" s="1"/>
  <c r="AC31" i="7" a="1"/>
  <c r="AC31" i="7" s="1"/>
  <c r="AC32" i="7" a="1"/>
  <c r="AC32" i="7" s="1"/>
  <c r="AC33" i="7" a="1"/>
  <c r="AC33" i="7" s="1"/>
  <c r="AC34" i="7" a="1"/>
  <c r="AC34" i="7" s="1"/>
  <c r="AC4" i="7" a="1"/>
  <c r="AC4" i="7" s="1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C10" i="5"/>
  <c r="C6" i="5"/>
  <c r="C1" i="5"/>
  <c r="C2" i="5"/>
  <c r="C3" i="5"/>
  <c r="C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<sst xmlns="http://schemas.openxmlformats.org/spreadsheetml/2006/main" count="4109" uniqueCount="1426">
  <si>
    <t>Consumer Price Index (Y-o-Y % change)</t>
  </si>
  <si>
    <t>   CPI   </t>
  </si>
  <si>
    <t>Food &amp; beverages</t>
  </si>
  <si>
    <t>Pan &amp; tobacco</t>
  </si>
  <si>
    <t>Clothing &amp; footwear</t>
  </si>
  <si>
    <t>Housing</t>
  </si>
  <si>
    <t>Miscel.</t>
  </si>
  <si>
    <t>  Weight  </t>
  </si>
  <si>
    <t>2020-21</t>
  </si>
  <si>
    <t>2021-22</t>
  </si>
  <si>
    <t>Fuel &amp; light</t>
  </si>
  <si>
    <t>2022-23</t>
  </si>
  <si>
    <t>2021-22 (T)</t>
  </si>
  <si>
    <t>2022-23 (P)</t>
  </si>
  <si>
    <t>Consolidated</t>
  </si>
  <si>
    <t>India’s Real GDP Growth Projections</t>
  </si>
  <si>
    <t>Agency/ Institution</t>
  </si>
  <si>
    <t>Month of Release</t>
  </si>
  <si>
    <t>%</t>
  </si>
  <si>
    <t>CMIE</t>
  </si>
  <si>
    <t>Ministry of Finance</t>
  </si>
  <si>
    <t>RBI</t>
  </si>
  <si>
    <t>RBI forecasters survey (Median)</t>
  </si>
  <si>
    <t>CII</t>
  </si>
  <si>
    <t>International Monetary Fund (IMF)</t>
  </si>
  <si>
    <t>World Bank</t>
  </si>
  <si>
    <t>United Nations (UN)</t>
  </si>
  <si>
    <t>Asia Development Bank (ADB)</t>
  </si>
  <si>
    <t>OECD</t>
  </si>
  <si>
    <t>S&amp;P Global Ratings</t>
  </si>
  <si>
    <t>Fitch Ratings</t>
  </si>
  <si>
    <t>Moody’s</t>
  </si>
  <si>
    <t>ICRA</t>
  </si>
  <si>
    <t>Crisil</t>
  </si>
  <si>
    <t>Care Rating</t>
  </si>
  <si>
    <t>India Ratings</t>
  </si>
  <si>
    <t>SBI</t>
  </si>
  <si>
    <t>Bank of Baroda</t>
  </si>
  <si>
    <t>HDFC Bank</t>
  </si>
  <si>
    <t>Citi group</t>
  </si>
  <si>
    <t>Nomura</t>
  </si>
  <si>
    <t>UBS</t>
  </si>
  <si>
    <t>Morgan Stanley</t>
  </si>
  <si>
    <t>ICICI Securities</t>
  </si>
  <si>
    <t>Gross Domestic Product at Current Prices: By Expenditure/Demand: Base Year 2011-12</t>
  </si>
  <si>
    <t>Rs. Million : 1962-63 to 2021-22</t>
  </si>
  <si>
    <t xml:space="preserve">Year </t>
  </si>
  <si>
    <t xml:space="preserve">Total </t>
  </si>
  <si>
    <t xml:space="preserve">PFCE </t>
  </si>
  <si>
    <t xml:space="preserve">GFCE </t>
  </si>
  <si>
    <t xml:space="preserve">GCF </t>
  </si>
  <si>
    <t xml:space="preserve">Net exports of goods and services </t>
  </si>
  <si>
    <t xml:space="preserve">Exports of goods and services </t>
  </si>
  <si>
    <t xml:space="preserve">Imports of goods and services </t>
  </si>
  <si>
    <t xml:space="preserve">Discrepancies </t>
  </si>
  <si>
    <t xml:space="preserve">  </t>
  </si>
  <si>
    <t xml:space="preserve">GFCF </t>
  </si>
  <si>
    <t xml:space="preserve">Change in stocks </t>
  </si>
  <si>
    <t xml:space="preserve">Valuables </t>
  </si>
  <si>
    <t xml:space="preserve">Net </t>
  </si>
  <si>
    <t xml:space="preserve">Exports of goods,  net </t>
  </si>
  <si>
    <t xml:space="preserve">Exports of services,  net </t>
  </si>
  <si>
    <t xml:space="preserve">Exports of goods </t>
  </si>
  <si>
    <t xml:space="preserve">Exports of services </t>
  </si>
  <si>
    <t xml:space="preserve">Imports of goods </t>
  </si>
  <si>
    <t xml:space="preserve">Imports of services 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</si>
  <si>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</si>
  <si>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</si>
  <si>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</si>
  <si>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</si>
  <si>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</si>
  <si>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</si>
  <si>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</si>
  <si>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</si>
  <si>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</si>
  <si>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</si>
  <si>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</si>
  <si>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</si>
  <si>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</si>
  <si>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</si>
  <si>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</si>
  <si>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</si>
  <si>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</si>
  <si>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</si>
  <si>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</si>
  <si>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</si>
  <si>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</si>
  <si>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</si>
  <si>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</si>
  <si>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</si>
  <si>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</si>
  <si>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</si>
  <si>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</si>
  <si>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</si>
  <si>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</si>
  <si>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</si>
  <si>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</si>
  <si>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</si>
  <si>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</si>
  <si>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</si>
  <si>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</si>
  <si>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</si>
  <si>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</si>
  <si>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</si>
  <si>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</si>
  <si>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</si>
  <si>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</si>
  <si>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</si>
  <si>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</si>
  <si>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</si>
  <si>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</si>
  <si>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</si>
  <si>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</si>
  <si>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</si>
  <si>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</si>
  <si>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</si>
  <si>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</si>
  <si>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</si>
  <si>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</si>
  <si>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</si>
  <si>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</si>
  <si>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</si>
  <si>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</si>
  <si>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</si>
  <si>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GFCF</t>
  </si>
  <si>
    <t>Change in Stocks</t>
  </si>
  <si>
    <t>Valuables</t>
  </si>
  <si>
    <t>Exports - goods</t>
  </si>
  <si>
    <t>Exports -Services</t>
  </si>
  <si>
    <t>Imports-goods</t>
  </si>
  <si>
    <t>Imports Services</t>
  </si>
  <si>
    <t>GFCE (G)</t>
  </si>
  <si>
    <t>PFCE ( C )</t>
  </si>
  <si>
    <t>GCF (I)</t>
  </si>
  <si>
    <t>Net Exports (NX)</t>
  </si>
  <si>
    <t>Discrepancies</t>
  </si>
  <si>
    <t>GDP (Y)</t>
  </si>
  <si>
    <t>Gross Value Added at Constant Basic Prices: By Economic Activity: Base Year 2011-12</t>
  </si>
  <si>
    <t xml:space="preserve">1962-63 </t>
  </si>
  <si>
    <t xml:space="preserve">1963-64 </t>
  </si>
  <si>
    <t xml:space="preserve">1964-65 </t>
  </si>
  <si>
    <t xml:space="preserve">1965-66 </t>
  </si>
  <si>
    <t xml:space="preserve">1966-67 </t>
  </si>
  <si>
    <t xml:space="preserve">1967-68 </t>
  </si>
  <si>
    <t xml:space="preserve">1968-69 </t>
  </si>
  <si>
    <t xml:space="preserve">1969-70 </t>
  </si>
  <si>
    <t xml:space="preserve">1970-71 </t>
  </si>
  <si>
    <t xml:space="preserve">1971-72 </t>
  </si>
  <si>
    <t xml:space="preserve">1972-73 </t>
  </si>
  <si>
    <t xml:space="preserve">1973-74 </t>
  </si>
  <si>
    <t xml:space="preserve">1974-75 </t>
  </si>
  <si>
    <t xml:space="preserve">1975-76 </t>
  </si>
  <si>
    <t xml:space="preserve">1976-77 </t>
  </si>
  <si>
    <t xml:space="preserve">1977-78 </t>
  </si>
  <si>
    <t xml:space="preserve">1978-79 </t>
  </si>
  <si>
    <t xml:space="preserve">1979-80 </t>
  </si>
  <si>
    <t xml:space="preserve">1980-81 </t>
  </si>
  <si>
    <t xml:space="preserve">1981-82 </t>
  </si>
  <si>
    <t xml:space="preserve">1982-83 </t>
  </si>
  <si>
    <t xml:space="preserve">1983-84 </t>
  </si>
  <si>
    <t xml:space="preserve">1984-85 </t>
  </si>
  <si>
    <t xml:space="preserve">1985-86 </t>
  </si>
  <si>
    <t xml:space="preserve">1986-87 </t>
  </si>
  <si>
    <t xml:space="preserve">1987-88 </t>
  </si>
  <si>
    <t xml:space="preserve">1988-89 </t>
  </si>
  <si>
    <t xml:space="preserve">1989-90 </t>
  </si>
  <si>
    <t xml:space="preserve">1990-91 </t>
  </si>
  <si>
    <t xml:space="preserve">1991-92 </t>
  </si>
  <si>
    <t xml:space="preserve">1992-93 </t>
  </si>
  <si>
    <t xml:space="preserve">1993-94 </t>
  </si>
  <si>
    <t xml:space="preserve">1994-95 </t>
  </si>
  <si>
    <t xml:space="preserve">1995-96 </t>
  </si>
  <si>
    <t xml:space="preserve">1996-97 </t>
  </si>
  <si>
    <t xml:space="preserve">1997-98 </t>
  </si>
  <si>
    <t xml:space="preserve">1998-99 </t>
  </si>
  <si>
    <t xml:space="preserve">1999-00 </t>
  </si>
  <si>
    <t xml:space="preserve">2000-01 </t>
  </si>
  <si>
    <t xml:space="preserve">2001-02 </t>
  </si>
  <si>
    <t xml:space="preserve">2002-03 </t>
  </si>
  <si>
    <t xml:space="preserve">2003-04 </t>
  </si>
  <si>
    <t xml:space="preserve">2004-05 </t>
  </si>
  <si>
    <t xml:space="preserve">2005-06 </t>
  </si>
  <si>
    <t xml:space="preserve">2006-07 </t>
  </si>
  <si>
    <t xml:space="preserve">2007-08 </t>
  </si>
  <si>
    <t xml:space="preserve">2008-09 </t>
  </si>
  <si>
    <t xml:space="preserve">2009-10 </t>
  </si>
  <si>
    <t xml:space="preserve">2010-11 </t>
  </si>
  <si>
    <t xml:space="preserve">2011-12 </t>
  </si>
  <si>
    <t xml:space="preserve">2012-13 </t>
  </si>
  <si>
    <t xml:space="preserve">2013-14 </t>
  </si>
  <si>
    <t xml:space="preserve">2014-15 </t>
  </si>
  <si>
    <t xml:space="preserve">2015-16 </t>
  </si>
  <si>
    <t xml:space="preserve">2016-17 </t>
  </si>
  <si>
    <t xml:space="preserve">2017-18 </t>
  </si>
  <si>
    <t xml:space="preserve">2018-19 </t>
  </si>
  <si>
    <t xml:space="preserve">2019-20 </t>
  </si>
  <si>
    <t xml:space="preserve">2020-21 </t>
  </si>
  <si>
    <t xml:space="preserve">2021-22 </t>
  </si>
  <si>
    <t xml:space="preserve">    Total</t>
  </si>
  <si>
    <t xml:space="preserve">        Agriculture, forestry and fishing</t>
  </si>
  <si>
    <t xml:space="preserve">            Crops including irrigation</t>
  </si>
  <si>
    <t xml:space="preserve">                Crops</t>
  </si>
  <si>
    <t xml:space="preserve">                Irrigation</t>
  </si>
  <si>
    <t xml:space="preserve">            Livestock</t>
  </si>
  <si>
    <t xml:space="preserve">            Forestry and logging</t>
  </si>
  <si>
    <t xml:space="preserve">            Fishing and aquaculture</t>
  </si>
  <si>
    <t xml:space="preserve">        Industry</t>
  </si>
  <si>
    <t xml:space="preserve">            Mining and quarrying</t>
  </si>
  <si>
    <t xml:space="preserve">            Manufacturing</t>
  </si>
  <si>
    <t xml:space="preserve">                Food products, beverages and tobacco</t>
  </si>
  <si>
    <t xml:space="preserve">                Textiles, apparel and leather products</t>
  </si>
  <si>
    <t xml:space="preserve">                Metal products</t>
  </si>
  <si>
    <t xml:space="preserve">                Machinery and equipment</t>
  </si>
  <si>
    <t xml:space="preserve">                Other manufactured goods</t>
  </si>
  <si>
    <t xml:space="preserve">            Electricity, gas, water supply and other utility services</t>
  </si>
  <si>
    <t xml:space="preserve">                Electricity</t>
  </si>
  <si>
    <t xml:space="preserve">                Gas</t>
  </si>
  <si>
    <t xml:space="preserve">                Water supply</t>
  </si>
  <si>
    <t xml:space="preserve">                Other utility services</t>
  </si>
  <si>
    <t xml:space="preserve">            Construction</t>
  </si>
  <si>
    <t xml:space="preserve">        Services</t>
  </si>
  <si>
    <t xml:space="preserve">            Trade, hotels, transport, communication and broadcasting services</t>
  </si>
  <si>
    <t xml:space="preserve">            Financial services, real estate and professional services</t>
  </si>
  <si>
    <t xml:space="preserve">            Public administration, defence and other services</t>
  </si>
  <si>
    <t>Gross Capital Formation of Public Sector at Constant Prices: By Economic Activity: Base Year 2011-12</t>
  </si>
  <si>
    <t>Rs. Million : 1997-98 to 2020-21</t>
  </si>
  <si>
    <t xml:space="preserve">            Crops</t>
  </si>
  <si>
    <t xml:space="preserve">            Trade, hotel, transport, communication and broadcasting services</t>
  </si>
  <si>
    <t xml:space="preserve">                Trade, repair, hotels and restaurants</t>
  </si>
  <si>
    <t xml:space="preserve">                    Trade and repair services</t>
  </si>
  <si>
    <t xml:space="preserve">                    Hotels and restaurants</t>
  </si>
  <si>
    <t xml:space="preserve">                Transport storage, communication and broadcasting services</t>
  </si>
  <si>
    <t xml:space="preserve">                    Railways</t>
  </si>
  <si>
    <t xml:space="preserve">                    Transport by other means</t>
  </si>
  <si>
    <t xml:space="preserve">                        Road transport</t>
  </si>
  <si>
    <t xml:space="preserve">                        Water transport</t>
  </si>
  <si>
    <t xml:space="preserve">                        Air transport</t>
  </si>
  <si>
    <t xml:space="preserve">                        Services incidental to transport</t>
  </si>
  <si>
    <t xml:space="preserve">                    Storage</t>
  </si>
  <si>
    <t xml:space="preserve">                    Communication and broadcasting services</t>
  </si>
  <si>
    <t xml:space="preserve">                Financial services</t>
  </si>
  <si>
    <t xml:space="preserve">                Real estate, ownership of dwelling and professional services</t>
  </si>
  <si>
    <t xml:space="preserve">                Public administration and defence</t>
  </si>
  <si>
    <t xml:space="preserve">                Other services</t>
  </si>
  <si>
    <t>Private-GCF</t>
  </si>
  <si>
    <t>Public-GCF</t>
  </si>
  <si>
    <t>Household-GCF</t>
  </si>
  <si>
    <t>Highest Investor</t>
  </si>
  <si>
    <t>Sources of Financing Gross Capital Formation at Current Prices: Base Year 2011-12</t>
  </si>
  <si>
    <t xml:space="preserve">        Net capital inflow from rest of the world</t>
  </si>
  <si>
    <t xml:space="preserve">        Gross saving</t>
  </si>
  <si>
    <t xml:space="preserve">                Public non-financial corporations</t>
  </si>
  <si>
    <t xml:space="preserve">                    Departmental enterprises</t>
  </si>
  <si>
    <t xml:space="preserve">                    Non-departmental enterprises</t>
  </si>
  <si>
    <t xml:space="preserve">                Private non-financial corporations</t>
  </si>
  <si>
    <t xml:space="preserve">                Public financial corporations</t>
  </si>
  <si>
    <t xml:space="preserve">                Private financial corporations</t>
  </si>
  <si>
    <t xml:space="preserve">            Household sector</t>
  </si>
  <si>
    <t xml:space="preserve">                Gross financial saving</t>
  </si>
  <si>
    <t xml:space="preserve">                Financial liabilities</t>
  </si>
  <si>
    <t xml:space="preserve">                Saving in physical assets</t>
  </si>
  <si>
    <t xml:space="preserve">                Saving in the form of gold &amp; silver ornaments</t>
  </si>
  <si>
    <t>Year</t>
  </si>
  <si>
    <t xml:space="preserve">            General Government Saving</t>
  </si>
  <si>
    <t xml:space="preserve">            Financial corporations save</t>
  </si>
  <si>
    <t xml:space="preserve">            Non financial corporations save</t>
  </si>
  <si>
    <t xml:space="preserve">                Net financial saving (household)</t>
  </si>
  <si>
    <t xml:space="preserve">    Total Savings</t>
  </si>
  <si>
    <t xml:space="preserve">    Total Investment</t>
  </si>
  <si>
    <t>Wholesale Price Index (WPI): General Index, Groups and Sub-groups including Food Group: Base Year: 2011-12</t>
  </si>
  <si>
    <t>Index numbers : August 2017 to July 2022</t>
  </si>
  <si>
    <t xml:space="preserve">Month </t>
  </si>
  <si>
    <t xml:space="preserve">All commodities </t>
  </si>
  <si>
    <t xml:space="preserve">Primary articles </t>
  </si>
  <si>
    <t xml:space="preserve">Fuel &amp; power </t>
  </si>
  <si>
    <t xml:space="preserve">Manufactured  products </t>
  </si>
  <si>
    <t xml:space="preserve">Food group </t>
  </si>
  <si>
    <t xml:space="preserve">Food articles </t>
  </si>
  <si>
    <t xml:space="preserve">Non-food articles </t>
  </si>
  <si>
    <t xml:space="preserve">Minerals </t>
  </si>
  <si>
    <t xml:space="preserve">Crude petroleum &amp;  natural gas </t>
  </si>
  <si>
    <t xml:space="preserve">Coal </t>
  </si>
  <si>
    <t xml:space="preserve">Mineral oils </t>
  </si>
  <si>
    <t xml:space="preserve">Electricity </t>
  </si>
  <si>
    <t>Weight</t>
  </si>
  <si>
    <t>Cumulative</t>
  </si>
  <si>
    <t>Apr-Jul</t>
  </si>
  <si>
    <t>House Price Index : All India and Major Cities</t>
  </si>
  <si>
    <t>Index Numbers : June 2010 to March 2022</t>
  </si>
  <si>
    <t xml:space="preserve">Quarter ended </t>
  </si>
  <si>
    <t xml:space="preserve">India </t>
  </si>
  <si>
    <t xml:space="preserve">Mumbai </t>
  </si>
  <si>
    <t xml:space="preserve">Delhi </t>
  </si>
  <si>
    <t xml:space="preserve">Bangalore </t>
  </si>
  <si>
    <t xml:space="preserve">Ahmadabad </t>
  </si>
  <si>
    <t xml:space="preserve">Lucknow </t>
  </si>
  <si>
    <t xml:space="preserve">Kolkata </t>
  </si>
  <si>
    <t xml:space="preserve">Chennai </t>
  </si>
  <si>
    <t xml:space="preserve">Jaipur </t>
  </si>
  <si>
    <t xml:space="preserve">Kanpur </t>
  </si>
  <si>
    <t xml:space="preserve">Kochi </t>
  </si>
  <si>
    <t>Rs. Million : 1980-81 to 2020-21</t>
  </si>
  <si>
    <t xml:space="preserve">Revenue receipts </t>
  </si>
  <si>
    <t xml:space="preserve">Capital receipts </t>
  </si>
  <si>
    <t xml:space="preserve">Of which, Tax revenue </t>
  </si>
  <si>
    <t>Combined Finances of Central and State Governments</t>
  </si>
  <si>
    <t xml:space="preserve">Gross fiscal deficit </t>
  </si>
  <si>
    <t xml:space="preserve">Receipts </t>
  </si>
  <si>
    <t xml:space="preserve">Expenditure </t>
  </si>
  <si>
    <t xml:space="preserve">Developmental  expenditure </t>
  </si>
  <si>
    <t xml:space="preserve">Non-developmental  expenditure </t>
  </si>
  <si>
    <t xml:space="preserve">Other expenditure </t>
  </si>
  <si>
    <t>Gross fiscal deficit  (Crores)</t>
  </si>
  <si>
    <t>##########</t>
  </si>
  <si>
    <t>Revenue receipts (Direct Tax)</t>
  </si>
  <si>
    <t>Revenue receipts (Indirect Tax</t>
  </si>
  <si>
    <t>Central Government Deficit and Sources of Financing Gross Fiscal Deficit</t>
  </si>
  <si>
    <t>Rs. Million : 1970-71 to 2022-23</t>
  </si>
  <si>
    <t xml:space="preserve">Gross revenue  deficit </t>
  </si>
  <si>
    <t xml:space="preserve">Effective revenue  deficit </t>
  </si>
  <si>
    <t xml:space="preserve">Gross primary  deficit </t>
  </si>
  <si>
    <t xml:space="preserve">Sources of financing deficit </t>
  </si>
  <si>
    <t xml:space="preserve">Net market borrowings </t>
  </si>
  <si>
    <t xml:space="preserve">Short term  borrowings </t>
  </si>
  <si>
    <t xml:space="preserve">Net external  assistance </t>
  </si>
  <si>
    <t xml:space="preserve">Receipts from small  savings, PPF and  deposit scheme </t>
  </si>
  <si>
    <t xml:space="preserve">Receipts from state  providend fund </t>
  </si>
  <si>
    <t xml:space="preserve">Receipts from  special deposit </t>
  </si>
  <si>
    <t xml:space="preserve">Other capital  receipt </t>
  </si>
  <si>
    <t xml:space="preserve">Cash balance  decrease(+)/increase(- ) </t>
  </si>
  <si>
    <t xml:space="preserve">Gross market  borrowings </t>
  </si>
  <si>
    <t xml:space="preserve">Repayments </t>
  </si>
  <si>
    <t>Note: Data for 2022-23 are Budget Estimates (BE), Data for 2021-22 are Revised Estimates (RE).</t>
  </si>
  <si>
    <t>Central Government Net Tax Revenue Receipts</t>
  </si>
  <si>
    <t>Rs. Million : 1963-64 to 2022-23</t>
  </si>
  <si>
    <t xml:space="preserve">Gross tax revenue </t>
  </si>
  <si>
    <t xml:space="preserve">States' share </t>
  </si>
  <si>
    <t xml:space="preserve">NCCD transferred to  the National  Calamity Contingency  Fund/National  Disaster Response  Fund </t>
  </si>
  <si>
    <t xml:space="preserve">Income tax </t>
  </si>
  <si>
    <t xml:space="preserve">Corporate tax </t>
  </si>
  <si>
    <t xml:space="preserve">Goods and service tax </t>
  </si>
  <si>
    <t xml:space="preserve">Customs duties </t>
  </si>
  <si>
    <t xml:space="preserve">Excise duties </t>
  </si>
  <si>
    <t xml:space="preserve">Service tax </t>
  </si>
  <si>
    <t xml:space="preserve">Interest tax </t>
  </si>
  <si>
    <t xml:space="preserve">Expenditure tax </t>
  </si>
  <si>
    <t xml:space="preserve">Estate duties </t>
  </si>
  <si>
    <t xml:space="preserve">Wealth tax </t>
  </si>
  <si>
    <t xml:space="preserve">Gift tax </t>
  </si>
  <si>
    <t xml:space="preserve">Taxes of UTs </t>
  </si>
  <si>
    <t xml:space="preserve">Other taxes &amp; duties </t>
  </si>
  <si>
    <t xml:space="preserve">Central goods and  service tax </t>
  </si>
  <si>
    <t xml:space="preserve">Integrated goods and  service tax </t>
  </si>
  <si>
    <t xml:space="preserve">Goods and service  tax compensation  cess </t>
  </si>
  <si>
    <t xml:space="preserve">UT goods and service  tax </t>
  </si>
  <si>
    <t>Index of Industrial Production : Economic Activity based Classification : Base Year 2011-12</t>
  </si>
  <si>
    <t>Index numbers : June 2011 to June 2022</t>
  </si>
  <si>
    <t xml:space="preserve">IIP </t>
  </si>
  <si>
    <t xml:space="preserve">Mining &amp; quarrying </t>
  </si>
  <si>
    <t xml:space="preserve">Manufacturing </t>
  </si>
  <si>
    <t>(Wt=100.00)</t>
  </si>
  <si>
    <t>(Wt=14.37)</t>
  </si>
  <si>
    <t>(Wt=77.63)</t>
  </si>
  <si>
    <t>(Wt=7.99)</t>
  </si>
  <si>
    <t xml:space="preserve">Primary goods </t>
  </si>
  <si>
    <t xml:space="preserve">Capital goods </t>
  </si>
  <si>
    <t xml:space="preserve">Intermediate goods </t>
  </si>
  <si>
    <t xml:space="preserve">Infrastructure/construction  goods </t>
  </si>
  <si>
    <t xml:space="preserve">Consumer goods </t>
  </si>
  <si>
    <t>(Wt=34.05)</t>
  </si>
  <si>
    <t>(Wt=8.22)</t>
  </si>
  <si>
    <t>(Wt=17.22)</t>
  </si>
  <si>
    <t>(Wt=12.34)</t>
  </si>
  <si>
    <t>(Wt=28.17)</t>
  </si>
  <si>
    <t>(Wt=12.84)</t>
  </si>
  <si>
    <t>(Wt=15.33)</t>
  </si>
  <si>
    <t xml:space="preserve">Consumer goods(Durable) </t>
  </si>
  <si>
    <t>Consumer goods (Non-Durable)</t>
  </si>
  <si>
    <t>OBICUS (RBI Survey) : Average Sales and Inventories</t>
  </si>
  <si>
    <t>June 2008 to March 2022</t>
  </si>
  <si>
    <t xml:space="preserve">Number of respondent  companies </t>
  </si>
  <si>
    <t xml:space="preserve">Average sales </t>
  </si>
  <si>
    <t xml:space="preserve">Average total  inventories </t>
  </si>
  <si>
    <t xml:space="preserve">Average finished  goods inventories </t>
  </si>
  <si>
    <t xml:space="preserve">Average work-in- progress inventories </t>
  </si>
  <si>
    <t xml:space="preserve">Average raw material  inventories </t>
  </si>
  <si>
    <t xml:space="preserve">Numbers </t>
  </si>
  <si>
    <t xml:space="preserve">Rs. Million </t>
  </si>
  <si>
    <t>Corporate India : Financial Performance Summary</t>
  </si>
  <si>
    <t>Growth and Ratios : 1990-91 to 2021-22</t>
  </si>
  <si>
    <t>Unit</t>
  </si>
  <si>
    <t xml:space="preserve"> </t>
  </si>
  <si>
    <t>short sample</t>
  </si>
  <si>
    <t xml:space="preserve">    Total income</t>
  </si>
  <si>
    <t>Y-o-Y % change</t>
  </si>
  <si>
    <t xml:space="preserve">        Sales</t>
  </si>
  <si>
    <t xml:space="preserve">            Industrial sales</t>
  </si>
  <si>
    <t xml:space="preserve">            Income from non-financial services</t>
  </si>
  <si>
    <t xml:space="preserve">        Income from financial services</t>
  </si>
  <si>
    <t xml:space="preserve">            Interest income</t>
  </si>
  <si>
    <t xml:space="preserve">            Dividends</t>
  </si>
  <si>
    <t xml:space="preserve">            Income from treasury operations</t>
  </si>
  <si>
    <t xml:space="preserve">        Other income</t>
  </si>
  <si>
    <t xml:space="preserve">        Prior period and extra-ordinary income</t>
  </si>
  <si>
    <t xml:space="preserve">    Total income net of P&amp;E</t>
  </si>
  <si>
    <t xml:space="preserve">    Total expenses</t>
  </si>
  <si>
    <t xml:space="preserve">        Operating expenses</t>
  </si>
  <si>
    <t xml:space="preserve">            Raw materials, stores &amp; spares</t>
  </si>
  <si>
    <t xml:space="preserve">            Purchase of finished goods</t>
  </si>
  <si>
    <t xml:space="preserve">            Packaging and packing expenses</t>
  </si>
  <si>
    <t xml:space="preserve">            Power, fuel &amp; water charges</t>
  </si>
  <si>
    <t xml:space="preserve">            Compensation to employees</t>
  </si>
  <si>
    <t xml:space="preserve">            Indirect taxes</t>
  </si>
  <si>
    <t xml:space="preserve">            Royalties, technical know-how fees, etc</t>
  </si>
  <si>
    <t xml:space="preserve">            Rent &amp; lease rent</t>
  </si>
  <si>
    <t xml:space="preserve">            Repairs &amp; maintenance</t>
  </si>
  <si>
    <t xml:space="preserve">            Insurance premium paid</t>
  </si>
  <si>
    <t xml:space="preserve">            Outsourced manufacturing jobs</t>
  </si>
  <si>
    <t xml:space="preserve">            Outsourced professional jobs</t>
  </si>
  <si>
    <t xml:space="preserve">            Non-executive directors' fees</t>
  </si>
  <si>
    <t xml:space="preserve">            Selling &amp; distribution expenses</t>
  </si>
  <si>
    <t xml:space="preserve">            Travel expenses</t>
  </si>
  <si>
    <t xml:space="preserve">            Communications expenses</t>
  </si>
  <si>
    <t xml:space="preserve">            Printing &amp; stationery expenses</t>
  </si>
  <si>
    <t xml:space="preserve">            Miscellaneous expenditure</t>
  </si>
  <si>
    <t xml:space="preserve">            Other operational exp of industrial ent</t>
  </si>
  <si>
    <t xml:space="preserve">            Other operational exp of non-fin services ent</t>
  </si>
  <si>
    <t xml:space="preserve">            Share of loss in other enterprises</t>
  </si>
  <si>
    <t xml:space="preserve">        Financial charges</t>
  </si>
  <si>
    <t xml:space="preserve">            Fee based financial services expenses</t>
  </si>
  <si>
    <t xml:space="preserve">            Fund based financial services expenses</t>
  </si>
  <si>
    <t xml:space="preserve">                Interest paid</t>
  </si>
  <si>
    <t xml:space="preserve">                Financial charges on instruments</t>
  </si>
  <si>
    <t xml:space="preserve">        Provisions</t>
  </si>
  <si>
    <t xml:space="preserve">        Non-cash charges</t>
  </si>
  <si>
    <t xml:space="preserve">            Depreciation</t>
  </si>
  <si>
    <t xml:space="preserve">            Amortisation</t>
  </si>
  <si>
    <t xml:space="preserve">            Write-offs</t>
  </si>
  <si>
    <t xml:space="preserve">        Prior period and extra-ordinary expenses</t>
  </si>
  <si>
    <t xml:space="preserve">    Profit before tax</t>
  </si>
  <si>
    <t xml:space="preserve">        Tax provisions</t>
  </si>
  <si>
    <t xml:space="preserve">    PAT</t>
  </si>
  <si>
    <t xml:space="preserve">    PAT net of P&amp;E</t>
  </si>
  <si>
    <t xml:space="preserve">    Total assets</t>
  </si>
  <si>
    <t xml:space="preserve">        Gross fixed assets (GFA)</t>
  </si>
  <si>
    <t xml:space="preserve">        Net fixed assets (NFA)</t>
  </si>
  <si>
    <t xml:space="preserve">        Investments</t>
  </si>
  <si>
    <t xml:space="preserve">        Current assets</t>
  </si>
  <si>
    <t xml:space="preserve">    Total liabilities</t>
  </si>
  <si>
    <t xml:space="preserve">        Shareholders' funds</t>
  </si>
  <si>
    <t xml:space="preserve">            Total capital</t>
  </si>
  <si>
    <t xml:space="preserve">            Reserves and funds</t>
  </si>
  <si>
    <t xml:space="preserve">        Net worth</t>
  </si>
  <si>
    <t xml:space="preserve">        Borrowings</t>
  </si>
  <si>
    <t xml:space="preserve">            Borrowings from banks</t>
  </si>
  <si>
    <t xml:space="preserve">            Debentures and bonds</t>
  </si>
  <si>
    <t xml:space="preserve">            Foreign currency borrowings</t>
  </si>
  <si>
    <t xml:space="preserve">        Current liabilities &amp; provisions</t>
  </si>
  <si>
    <t xml:space="preserve">    </t>
  </si>
  <si>
    <t xml:space="preserve">    Ratios</t>
  </si>
  <si>
    <t xml:space="preserve">        Profitability and return ratios</t>
  </si>
  <si>
    <t xml:space="preserve">            Net profit margin</t>
  </si>
  <si>
    <t xml:space="preserve">                PAT as % of total income</t>
  </si>
  <si>
    <t xml:space="preserve">            Net profit margin (net of P&amp;E)</t>
  </si>
  <si>
    <t xml:space="preserve">                PAT net of PE as % of total income net of P&amp;E</t>
  </si>
  <si>
    <t xml:space="preserve">            Return on total assests</t>
  </si>
  <si>
    <t xml:space="preserve">                PAT net of P&amp;E as % of total assets excl reval</t>
  </si>
  <si>
    <t xml:space="preserve">                PAT as % of total assets excl reval</t>
  </si>
  <si>
    <t xml:space="preserve">            Return on net worth</t>
  </si>
  <si>
    <t xml:space="preserve">                PAT net of P&amp;E as % of net worth</t>
  </si>
  <si>
    <t xml:space="preserve">                PAT as % of net worth</t>
  </si>
  <si>
    <t xml:space="preserve">            Return on capital employed</t>
  </si>
  <si>
    <t xml:space="preserve">                PAT net of P&amp;E as % of capital employed</t>
  </si>
  <si>
    <t xml:space="preserve">                PAT as % of capital employed</t>
  </si>
  <si>
    <t xml:space="preserve">            Dividend pay-out ratio</t>
  </si>
  <si>
    <t xml:space="preserve">                Equity dividend as % of PAT</t>
  </si>
  <si>
    <t xml:space="preserve">            Efficiency in use of total assets</t>
  </si>
  <si>
    <t xml:space="preserve">                Total income / total assets net of misc exp and reval</t>
  </si>
  <si>
    <t>Times</t>
  </si>
  <si>
    <t xml:space="preserve">            Efficiency in use of employees</t>
  </si>
  <si>
    <t xml:space="preserve">                Total income / compensation to employees</t>
  </si>
  <si>
    <t xml:space="preserve">    Forex transactions</t>
  </si>
  <si>
    <t xml:space="preserve">        Total forex Earnings</t>
  </si>
  <si>
    <t xml:space="preserve">        Total forex Spending</t>
  </si>
  <si>
    <t xml:space="preserve">        Export as % of sales</t>
  </si>
  <si>
    <t xml:space="preserve">        Total forex earnings as % of total income</t>
  </si>
  <si>
    <t xml:space="preserve">    Contribution to exchequer</t>
  </si>
  <si>
    <t xml:space="preserve">        Total taxes</t>
  </si>
  <si>
    <t xml:space="preserve">            Direct taxes</t>
  </si>
  <si>
    <t xml:space="preserve">            Licence fees (Telecom,etc)</t>
  </si>
  <si>
    <t xml:space="preserve">        Tax incidence</t>
  </si>
  <si>
    <t xml:space="preserve">            Total taxes as % of total income</t>
  </si>
  <si>
    <t xml:space="preserve">            Indirect taxes as % of total income</t>
  </si>
  <si>
    <t xml:space="preserve">            Direct taxes as % of total income</t>
  </si>
  <si>
    <t xml:space="preserve">                Corporate tax as % of PBT</t>
  </si>
  <si>
    <t xml:space="preserve">    CSR Disclosures</t>
  </si>
  <si>
    <t xml:space="preserve">        CSR expenditure to be incurred as per Companies Act 2013</t>
  </si>
  <si>
    <t xml:space="preserve">        Amount spent on CSR activities during the year</t>
  </si>
  <si>
    <t xml:space="preserve">        CSR amount unspent</t>
  </si>
  <si>
    <t xml:space="preserve">    Count</t>
  </si>
  <si>
    <t>Numbers</t>
  </si>
  <si>
    <t>Corporate India : Government: Financial Performance Summary</t>
  </si>
  <si>
    <t>Rs. Million : 1990-91 to 2021-22</t>
  </si>
  <si>
    <t xml:space="preserve">        Borrowings (Govt corporates)</t>
  </si>
  <si>
    <t>Govt Firm PAT (net)</t>
  </si>
  <si>
    <t>Corporate India : Private Sector: Financial Performance Summary</t>
  </si>
  <si>
    <t xml:space="preserve">   Pvt  firms PAT net of P&amp;E</t>
  </si>
  <si>
    <t>Ratio : Pvt/ Govt Corporates</t>
  </si>
  <si>
    <t>Greater Labour Participation Rate : By Region and Gender</t>
  </si>
  <si>
    <t>Per cent : August 2017 to July 2022</t>
  </si>
  <si>
    <t xml:space="preserve">All India </t>
  </si>
  <si>
    <t xml:space="preserve">Urban </t>
  </si>
  <si>
    <t xml:space="preserve">Rural </t>
  </si>
  <si>
    <t xml:space="preserve">Male </t>
  </si>
  <si>
    <t xml:space="preserve">Female </t>
  </si>
  <si>
    <t>Unemployment Rate : By Region and Gender</t>
  </si>
  <si>
    <t>Month</t>
  </si>
  <si>
    <t>Balance of Payments : Financial Account : Net Inflows</t>
  </si>
  <si>
    <t>USD Million : 2011-12 to 2021-22</t>
  </si>
  <si>
    <t xml:space="preserve">Direct investments </t>
  </si>
  <si>
    <t xml:space="preserve">Portfolio  investments </t>
  </si>
  <si>
    <t xml:space="preserve">Financial  derivatives (other  than reserves) and  employee stock  options </t>
  </si>
  <si>
    <t xml:space="preserve">Other investments </t>
  </si>
  <si>
    <t xml:space="preserve">Reserve assets </t>
  </si>
  <si>
    <t>India</t>
  </si>
  <si>
    <t>IND</t>
  </si>
  <si>
    <t>Data Source</t>
  </si>
  <si>
    <t>Last Updated Date</t>
  </si>
  <si>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</si>
  <si>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</si>
  <si>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</si>
  <si>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</si>
  <si>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</si>
  <si>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</si>
  <si>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</si>
  <si>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</si>
  <si>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</si>
  <si>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</si>
  <si>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</si>
  <si>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</si>
  <si>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</si>
  <si>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</si>
  <si>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</si>
  <si>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</si>
  <si>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</si>
  <si>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</si>
  <si>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</si>
  <si>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</si>
  <si>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</si>
  <si>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</si>
  <si>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</si>
  <si>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</si>
  <si>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</si>
  <si>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</si>
  <si>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</si>
  <si>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</si>
  <si>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</si>
  <si>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</si>
  <si>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</si>
  <si>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</si>
  <si>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</si>
  <si>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</si>
  <si>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</si>
  <si>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</si>
  <si>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</si>
  <si>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</si>
  <si>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</si>
  <si>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</si>
  <si>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</si>
  <si>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</si>
  <si>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</si>
  <si>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</si>
  <si>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</si>
  <si>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</si>
  <si>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</si>
  <si>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</si>
  <si>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</si>
  <si>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</si>
  <si>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</si>
  <si>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</si>
  <si>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</si>
  <si>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</si>
  <si>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</si>
  <si>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</si>
  <si>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</si>
  <si>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</si>
  <si>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</si>
  <si>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</si>
  <si>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</si>
  <si>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</si>
  <si>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</si>
  <si>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</si>
  <si>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</si>
  <si>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</si>
  <si>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</si>
  <si>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</si>
  <si>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</si>
  <si>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</si>
  <si>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</si>
  <si>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</si>
  <si>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</si>
  <si>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</si>
  <si>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</si>
  <si>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</si>
  <si>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</si>
  <si>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</si>
  <si>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</si>
  <si>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</si>
  <si>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</si>
  <si>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</si>
  <si>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</si>
  <si>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</si>
  <si>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</si>
  <si>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</si>
  <si>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</si>
  <si>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</si>
  <si>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</si>
  <si>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</si>
  <si>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</si>
  <si>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</si>
  <si>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</si>
  <si>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</si>
  <si>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</si>
  <si>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</si>
  <si>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</si>
  <si>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</si>
  <si>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</si>
  <si>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</si>
  <si>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</si>
  <si>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</si>
  <si>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</si>
  <si>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</si>
  <si>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</si>
  <si>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</si>
  <si>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</si>
  <si>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</si>
  <si>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</si>
  <si>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</si>
  <si>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</si>
  <si>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</si>
  <si>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</si>
  <si>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</si>
  <si>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</si>
  <si>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</si>
  <si>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</si>
  <si>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</si>
  <si>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</si>
  <si>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</si>
  <si>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</si>
  <si>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</si>
  <si>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</si>
  <si>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</si>
  <si>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</si>
  <si>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</si>
  <si>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</si>
  <si>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</si>
  <si>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</si>
  <si>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</si>
  <si>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</si>
  <si>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</si>
  <si>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</si>
  <si>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</si>
  <si>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</si>
  <si>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</si>
  <si>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</si>
  <si>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</si>
  <si>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</si>
  <si>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</si>
  <si>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</si>
  <si>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</si>
  <si>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</si>
  <si>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</si>
  <si>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</si>
  <si>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</si>
  <si>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</si>
  <si>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</si>
  <si>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</si>
  <si>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</si>
  <si>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</si>
  <si>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</si>
  <si>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</si>
  <si>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</si>
  <si>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</si>
  <si>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</si>
  <si>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</si>
  <si>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</si>
  <si>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</si>
  <si>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</si>
  <si>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</si>
  <si>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</si>
  <si>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</si>
  <si>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</si>
  <si>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</si>
  <si>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</si>
  <si>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</si>
  <si>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</si>
  <si>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</si>
  <si>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</si>
  <si>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</si>
  <si>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</si>
  <si>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</si>
  <si>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</si>
  <si>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</si>
  <si>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</si>
  <si>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</si>
  <si>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</si>
  <si>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</si>
  <si>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</si>
  <si>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</si>
  <si>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</si>
  <si>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</si>
  <si>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</si>
  <si>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</si>
  <si>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</si>
  <si>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</si>
  <si>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</si>
  <si>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</si>
  <si>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</si>
  <si>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</si>
  <si>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</si>
  <si>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</si>
  <si>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</si>
  <si>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</si>
  <si>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</si>
  <si>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</si>
  <si>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</si>
  <si>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</si>
  <si>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</si>
  <si>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</si>
  <si>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</si>
  <si>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</si>
  <si>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</si>
  <si>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</si>
  <si>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</si>
  <si>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</si>
  <si>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</si>
  <si>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</si>
  <si>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</si>
  <si>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</si>
  <si>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</si>
  <si>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</si>
  <si>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</si>
  <si>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</si>
  <si>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</si>
  <si>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</si>
  <si>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</si>
  <si>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</si>
  <si>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</si>
  <si>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</si>
  <si>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</si>
  <si>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</si>
  <si>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</si>
  <si>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</si>
  <si>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</si>
  <si>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</si>
  <si>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</si>
  <si>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</si>
  <si>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</si>
  <si>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</si>
  <si>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</si>
  <si>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</si>
  <si>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</si>
  <si>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</si>
  <si>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</si>
  <si>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</si>
  <si>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</si>
  <si>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</si>
  <si>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</si>
  <si>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</si>
  <si>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</si>
  <si>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</si>
  <si>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</si>
  <si>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</si>
  <si>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</si>
  <si>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</si>
  <si>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</si>
  <si>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</si>
  <si>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</si>
  <si>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</si>
  <si>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</si>
  <si>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</si>
  <si>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</si>
  <si>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</si>
  <si>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</si>
  <si>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</si>
  <si>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</si>
  <si>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</si>
  <si>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</si>
  <si>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</si>
  <si>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</si>
  <si>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</si>
  <si>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</si>
  <si>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</si>
  <si>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</si>
  <si>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2021</t>
  </si>
  <si>
    <t>Country</t>
  </si>
  <si>
    <t>GDP in 2021</t>
  </si>
  <si>
    <t>World Development Indicators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</si>
  <si>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</si>
  <si>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</si>
  <si>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</si>
  <si>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</si>
  <si>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</si>
  <si>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</si>
  <si>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</si>
  <si>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</si>
  <si>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</si>
  <si>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</si>
  <si>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</si>
  <si>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</si>
  <si>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</si>
  <si>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</si>
  <si>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</si>
  <si>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</si>
  <si>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</si>
  <si>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</si>
  <si>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</si>
  <si>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</si>
  <si>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</si>
  <si>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</si>
  <si>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</si>
  <si>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</si>
  <si>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</si>
  <si>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</si>
  <si>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</si>
  <si>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</si>
  <si>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</si>
  <si>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</si>
  <si>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</si>
  <si>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</si>
  <si>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</si>
  <si>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</si>
  <si>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</si>
  <si>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</si>
  <si>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</si>
  <si>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</si>
  <si>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</si>
  <si>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</si>
  <si>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</si>
  <si>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</si>
  <si>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</si>
  <si>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</si>
  <si>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</si>
  <si>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</si>
  <si>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</si>
  <si>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</si>
  <si>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</si>
  <si>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</si>
  <si>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</si>
  <si>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</si>
  <si>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</si>
  <si>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</si>
  <si>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</si>
  <si>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</si>
  <si>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</si>
  <si>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</si>
  <si>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</si>
  <si>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</si>
  <si>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</si>
  <si>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</si>
  <si>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</si>
  <si>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</si>
  <si>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ABW</t>
  </si>
  <si>
    <t>GDP growth (annual %)</t>
  </si>
  <si>
    <t>NY.GDP.MKTP.KD.ZG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</si>
  <si>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</si>
  <si>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</si>
  <si>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</si>
  <si>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</si>
  <si>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</si>
  <si>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</si>
  <si>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</si>
  <si>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</si>
  <si>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</si>
  <si>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</si>
  <si>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</si>
  <si>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</si>
  <si>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</si>
  <si>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</si>
  <si>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</si>
  <si>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</si>
  <si>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</si>
  <si>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</si>
  <si>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</si>
  <si>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</si>
  <si>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</si>
  <si>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</si>
  <si>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</si>
  <si>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</si>
  <si>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</si>
  <si>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</si>
  <si>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</si>
  <si>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</si>
  <si>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</si>
  <si>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</si>
  <si>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</si>
  <si>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</si>
  <si>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</si>
  <si>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</si>
  <si>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</si>
  <si>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</si>
  <si>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</si>
  <si>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</si>
  <si>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</si>
  <si>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</si>
  <si>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</si>
  <si>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</si>
  <si>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</si>
  <si>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</si>
  <si>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</si>
  <si>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</si>
  <si>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</si>
  <si>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</si>
  <si>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</si>
  <si>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</si>
  <si>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</si>
  <si>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</si>
  <si>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</si>
  <si>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</si>
  <si>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</si>
  <si>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</si>
  <si>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</si>
  <si>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</si>
  <si>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</si>
  <si>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</si>
  <si>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</si>
  <si>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</si>
  <si>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</si>
  <si>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</si>
  <si>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</si>
  <si>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</si>
  <si>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</si>
  <si>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</si>
  <si>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</si>
  <si>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</si>
  <si>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</si>
  <si>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</si>
  <si>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</si>
  <si>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</si>
  <si>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</si>
  <si>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</si>
  <si>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</si>
  <si>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</si>
  <si>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</si>
  <si>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</si>
  <si>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</si>
  <si>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</si>
  <si>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</si>
  <si>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</si>
  <si>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</si>
  <si>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</si>
  <si>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</si>
  <si>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</si>
  <si>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</si>
  <si>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</si>
  <si>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</si>
  <si>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</si>
  <si>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</si>
  <si>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</si>
  <si>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</si>
  <si>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</si>
  <si>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</si>
  <si>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</si>
  <si>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</si>
  <si>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</si>
  <si>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</si>
  <si>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</si>
  <si>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</si>
  <si>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</si>
  <si>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</si>
  <si>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</si>
  <si>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</si>
  <si>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</si>
  <si>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</si>
  <si>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</si>
  <si>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</si>
  <si>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</si>
  <si>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</si>
  <si>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</si>
  <si>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</si>
  <si>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</si>
  <si>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</si>
  <si>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</si>
  <si>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</si>
  <si>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</si>
  <si>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</si>
  <si>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</si>
  <si>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</si>
  <si>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</si>
  <si>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</si>
  <si>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</si>
  <si>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</si>
  <si>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</si>
  <si>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</si>
  <si>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</si>
  <si>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</si>
  <si>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</si>
  <si>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</si>
  <si>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</si>
  <si>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</si>
  <si>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</si>
  <si>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</si>
  <si>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</si>
  <si>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</si>
  <si>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</si>
  <si>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</si>
  <si>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</si>
  <si>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</si>
  <si>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</si>
  <si>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</si>
  <si>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</si>
  <si>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</si>
  <si>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</si>
  <si>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</si>
  <si>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</si>
  <si>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</si>
  <si>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</si>
  <si>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</si>
  <si>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</si>
  <si>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</si>
  <si>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</si>
  <si>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</si>
  <si>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</si>
  <si>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</si>
  <si>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</si>
  <si>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</si>
  <si>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</si>
  <si>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</si>
  <si>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</si>
  <si>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</si>
  <si>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</si>
  <si>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</si>
  <si>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</si>
  <si>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</si>
  <si>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</si>
  <si>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</si>
  <si>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</si>
  <si>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</si>
  <si>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</si>
  <si>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</si>
  <si>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</si>
  <si>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</si>
  <si>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</si>
  <si>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</si>
  <si>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</si>
  <si>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</si>
  <si>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</si>
  <si>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</si>
  <si>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</si>
  <si>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</si>
  <si>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</si>
  <si>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</si>
  <si>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</si>
  <si>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</si>
  <si>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</si>
  <si>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</si>
  <si>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</si>
  <si>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</si>
  <si>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</si>
  <si>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</si>
  <si>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</si>
  <si>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</si>
  <si>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</si>
  <si>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</si>
  <si>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</si>
  <si>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</si>
  <si>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</si>
  <si>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</si>
  <si>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</si>
  <si>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</si>
  <si>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</si>
  <si>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</si>
  <si>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</si>
  <si>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</si>
  <si>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</si>
  <si>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</si>
  <si>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</si>
  <si>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</si>
  <si>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</si>
  <si>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</si>
  <si>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</si>
  <si>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</si>
  <si>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</si>
  <si>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</si>
  <si>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</si>
  <si>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</si>
  <si>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</si>
  <si>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</si>
  <si>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</si>
  <si>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</si>
  <si>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</si>
  <si>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</si>
  <si>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</si>
  <si>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</si>
  <si>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</si>
  <si>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</si>
  <si>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</si>
  <si>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</si>
  <si>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</si>
  <si>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</si>
  <si>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</si>
  <si>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</si>
  <si>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</si>
  <si>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</si>
  <si>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</si>
  <si>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</si>
  <si>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</si>
  <si>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</si>
  <si>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</si>
  <si>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</si>
  <si>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</si>
  <si>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</si>
  <si>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</si>
  <si>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</si>
  <si>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</si>
  <si>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</si>
  <si>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</si>
  <si>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</si>
  <si>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</si>
  <si>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</si>
  <si>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</si>
  <si>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</si>
  <si>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</si>
  <si>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</si>
  <si>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</si>
  <si>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</si>
  <si>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</si>
  <si>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</si>
  <si>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</si>
  <si>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Short code</t>
  </si>
  <si>
    <t>Low bound</t>
  </si>
  <si>
    <t>High Bound</t>
  </si>
  <si>
    <t>Coal</t>
  </si>
  <si>
    <t>Lignite</t>
  </si>
  <si>
    <t>Gas</t>
  </si>
  <si>
    <t>Diesel</t>
  </si>
  <si>
    <t>Hydro</t>
  </si>
  <si>
    <t>Wind, Solar &amp; Other RE</t>
  </si>
  <si>
    <t>Wind</t>
  </si>
  <si>
    <t>Solar</t>
  </si>
  <si>
    <t>BM Power/Cogen</t>
  </si>
  <si>
    <t>Waste to Energy</t>
  </si>
  <si>
    <t>Small Hydro Power</t>
  </si>
  <si>
    <t>Nuclear</t>
  </si>
  <si>
    <t>GDP Trillion USD
(2021)</t>
  </si>
  <si>
    <t>Russia</t>
  </si>
  <si>
    <t>Turkey</t>
  </si>
  <si>
    <t>GDP Trillion USD (2022)</t>
  </si>
  <si>
    <t>GDP in 2022</t>
  </si>
  <si>
    <t xml:space="preserve">Leather 
garments </t>
  </si>
  <si>
    <t xml:space="preserve">Readymade 
Garments,  not knitted </t>
  </si>
  <si>
    <t xml:space="preserve">Cotton Yarn 
(incl. Hosiery) </t>
  </si>
  <si>
    <t xml:space="preserve">Mining 
&amp; quarrying </t>
  </si>
  <si>
    <t xml:space="preserve">Underwears, socks 
and
other hosiery products </t>
  </si>
  <si>
    <t xml:space="preserve">Readymade 
Garments, knitted </t>
  </si>
  <si>
    <t>OBICUS (RBI Survey) : Order Books</t>
  </si>
  <si>
    <t>% change : March 2009 to December 2023</t>
  </si>
  <si>
    <t xml:space="preserve">Y-o-Y % change </t>
  </si>
  <si>
    <t xml:space="preserve">Q-o-Q % change </t>
  </si>
  <si>
    <t xml:space="preserve">Quarter </t>
  </si>
  <si>
    <t xml:space="preserve">Average backlog  order </t>
  </si>
  <si>
    <t xml:space="preserve">Average new order  book </t>
  </si>
  <si>
    <t xml:space="preserve">Average pending  order </t>
  </si>
  <si>
    <t>Note: Data for Y-o-Y %% change and Q-o-Q %% change is as published by RBI for the latest 5 quarters based on common set of companies in the latest 9 quarters.</t>
  </si>
  <si>
    <t>Manufacture of Textiles</t>
  </si>
  <si>
    <t>Manufacture of Wearing Apparel</t>
  </si>
  <si>
    <t>Manufacture of Leather and Related Products</t>
  </si>
  <si>
    <t xml:space="preserve">            Operational factories</t>
  </si>
  <si>
    <t xml:space="preserve">            Workers per factory</t>
  </si>
  <si>
    <t xml:space="preserve">            Net value added per worker</t>
  </si>
  <si>
    <t>5.9 lakh</t>
  </si>
  <si>
    <t>3.89 lakh</t>
  </si>
  <si>
    <t>4.03 lakh</t>
  </si>
  <si>
    <t xml:space="preserve">            Profits per person engaged</t>
  </si>
  <si>
    <t>1.92 lakh</t>
  </si>
  <si>
    <t>0.87 lakh</t>
  </si>
  <si>
    <t>0.69 lakh</t>
  </si>
  <si>
    <t xml:space="preserve">            Fixed capital per person engaged</t>
  </si>
  <si>
    <t>9.20 lakh</t>
  </si>
  <si>
    <t>2.93 lakh</t>
  </si>
  <si>
    <t>3.67 lakh</t>
  </si>
  <si>
    <t xml:space="preserve">            Output to input</t>
  </si>
  <si>
    <t>Product_Code</t>
  </si>
  <si>
    <t>Product_Label</t>
  </si>
  <si>
    <t>India RCA</t>
  </si>
  <si>
    <t>Bangladesh RCA</t>
  </si>
  <si>
    <t>SriLanka RCA</t>
  </si>
  <si>
    <t>Jute, other textile bast fibre, n.e.s., not spun; tow</t>
  </si>
  <si>
    <t>Vegetable textile fibres, not spun; waste of them</t>
  </si>
  <si>
    <t>Worn clothing and other worn textile articles</t>
  </si>
  <si>
    <t>Textile yarn</t>
  </si>
  <si>
    <t>Other textile fabrics, woven</t>
  </si>
  <si>
    <t>Special yarn, special textile fabrics &amp; related</t>
  </si>
  <si>
    <t>Made-up articles, of textile materials, n.e.s.</t>
  </si>
  <si>
    <t>Textile &amp; leather machinery, &amp; parts thereof, n.e.s.</t>
  </si>
  <si>
    <t>Men's clothing of textile fabrics, not knitted</t>
  </si>
  <si>
    <t>Women's clothing, of textile fabrics</t>
  </si>
  <si>
    <t>Men's or boy's clothing, of textile, knitted, croche.</t>
  </si>
  <si>
    <t>Women's clothing, of textile, knitted or crocheted</t>
  </si>
  <si>
    <t>Articles of apparel, of textile fabrics, n.e.s.</t>
  </si>
  <si>
    <t>Clothing accessories, of textile fabrics</t>
  </si>
  <si>
    <t>Articles of apparel, clothing access., excluding textile</t>
  </si>
  <si>
    <t>Industry-wise Distribution of Institutionally Assisted Projects</t>
  </si>
  <si>
    <t>% share in total : 2003-04 to 2022-23</t>
  </si>
  <si>
    <t xml:space="preserve">2022-23 </t>
  </si>
  <si>
    <t xml:space="preserve">    Of which,</t>
  </si>
  <si>
    <t xml:space="preserve">        Food Products</t>
  </si>
  <si>
    <t xml:space="preserve">        Sugar</t>
  </si>
  <si>
    <t xml:space="preserve">        Textiles</t>
  </si>
  <si>
    <t xml:space="preserve">        Chemicals, Pesticides &amp; Fertilisers</t>
  </si>
  <si>
    <t xml:space="preserve">        Pharmaceuticals</t>
  </si>
  <si>
    <t xml:space="preserve">        Petroleum products</t>
  </si>
  <si>
    <t xml:space="preserve">        Rubber &amp; Plastic products</t>
  </si>
  <si>
    <t xml:space="preserve">        Coke and Petroleum Products</t>
  </si>
  <si>
    <t xml:space="preserve">        Printing &amp; Publishing</t>
  </si>
  <si>
    <t xml:space="preserve">        Glass &amp; Pottery</t>
  </si>
  <si>
    <t xml:space="preserve">        Cement</t>
  </si>
  <si>
    <t xml:space="preserve">        Metal &amp; Metal Products</t>
  </si>
  <si>
    <t xml:space="preserve">        Electrical Equipments &amp; electronics</t>
  </si>
  <si>
    <t xml:space="preserve">        Non-electrical Machinery</t>
  </si>
  <si>
    <t xml:space="preserve">        Transport Equipments &amp; Parts</t>
  </si>
  <si>
    <t xml:space="preserve">        Other Manufacturing</t>
  </si>
  <si>
    <t xml:space="preserve">        Mining and Quarrying</t>
  </si>
  <si>
    <t xml:space="preserve">        Hotels and Restaurants</t>
  </si>
  <si>
    <t xml:space="preserve">        Entertainment</t>
  </si>
  <si>
    <t xml:space="preserve">        IT Software</t>
  </si>
  <si>
    <t xml:space="preserve">        Hospitals &amp; Health Services</t>
  </si>
  <si>
    <t xml:space="preserve">        Transport Services</t>
  </si>
  <si>
    <t xml:space="preserve">        Other Services</t>
  </si>
  <si>
    <t xml:space="preserve">        Infrastructure</t>
  </si>
  <si>
    <t xml:space="preserve">        Power</t>
  </si>
  <si>
    <t xml:space="preserve">        Telecom</t>
  </si>
  <si>
    <t xml:space="preserve">        Ports &amp; Airports</t>
  </si>
  <si>
    <t xml:space="preserve">        Storage &amp; Water Management</t>
  </si>
  <si>
    <t xml:space="preserve">        SEZ, Industrial, Biotech and IT Park</t>
  </si>
  <si>
    <t xml:space="preserve">        Roads &amp; Bridges</t>
  </si>
  <si>
    <t xml:space="preserve">        Construction</t>
  </si>
  <si>
    <t>Others</t>
  </si>
  <si>
    <t>Consumer Price Index (CPI): Combined (Urban + Rural): Item-level Indices : Clothing and Footwear: Base Year 2012</t>
  </si>
  <si>
    <t xml:space="preserve">Dhoti (no.) </t>
  </si>
  <si>
    <t xml:space="preserve">Saree (no.) </t>
  </si>
  <si>
    <t xml:space="preserve">Shawl, chaddar (no.) </t>
  </si>
  <si>
    <t xml:space="preserve">Lungi (no.) </t>
  </si>
  <si>
    <t xml:space="preserve">Kurta-pajama suits  males (no.) </t>
  </si>
  <si>
    <t xml:space="preserve">Shirts, T-shirts  (no.) </t>
  </si>
  <si>
    <t xml:space="preserve">Shorts, trousers,  bermudas (no.) </t>
  </si>
  <si>
    <t xml:space="preserve">Baniyan, socks,  other hosiery and  undergarments,  etc.(no.) </t>
  </si>
  <si>
    <t xml:space="preserve">Kurta-pajama suits  females (no.) </t>
  </si>
  <si>
    <t xml:space="preserve">Frocks, skirts, etc.  (no.) </t>
  </si>
  <si>
    <t xml:space="preserve">School / college  uniform boys </t>
  </si>
  <si>
    <t xml:space="preserve">School / college  uniform girls </t>
  </si>
  <si>
    <t xml:space="preserve">Coat, jacket,  sweater, windcheater  (no.) </t>
  </si>
  <si>
    <t xml:space="preserve">Knitting wool (gm) </t>
  </si>
  <si>
    <t xml:space="preserve">Cloth for shirt,  pyjama, kurta,  salwar, etc. (metre) </t>
  </si>
  <si>
    <t xml:space="preserve">Cloth for coat,  trousers, suit, etc.  (metre) </t>
  </si>
  <si>
    <t xml:space="preserve">Clothing (first- hand) </t>
  </si>
  <si>
    <t xml:space="preserve">Clothing second-hand </t>
  </si>
  <si>
    <t xml:space="preserve">Gamchha, towel,  handkerchief (no.) </t>
  </si>
  <si>
    <t xml:space="preserve">Headwear, belts,  ties (no.) </t>
  </si>
  <si>
    <t xml:space="preserve">Washerman, laundry,  ironing </t>
  </si>
  <si>
    <t xml:space="preserve">Tailor </t>
  </si>
  <si>
    <t xml:space="preserve">Leather boots, shoes </t>
  </si>
  <si>
    <t xml:space="preserve">Leather sandals,  chappals, etc. </t>
  </si>
  <si>
    <t xml:space="preserve">Other leather  footwear </t>
  </si>
  <si>
    <t xml:space="preserve">Rubber / PVC  footwear </t>
  </si>
  <si>
    <t xml:space="preserve">Other footwear </t>
  </si>
  <si>
    <t>Y-o-Y % change : April 2019 to March 2024</t>
  </si>
  <si>
    <t xml:space="preserve">Clothing </t>
  </si>
  <si>
    <t xml:space="preserve">Footwear </t>
  </si>
  <si>
    <t>Apr-Mar</t>
  </si>
  <si>
    <t>2023-24</t>
  </si>
  <si>
    <t>Wholesale Price Index (WPI): Item-level Indices: Manufacture of Textiles: Base Year: 2011-12</t>
  </si>
  <si>
    <t xml:space="preserve">total </t>
  </si>
  <si>
    <t xml:space="preserve">Preparation and spinning of textile fibres </t>
  </si>
  <si>
    <t xml:space="preserve">Weaving &amp; finishing of textiles </t>
  </si>
  <si>
    <t xml:space="preserve">Manufacture of knitted and crocheted fabrics </t>
  </si>
  <si>
    <t xml:space="preserve">Manufacture of cordage, rope, twine and netting </t>
  </si>
  <si>
    <t xml:space="preserve">Manufacture of other textiles </t>
  </si>
  <si>
    <t xml:space="preserve">WPI (Apparel) Total </t>
  </si>
  <si>
    <t xml:space="preserve">Manufacture of wearing apparel (woven), except fur apparel </t>
  </si>
  <si>
    <t xml:space="preserve">Manufacture of knitted and crocheted apparel </t>
  </si>
  <si>
    <t xml:space="preserve">WPI (Textiles) Inflation Total </t>
  </si>
  <si>
    <t xml:space="preserve">Trade Balance </t>
  </si>
  <si>
    <t xml:space="preserve">Exports </t>
  </si>
  <si>
    <t xml:space="preserve">Imports </t>
  </si>
  <si>
    <t xml:space="preserve">                Cotton yarn/fabrics/made-ups, handloom products etc</t>
  </si>
  <si>
    <t xml:space="preserve">                Man-made yarn/fabrics/made-ups etc.</t>
  </si>
  <si>
    <t xml:space="preserve">                RMG of all textiles</t>
  </si>
  <si>
    <t xml:space="preserve">                Jute manufacturing including floor covering</t>
  </si>
  <si>
    <t xml:space="preserve">                Carpet</t>
  </si>
  <si>
    <t>Export Y-o-Y % change</t>
  </si>
  <si>
    <t>India's Exports to Regions and Countries : Textiles (excluding readymade garments)</t>
  </si>
  <si>
    <t>USD Million : 1991-92 to 2022-23</t>
  </si>
  <si>
    <t xml:space="preserve">World </t>
  </si>
  <si>
    <t xml:space="preserve">Regions </t>
  </si>
  <si>
    <t xml:space="preserve">Countries </t>
  </si>
  <si>
    <t xml:space="preserve">Africa </t>
  </si>
  <si>
    <t xml:space="preserve">America </t>
  </si>
  <si>
    <t xml:space="preserve">Europe </t>
  </si>
  <si>
    <t xml:space="preserve">Asia </t>
  </si>
  <si>
    <t xml:space="preserve">Oceania </t>
  </si>
  <si>
    <t xml:space="preserve">Antarctica </t>
  </si>
  <si>
    <t xml:space="preserve">Others </t>
  </si>
  <si>
    <t xml:space="preserve">USA </t>
  </si>
  <si>
    <t xml:space="preserve">Bangladesh </t>
  </si>
  <si>
    <t xml:space="preserve">UAE </t>
  </si>
  <si>
    <t xml:space="preserve">Turkey </t>
  </si>
  <si>
    <t xml:space="preserve">Sri Lanka </t>
  </si>
  <si>
    <t xml:space="preserve">UK </t>
  </si>
  <si>
    <t xml:space="preserve">Germany </t>
  </si>
  <si>
    <t xml:space="preserve">Italy </t>
  </si>
  <si>
    <t xml:space="preserve">China </t>
  </si>
  <si>
    <t xml:space="preserve">Egypt </t>
  </si>
  <si>
    <t xml:space="preserve">Australia </t>
  </si>
  <si>
    <t xml:space="preserve">Netherlands </t>
  </si>
  <si>
    <t xml:space="preserve">France </t>
  </si>
  <si>
    <t xml:space="preserve">Spain </t>
  </si>
  <si>
    <t xml:space="preserve">Korea Republic  (South) </t>
  </si>
  <si>
    <t xml:space="preserve">Canada </t>
  </si>
  <si>
    <t xml:space="preserve">Brazil </t>
  </si>
  <si>
    <t xml:space="preserve">Senegal </t>
  </si>
  <si>
    <t xml:space="preserve">Belgium </t>
  </si>
  <si>
    <t xml:space="preserve">Nepal </t>
  </si>
  <si>
    <t xml:space="preserve">Portugal </t>
  </si>
  <si>
    <t xml:space="preserve">Japan </t>
  </si>
  <si>
    <t xml:space="preserve">Vietnam </t>
  </si>
  <si>
    <t xml:space="preserve">Nigeria </t>
  </si>
  <si>
    <t xml:space="preserve">Mexico </t>
  </si>
  <si>
    <t xml:space="preserve">Morocco </t>
  </si>
  <si>
    <t xml:space="preserve">Peru </t>
  </si>
  <si>
    <t xml:space="preserve">Saudi Arabia </t>
  </si>
  <si>
    <t xml:space="preserve">Indonesia </t>
  </si>
  <si>
    <t xml:space="preserve">Thailand </t>
  </si>
  <si>
    <t xml:space="preserve">South Africa </t>
  </si>
  <si>
    <t xml:space="preserve">Colombia </t>
  </si>
  <si>
    <t xml:space="preserve">Israel </t>
  </si>
  <si>
    <t xml:space="preserve">Kenya </t>
  </si>
  <si>
    <t xml:space="preserve">Poland </t>
  </si>
  <si>
    <t xml:space="preserve">Malaysia </t>
  </si>
  <si>
    <t xml:space="preserve">Chile </t>
  </si>
  <si>
    <t xml:space="preserve">Sudan (Former) </t>
  </si>
  <si>
    <t xml:space="preserve">Sweden </t>
  </si>
  <si>
    <t xml:space="preserve">Ghana </t>
  </si>
  <si>
    <t xml:space="preserve">Togo </t>
  </si>
  <si>
    <t xml:space="preserve">Denmark </t>
  </si>
  <si>
    <t xml:space="preserve">Benin </t>
  </si>
  <si>
    <t xml:space="preserve">Argentina </t>
  </si>
  <si>
    <t xml:space="preserve">Guatemala </t>
  </si>
  <si>
    <t xml:space="preserve">Mauritius </t>
  </si>
  <si>
    <t xml:space="preserve">Tanzania </t>
  </si>
  <si>
    <t xml:space="preserve">Ethiopia </t>
  </si>
  <si>
    <t xml:space="preserve">Philippines </t>
  </si>
  <si>
    <t xml:space="preserve">Norway </t>
  </si>
  <si>
    <t xml:space="preserve">New Zealand </t>
  </si>
  <si>
    <t xml:space="preserve">Congo, D.R. </t>
  </si>
  <si>
    <t xml:space="preserve">Kuwait </t>
  </si>
  <si>
    <t xml:space="preserve">Myanmar (Burma) </t>
  </si>
  <si>
    <t xml:space="preserve">Jordan </t>
  </si>
  <si>
    <t xml:space="preserve">Cote d'Ivoire (Ivory  Coast) </t>
  </si>
  <si>
    <t xml:space="preserve">Romania </t>
  </si>
  <si>
    <t xml:space="preserve">Greece </t>
  </si>
  <si>
    <t xml:space="preserve">Russia </t>
  </si>
  <si>
    <t xml:space="preserve">Afghanistan </t>
  </si>
  <si>
    <t>India's Imports of Major Commodities from World</t>
  </si>
  <si>
    <t>USD Million : 1991-92 to 2023-24</t>
  </si>
  <si>
    <t xml:space="preserve">Non-POL </t>
  </si>
  <si>
    <t xml:space="preserve">Manufactured goods </t>
  </si>
  <si>
    <t xml:space="preserve">Textiles (excluding  readymade garments) </t>
  </si>
  <si>
    <t xml:space="preserve">Readymade garments </t>
  </si>
  <si>
    <t>Real Effective Exchange Rate Based On Consumer Price Index (CPI) : Base Year 2004-05</t>
  </si>
  <si>
    <t>Index numbers : 2004-05 to 2022-23</t>
  </si>
  <si>
    <t xml:space="preserve">Export weights </t>
  </si>
  <si>
    <t xml:space="preserve">Trade weights </t>
  </si>
  <si>
    <t xml:space="preserve">40 currency </t>
  </si>
  <si>
    <t xml:space="preserve">36 currency </t>
  </si>
  <si>
    <t xml:space="preserve">6 currency </t>
  </si>
  <si>
    <t xml:space="preserve">(2015-16 = 100) </t>
  </si>
  <si>
    <t xml:space="preserve">(2004-05 = 100) </t>
  </si>
  <si>
    <t xml:space="preserve">(2018-19 = 100) </t>
  </si>
  <si>
    <t xml:space="preserve">(2012-13 = 100) </t>
  </si>
  <si>
    <t xml:space="preserve">(2013-14 = 100) </t>
  </si>
  <si>
    <t xml:space="preserve">(2014-15 = 100) </t>
  </si>
  <si>
    <t xml:space="preserve">(2016-17 = 100) </t>
  </si>
  <si>
    <t xml:space="preserve">(2021-22 = 100) </t>
  </si>
  <si>
    <t>GDP in 2024</t>
  </si>
  <si>
    <t>GDP Trillion USD (2024)</t>
  </si>
  <si>
    <t>Korea*</t>
  </si>
  <si>
    <t>Y-o-Y % change : September 2020 to August 2025</t>
  </si>
  <si>
    <t xml:space="preserve">Combined </t>
  </si>
  <si>
    <t>Apr-Aug</t>
  </si>
  <si>
    <t>2024-25</t>
  </si>
  <si>
    <t>2025-26</t>
  </si>
  <si>
    <t>Consumer Price Index (CPI): Combined, Urban and Rural: General Index, Core Index and Non-core Index: Base Year 2012</t>
  </si>
  <si>
    <t xml:space="preserve">CPI general index </t>
  </si>
  <si>
    <t xml:space="preserve">Core CPI index (CPI excluding food group and fuel &amp; light  group) </t>
  </si>
  <si>
    <t xml:space="preserve">Non-core CPI index (includes food group and fuel &amp; light  group) </t>
  </si>
  <si>
    <t xml:space="preserve">Core Core CPI index  (CPI excluding food  group, fuel &amp; light  group and petrol,  diesel &amp; other fuels  for vehicle) </t>
  </si>
  <si>
    <t xml:space="preserve">Non-core-core CPI  index (includes food  group, fuel &amp; light  group and petrol,  diesel &amp; other fuels  for vehicle) </t>
  </si>
  <si>
    <t xml:space="preserve">Super core CPI index  (excluding food  group, fuel &amp; light  group and petrol,  diesel &amp; other fuels  for vehicle and  house rent) </t>
  </si>
  <si>
    <t xml:space="preserve">Non-super-core CPI  index (includes food  group, fuel &amp; light  group and petrol,  diesel &amp; other fuels  for vehicle and  house rent) </t>
  </si>
  <si>
    <t xml:space="preserve">Core CPI index (CPI excluding food group and fuel &amp; light group) </t>
  </si>
  <si>
    <t xml:space="preserve">Non-core CPI index (includes food group and fuel &amp; light group) </t>
  </si>
  <si>
    <t>Index numbers : September 2020 to August 2025</t>
  </si>
  <si>
    <t>CRR, SLR, Repo, Reverse Repo and Bank Rate</t>
  </si>
  <si>
    <t>Per cent : Oct 2020 to Sep 2025</t>
  </si>
  <si>
    <t xml:space="preserve">CRR </t>
  </si>
  <si>
    <t xml:space="preserve">SLR </t>
  </si>
  <si>
    <t xml:space="preserve">Repo rate </t>
  </si>
  <si>
    <t xml:space="preserve">Reverse repo rate </t>
  </si>
  <si>
    <t xml:space="preserve">SDF </t>
  </si>
  <si>
    <t xml:space="preserve">MSF </t>
  </si>
  <si>
    <t xml:space="preserve">Bank rate </t>
  </si>
  <si>
    <t>Source: WDI</t>
  </si>
  <si>
    <t>Rate of Savings for Institutional Sectors at Current Prices: Base Year 2011-12</t>
  </si>
  <si>
    <t>Per cent : 1964-65 to 2023-24</t>
  </si>
  <si>
    <t xml:space="preserve">Public non-financial  corporations </t>
  </si>
  <si>
    <t xml:space="preserve">Private non- financial  corporations </t>
  </si>
  <si>
    <t xml:space="preserve">Public financial  corporations </t>
  </si>
  <si>
    <t xml:space="preserve">Private financial  corporations </t>
  </si>
  <si>
    <t xml:space="preserve">General Government </t>
  </si>
  <si>
    <t xml:space="preserve">Households including  NPISH </t>
  </si>
  <si>
    <t xml:space="preserve">Public non-financial 
corp. </t>
  </si>
  <si>
    <t xml:space="preserve">Private non- financial  
corp. </t>
  </si>
  <si>
    <t>Public financial  
corp.</t>
  </si>
  <si>
    <t xml:space="preserve">Private financial
 corp </t>
  </si>
  <si>
    <t>Total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</si>
</sst>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24"/>
      <color rgb="FF1C8275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333333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2" fillId="0" borderId="0" xfId="0" applyFont="1"/>
    <xf numFmtId="0" fontId="3" fillId="0" borderId="0" xfId="0" applyFont="1"/>
    <xf numFmtId="17" fontId="3" fillId="0" borderId="0" xfId="0" applyNumberFormat="1" applyFont="1"/>
    <xf numFmtId="0" fontId="4" fillId="0" borderId="0" xfId="0" applyFont="1"/>
    <xf numFmtId="4" fontId="0" fillId="0" borderId="0" xfId="0" applyNumberFormat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7" fontId="0" fillId="0" borderId="0" xfId="0" applyNumberFormat="1"/>
    <xf numFmtId="0" fontId="5" fillId="0" borderId="0" xfId="0" applyFont="1"/>
    <xf numFmtId="4" fontId="5" fillId="0" borderId="0" xfId="0" applyNumberFormat="1" applyFont="1"/>
    <xf numFmtId="3" fontId="0" fillId="0" borderId="0" xfId="0" applyNumberFormat="1"/>
    <xf numFmtId="2" fontId="0" fillId="0" borderId="0" xfId="0" applyNumberFormat="1"/>
    <xf numFmtId="0" fontId="6" fillId="0" borderId="0" xfId="0" applyFont="1"/>
    <xf numFmtId="1" fontId="6" fillId="0" borderId="0" xfId="0" applyNumberFormat="1" applyFont="1"/>
    <xf numFmtId="1" fontId="0" fillId="0" borderId="0" xfId="0" applyNumberFormat="1"/>
    <xf numFmtId="0" fontId="7" fillId="0" borderId="0" xfId="1"/>
    <xf numFmtId="14" fontId="7" fillId="0" borderId="0" xfId="1" applyNumberFormat="1"/>
    <xf numFmtId="0" fontId="0" fillId="2" borderId="0" xfId="0" applyFill="1"/>
    <xf numFmtId="0" fontId="0" fillId="3" borderId="0" xfId="0" applyFill="1"/>
    <xf numFmtId="0" fontId="8" fillId="0" borderId="0" xfId="0" applyFont="1"/>
    <xf numFmtId="0" fontId="9" fillId="0" borderId="0" xfId="0" applyFont="1"/>
    <xf numFmtId="3" fontId="9" fillId="0" borderId="0" xfId="0" applyNumberFormat="1" applyFont="1"/>
    <xf numFmtId="10" fontId="10" fillId="0" borderId="0" xfId="0" applyNumberFormat="1" applyFont="1"/>
    <xf numFmtId="0" fontId="11" fillId="0" borderId="0" xfId="0" applyFont="1"/>
    <xf numFmtId="10" fontId="11" fillId="0" borderId="0" xfId="0" applyNumberFormat="1" applyFont="1"/>
    <xf numFmtId="3" fontId="12" fillId="0" borderId="0" xfId="0" applyNumberFormat="1" applyFont="1"/>
    <xf numFmtId="3" fontId="13" fillId="0" borderId="0" xfId="0" applyNumberFormat="1" applyFont="1"/>
    <xf numFmtId="10" fontId="9" fillId="0" borderId="0" xfId="0" applyNumberFormat="1" applyFont="1"/>
    <xf numFmtId="2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6A1598B3-D303-4F43-B777-ECC8772EE58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INSTUTITION-WISE</a:t>
            </a:r>
            <a:r>
              <a:rPr lang="en-GB" baseline="0"/>
              <a:t> </a:t>
            </a:r>
            <a:r>
              <a:rPr lang="en-GB"/>
              <a:t>Savings RATES (% of India GDP)</a:t>
            </a:r>
          </a:p>
        </c:rich>
      </c:tx>
      <c:layout>
        <c:manualLayout>
          <c:xMode val="edge"/>
          <c:yMode val="edge"/>
          <c:x val="0.58308160779537155"/>
          <c:y val="0.8793103448275861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72972972972978E-3"/>
          <c:y val="1.9994363120717295E-2"/>
          <c:w val="0.98104731122982347"/>
          <c:h val="0.96001127375856543"/>
        </c:manualLayout>
      </c:layout>
      <c:ofPieChart>
        <c:ofPieType val="bar"/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05-9B48-828D-8F34231CE1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05-9B48-828D-8F34231CE1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05-9B48-828D-8F34231CE1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05-9B48-828D-8F34231CE1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C05-9B48-828D-8F34231CE1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C05-9B48-828D-8F34231CE1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C05-9B48-828D-8F34231CE1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C05-9B48-828D-8F34231CE10B}"/>
              </c:ext>
            </c:extLst>
          </c:dPt>
          <c:dLbls>
            <c:dLbl>
              <c:idx val="0"/>
              <c:layout>
                <c:manualLayout>
                  <c:x val="0.33275336395983379"/>
                  <c:y val="-0.181231078604398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12162162162162"/>
                      <c:h val="8.14541387024608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05-9B48-828D-8F34231CE10B}"/>
                </c:ext>
              </c:extLst>
            </c:dLbl>
            <c:dLbl>
              <c:idx val="1"/>
              <c:layout>
                <c:manualLayout>
                  <c:x val="1.1233773143221961E-3"/>
                  <c:y val="-0.126376895841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05-9B48-828D-8F34231CE10B}"/>
                </c:ext>
              </c:extLst>
            </c:dLbl>
            <c:dLbl>
              <c:idx val="2"/>
              <c:layout>
                <c:manualLayout>
                  <c:x val="-1.5173161211121453E-2"/>
                  <c:y val="9.056175025101727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05-9B48-828D-8F34231CE10B}"/>
                </c:ext>
              </c:extLst>
            </c:dLbl>
            <c:dLbl>
              <c:idx val="3"/>
              <c:layout>
                <c:manualLayout>
                  <c:x val="-8.2687715192726358E-2"/>
                  <c:y val="3.85906040268456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05-9B48-828D-8F34231CE10B}"/>
                </c:ext>
              </c:extLst>
            </c:dLbl>
            <c:dLbl>
              <c:idx val="4"/>
              <c:layout>
                <c:manualLayout>
                  <c:x val="2.0385525440274326E-2"/>
                  <c:y val="-1.71903679825256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165613281287464"/>
                      <c:h val="6.17786115661716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C05-9B48-828D-8F34231CE10B}"/>
                </c:ext>
              </c:extLst>
            </c:dLbl>
            <c:dLbl>
              <c:idx val="5"/>
              <c:layout>
                <c:manualLayout>
                  <c:x val="-0.17775456280510621"/>
                  <c:y val="-3.654714227531903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64864864864866"/>
                      <c:h val="0.186141027673554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C05-9B48-828D-8F34231CE10B}"/>
                </c:ext>
              </c:extLst>
            </c:dLbl>
            <c:dLbl>
              <c:idx val="6"/>
              <c:layout>
                <c:manualLayout>
                  <c:x val="5.7276127633863062E-2"/>
                  <c:y val="6.799136234048330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01944047493455"/>
                      <c:h val="7.58729296768938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7C05-9B48-828D-8F34231CE10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C05-9B48-828D-8F34231CE10B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'Savings-Rates-India'!$B$1:$H$1</c:f>
              <c:strCache>
                <c:ptCount val="7"/>
                <c:pt idx="0">
                  <c:v>Total Savings</c:v>
                </c:pt>
                <c:pt idx="1">
                  <c:v>Public non-financial 
corp. </c:v>
                </c:pt>
                <c:pt idx="2">
                  <c:v>Private non- financial  
corp. </c:v>
                </c:pt>
                <c:pt idx="3">
                  <c:v>Public financial  
corp.</c:v>
                </c:pt>
                <c:pt idx="4">
                  <c:v>Private financial
 corp </c:v>
                </c:pt>
                <c:pt idx="5">
                  <c:v>General Government </c:v>
                </c:pt>
                <c:pt idx="6">
                  <c:v>Households including  NPISH </c:v>
                </c:pt>
              </c:strCache>
            </c:strRef>
          </c:cat>
          <c:val>
            <c:numRef>
              <c:f>'Savings-Rates-India'!$B$2:$H$2</c:f>
              <c:numCache>
                <c:formatCode>General</c:formatCode>
                <c:ptCount val="7"/>
                <c:pt idx="0">
                  <c:v>30.74</c:v>
                </c:pt>
                <c:pt idx="1">
                  <c:v>1.51</c:v>
                </c:pt>
                <c:pt idx="2">
                  <c:v>9.5399999999999991</c:v>
                </c:pt>
                <c:pt idx="3">
                  <c:v>1.39</c:v>
                </c:pt>
                <c:pt idx="4">
                  <c:v>1.1100000000000001</c:v>
                </c:pt>
                <c:pt idx="5">
                  <c:v>-0.95</c:v>
                </c:pt>
                <c:pt idx="6">
                  <c:v>18.13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05-9B48-828D-8F34231CE10B}"/>
            </c:ext>
          </c:extLst>
        </c:ser>
        <c:dLbls>
          <c:dLblPos val="bestFit"/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gapWidth val="100"/>
        <c:splitType val="val"/>
        <c:splitPos val="1"/>
        <c:secondPieSize val="2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'GCF-Financing'!$A$20</c:f>
              <c:strCache>
                <c:ptCount val="1"/>
                <c:pt idx="0">
                  <c:v>                Gross financial saving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'GCF-Financing'!$B$20:$K$20</c:f>
              <c:numCache>
                <c:formatCode>#,##0.00</c:formatCode>
                <c:ptCount val="10"/>
                <c:pt idx="0">
                  <c:v>9327290</c:v>
                </c:pt>
                <c:pt idx="1">
                  <c:v>10640410</c:v>
                </c:pt>
                <c:pt idx="2">
                  <c:v>11907700</c:v>
                </c:pt>
                <c:pt idx="3">
                  <c:v>12572470</c:v>
                </c:pt>
                <c:pt idx="4">
                  <c:v>14962320</c:v>
                </c:pt>
                <c:pt idx="5">
                  <c:v>16146770</c:v>
                </c:pt>
                <c:pt idx="6">
                  <c:v>20564050</c:v>
                </c:pt>
                <c:pt idx="7">
                  <c:v>22636900</c:v>
                </c:pt>
                <c:pt idx="8">
                  <c:v>23990870</c:v>
                </c:pt>
                <c:pt idx="9">
                  <c:v>31089970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0-7B42-8EE3-B1E5BB6A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47376"/>
        <c:axId val="1476809024"/>
      </c:lineChart>
      <c:catAx>
        <c:axId val="1476647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09024"/>
        <c:crosses val="autoZero"/>
        <c:auto val="1"/>
        <c:lblAlgn val="ctr"/>
        <c:lblOffset val="100"/>
        <c:noMultiLvlLbl val="0"/>
      </c:catAx>
      <c:valAx>
        <c:axId val="14768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contribution to Gross Capital 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007490851964682E-2"/>
          <c:y val="0.1196489869946032"/>
          <c:w val="0.87298034369791366"/>
          <c:h val="0.86492966469079002"/>
        </c:manualLayout>
      </c:layout>
      <c:barChart>
        <c:barDir val="col"/>
        <c:grouping val="clustered"/>
        <c:varyColors val="0"/>
        <c:ser>
          <c:idx val="13"/>
          <c:order val="4"/>
          <c:tx>
            <c:strRef>
              <c:f>'GCF-Financing'!$A$17</c:f>
              <c:strCache>
                <c:ptCount val="1"/>
                <c:pt idx="0">
                  <c:v>            General Government Saving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9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'GCF-Financing'!$B$17:$K$17</c:f>
              <c:numCache>
                <c:formatCode>#,##0.00</c:formatCode>
                <c:ptCount val="10"/>
                <c:pt idx="0">
                  <c:v>-1582340</c:v>
                </c:pt>
                <c:pt idx="1">
                  <c:v>-1588970</c:v>
                </c:pt>
                <c:pt idx="2">
                  <c:v>-1737290</c:v>
                </c:pt>
                <c:pt idx="3">
                  <c:v>-1752270</c:v>
                </c:pt>
                <c:pt idx="4">
                  <c:v>-1614780</c:v>
                </c:pt>
                <c:pt idx="5">
                  <c:v>-1214490</c:v>
                </c:pt>
                <c:pt idx="6">
                  <c:v>-2082570</c:v>
                </c:pt>
                <c:pt idx="7">
                  <c:v>-2591270</c:v>
                </c:pt>
                <c:pt idx="8">
                  <c:v>-6413320</c:v>
                </c:pt>
                <c:pt idx="9">
                  <c:v>-13454780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5B-7448-B078-399D742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220192"/>
        <c:axId val="1476689568"/>
      </c:barChart>
      <c:lineChart>
        <c:grouping val="standard"/>
        <c:varyColors val="0"/>
        <c:ser>
          <c:idx val="0"/>
          <c:order val="0"/>
          <c:tx>
            <c:strRef>
              <c:f>'GCF-Financing'!$A$4</c:f>
              <c:strCache>
                <c:ptCount val="1"/>
                <c:pt idx="0">
                  <c:v>    Total Savings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7.2840790842872011E-2"/>
                  <c:y val="5.61009817671809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'GCF-Financing'!$B$4:$K$4</c:f>
              <c:numCache>
                <c:formatCode>#,##0.00</c:formatCode>
                <c:ptCount val="10"/>
                <c:pt idx="0">
                  <c:v>34030080</c:v>
                </c:pt>
                <c:pt idx="1">
                  <c:v>38471220</c:v>
                </c:pt>
                <c:pt idx="2">
                  <c:v>37941350</c:v>
                </c:pt>
                <c:pt idx="3">
                  <c:v>41797790</c:v>
                </c:pt>
                <c:pt idx="4">
                  <c:v>44226590</c:v>
                </c:pt>
                <c:pt idx="5">
                  <c:v>49180770</c:v>
                </c:pt>
                <c:pt idx="6">
                  <c:v>57915730</c:v>
                </c:pt>
                <c:pt idx="7">
                  <c:v>63960530</c:v>
                </c:pt>
                <c:pt idx="8">
                  <c:v>61612130</c:v>
                </c:pt>
                <c:pt idx="9">
                  <c:v>54031100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B-7448-B078-399D742B34EC}"/>
            </c:ext>
          </c:extLst>
        </c:ser>
        <c:ser>
          <c:idx val="2"/>
          <c:order val="1"/>
          <c:tx>
            <c:strRef>
              <c:f>'GCF-Financing'!$A$5</c:f>
              <c:strCache>
                <c:ptCount val="1"/>
                <c:pt idx="0">
                  <c:v>        Net capital inflow from rest of the world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7.9323797139141838E-2"/>
                  <c:y val="8.695652173913033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'GCF-Financing'!$B$5:$K$5</c:f>
              <c:numCache>
                <c:formatCode>#,##0.00</c:formatCode>
                <c:ptCount val="10"/>
                <c:pt idx="0">
                  <c:v>3761710</c:v>
                </c:pt>
                <c:pt idx="1">
                  <c:v>4779200</c:v>
                </c:pt>
                <c:pt idx="2">
                  <c:v>1859420</c:v>
                </c:pt>
                <c:pt idx="3">
                  <c:v>1598220</c:v>
                </c:pt>
                <c:pt idx="4">
                  <c:v>1403990</c:v>
                </c:pt>
                <c:pt idx="5">
                  <c:v>929640</c:v>
                </c:pt>
                <c:pt idx="6">
                  <c:v>3108320</c:v>
                </c:pt>
                <c:pt idx="7">
                  <c:v>3956620</c:v>
                </c:pt>
                <c:pt idx="8">
                  <c:v>1652710</c:v>
                </c:pt>
                <c:pt idx="9">
                  <c:v>-1893360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35B-7448-B078-399D742B34EC}"/>
            </c:ext>
          </c:extLst>
        </c:ser>
        <c:ser>
          <c:idx val="3"/>
          <c:order val="2"/>
          <c:tx>
            <c:strRef>
              <c:f>'GCF-Financing'!$A$7</c:f>
              <c:strCache>
                <c:ptCount val="1"/>
                <c:pt idx="0">
                  <c:v>            Non financial corporations save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0.11364178017893749"/>
                  <c:y val="-7.8612315314518275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'GCF-Financing'!$B$7:$K$7</c:f>
              <c:numCache>
                <c:formatCode>#,##0.00</c:formatCode>
                <c:ptCount val="10"/>
                <c:pt idx="0">
                  <c:v>8471340</c:v>
                </c:pt>
                <c:pt idx="1">
                  <c:v>9921930</c:v>
                </c:pt>
                <c:pt idx="2">
                  <c:v>12035360</c:v>
                </c:pt>
                <c:pt idx="3">
                  <c:v>14170530</c:v>
                </c:pt>
                <c:pt idx="4">
                  <c:v>16771840</c:v>
                </c:pt>
                <c:pt idx="5">
                  <c:v>18110190</c:v>
                </c:pt>
                <c:pt idx="6">
                  <c:v>20053740</c:v>
                </c:pt>
                <c:pt idx="7">
                  <c:v>20612170</c:v>
                </c:pt>
                <c:pt idx="8">
                  <c:v>21251810</c:v>
                </c:pt>
                <c:pt idx="9">
                  <c:v>19900770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5B-7448-B078-399D742B34EC}"/>
            </c:ext>
          </c:extLst>
        </c:ser>
        <c:ser>
          <c:idx val="8"/>
          <c:order val="3"/>
          <c:tx>
            <c:strRef>
              <c:f>'GCF-Financing'!$A$12</c:f>
              <c:strCache>
                <c:ptCount val="1"/>
                <c:pt idx="0">
                  <c:v>            Financial corporations save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'GCF-Financing'!$B$12:$K$12</c:f>
              <c:numCache>
                <c:formatCode>#,##0.00</c:formatCode>
                <c:ptCount val="10"/>
                <c:pt idx="0">
                  <c:v>2723710</c:v>
                </c:pt>
                <c:pt idx="1">
                  <c:v>3006260</c:v>
                </c:pt>
                <c:pt idx="2">
                  <c:v>2930840</c:v>
                </c:pt>
                <c:pt idx="3">
                  <c:v>3390270</c:v>
                </c:pt>
                <c:pt idx="4">
                  <c:v>2916410</c:v>
                </c:pt>
                <c:pt idx="5">
                  <c:v>3484090</c:v>
                </c:pt>
                <c:pt idx="6">
                  <c:v>3870280</c:v>
                </c:pt>
                <c:pt idx="7">
                  <c:v>3537190</c:v>
                </c:pt>
                <c:pt idx="8">
                  <c:v>5829460</c:v>
                </c:pt>
                <c:pt idx="9">
                  <c:v>5572630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5B-7448-B078-399D742B34EC}"/>
            </c:ext>
          </c:extLst>
        </c:ser>
        <c:ser>
          <c:idx val="15"/>
          <c:order val="5"/>
          <c:tx>
            <c:strRef>
              <c:f>'GCF-Financing'!$A$19</c:f>
              <c:strCache>
                <c:ptCount val="1"/>
                <c:pt idx="0">
                  <c:v>                Net financial saving (household)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Dot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1.6772994616548844E-4"/>
                  <c:y val="9.2692647969565597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'GCF-Financing'!$B$19:$K$19</c:f>
              <c:numCache>
                <c:formatCode>#,##0.00</c:formatCode>
                <c:ptCount val="10"/>
                <c:pt idx="0">
                  <c:v>6426090</c:v>
                </c:pt>
                <c:pt idx="1">
                  <c:v>7336160</c:v>
                </c:pt>
                <c:pt idx="2">
                  <c:v>8320910</c:v>
                </c:pt>
                <c:pt idx="3">
                  <c:v>8804160</c:v>
                </c:pt>
                <c:pt idx="4">
                  <c:v>11108450</c:v>
                </c:pt>
                <c:pt idx="5">
                  <c:v>11460290</c:v>
                </c:pt>
                <c:pt idx="6">
                  <c:v>13057050</c:v>
                </c:pt>
                <c:pt idx="7">
                  <c:v>14924450</c:v>
                </c:pt>
                <c:pt idx="8">
                  <c:v>16124680</c:v>
                </c:pt>
                <c:pt idx="9">
                  <c:v>23037080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35B-7448-B078-399D742B34EC}"/>
            </c:ext>
          </c:extLst>
        </c:ser>
        <c:ser>
          <c:idx val="1"/>
          <c:order val="6"/>
          <c:tx>
            <c:strRef>
              <c:f>'GCF-Financing'!$A$25</c:f>
              <c:strCache>
                <c:ptCount val="1"/>
                <c:pt idx="0">
                  <c:v>   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1.0364859439396298E-3"/>
                  <c:y val="-0.11220196353436185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35B-7448-B078-399D742B3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'GCF-Financing'!$B$3:$K$3</c:f>
              <c:strCache>
                <c:ptCount val="10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  <c:pt idx="9">
                  <c:v>2020-21 </c:v>
                </c:pt>
              </c:strCache>
            </c:strRef>
          </c:cat>
          <c:val>
            <c:numRef>
              <c:f>'GCF-Financing'!$B$25:$K$25</c:f>
              <c:numCache>
                <c:formatCode>#,##0.00</c:formatCode>
                <c:ptCount val="10"/>
                <c:pt idx="0">
                  <c:v>32057160</c:v>
                </c:pt>
                <c:pt idx="1">
                  <c:v>35394970</c:v>
                </c:pt>
                <c:pt idx="2">
                  <c:v>36602420</c:v>
                </c:pt>
                <c:pt idx="3">
                  <c:v>40630900</c:v>
                </c:pt>
                <c:pt idx="4">
                  <c:v>42195700</c:v>
                </c:pt>
                <c:pt idx="5">
                  <c:v>44767540</c:v>
                </c:pt>
                <c:pt idx="6">
                  <c:v>50531810</c:v>
                </c:pt>
                <c:pt idx="7">
                  <c:v>58866570</c:v>
                </c:pt>
                <c:pt idx="8">
                  <c:v>58721170</c:v>
                </c:pt>
                <c:pt idx="9">
                  <c:v>52523090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35B-7448-B078-399D742B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220192"/>
        <c:axId val="1476689568"/>
      </c:lineChart>
      <c:catAx>
        <c:axId val="12612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89568"/>
        <c:crosses val="autoZero"/>
        <c:auto val="1"/>
        <c:lblAlgn val="ctr"/>
        <c:lblOffset val="100"/>
        <c:noMultiLvlLbl val="0"/>
      </c:catAx>
      <c:valAx>
        <c:axId val="147668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tx>
            <c:strRef>
              <c:f>'GCF-Financing'!$A$19</c:f>
              <c:strCache>
                <c:ptCount val="1"/>
                <c:pt idx="0">
                  <c:v>                Net financial saving (household)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'GCF-Financing'!$B$19:$K$19</c:f>
              <c:numCache>
                <c:formatCode>#,##0.00</c:formatCode>
                <c:ptCount val="10"/>
                <c:pt idx="0">
                  <c:v>6426090</c:v>
                </c:pt>
                <c:pt idx="1">
                  <c:v>7336160</c:v>
                </c:pt>
                <c:pt idx="2">
                  <c:v>8320910</c:v>
                </c:pt>
                <c:pt idx="3">
                  <c:v>8804160</c:v>
                </c:pt>
                <c:pt idx="4">
                  <c:v>11108450</c:v>
                </c:pt>
                <c:pt idx="5">
                  <c:v>11460290</c:v>
                </c:pt>
                <c:pt idx="6">
                  <c:v>13057050</c:v>
                </c:pt>
                <c:pt idx="7">
                  <c:v>14924450</c:v>
                </c:pt>
                <c:pt idx="8">
                  <c:v>16124680</c:v>
                </c:pt>
                <c:pt idx="9">
                  <c:v>23037080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7-5145-891E-CD07BF9B179C}"/>
            </c:ext>
          </c:extLst>
        </c:ser>
        <c:ser>
          <c:idx val="4"/>
          <c:order val="1"/>
          <c:tx>
            <c:strRef>
              <c:f>'GCF-Financing'!$A$22</c:f>
              <c:strCache>
                <c:ptCount val="1"/>
                <c:pt idx="0">
                  <c:v>                Saving in physical assets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'GCF-Financing'!$B$22:$K$22</c:f>
              <c:numCache>
                <c:formatCode>#,##0.00</c:formatCode>
                <c:ptCount val="10"/>
                <c:pt idx="0">
                  <c:v>13893220</c:v>
                </c:pt>
                <c:pt idx="1">
                  <c:v>14650130</c:v>
                </c:pt>
                <c:pt idx="2">
                  <c:v>14164280</c:v>
                </c:pt>
                <c:pt idx="3">
                  <c:v>15131270</c:v>
                </c:pt>
                <c:pt idx="4">
                  <c:v>13175990</c:v>
                </c:pt>
                <c:pt idx="5">
                  <c:v>15945730</c:v>
                </c:pt>
                <c:pt idx="6">
                  <c:v>19442260</c:v>
                </c:pt>
                <c:pt idx="7">
                  <c:v>23094630</c:v>
                </c:pt>
                <c:pt idx="8">
                  <c:v>22735440</c:v>
                </c:pt>
                <c:pt idx="9">
                  <c:v>20484320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C7-5145-891E-CD07BF9B179C}"/>
            </c:ext>
          </c:extLst>
        </c:ser>
        <c:ser>
          <c:idx val="5"/>
          <c:order val="2"/>
          <c:tx>
            <c:strRef>
              <c:f>'GCF-Financing'!$A$23</c:f>
              <c:strCache>
                <c:ptCount val="1"/>
                <c:pt idx="0">
                  <c:v>                Saving in the form of gold &amp; silver ornaments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'GCF-Financing'!$B$23:$K$23</c:f>
              <c:numCache>
                <c:formatCode>#,##0.00</c:formatCode>
                <c:ptCount val="10"/>
                <c:pt idx="0">
                  <c:v>336350</c:v>
                </c:pt>
                <c:pt idx="1">
                  <c:v>366500</c:v>
                </c:pt>
                <c:pt idx="2">
                  <c:v>367820</c:v>
                </c:pt>
                <c:pt idx="3">
                  <c:v>455620</c:v>
                </c:pt>
                <c:pt idx="4">
                  <c:v>464690</c:v>
                </c:pt>
                <c:pt idx="5">
                  <c:v>465320</c:v>
                </c:pt>
                <c:pt idx="6">
                  <c:v>466650</c:v>
                </c:pt>
                <c:pt idx="7">
                  <c:v>426730</c:v>
                </c:pt>
                <c:pt idx="8">
                  <c:v>431360</c:v>
                </c:pt>
                <c:pt idx="9">
                  <c:v>384440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C7-5145-891E-CD07BF9B1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925360"/>
        <c:axId val="854783376"/>
      </c:areaChart>
      <c:catAx>
        <c:axId val="854925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83376"/>
        <c:crosses val="autoZero"/>
        <c:auto val="1"/>
        <c:lblAlgn val="ctr"/>
        <c:lblOffset val="100"/>
        <c:noMultiLvlLbl val="0"/>
      </c:catAx>
      <c:valAx>
        <c:axId val="8547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2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'REER-CPI'!$B$7</c:f>
              <c:strCache>
                <c:ptCount val="1"/>
                <c:pt idx="0">
                  <c:v>Export weights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'REER-CPI'!$A$8:$A$26</c:f>
              <c:strCache>
                <c:ptCount val="19"/>
                <c:pt idx="0">
                  <c:v>2004-05</c:v>
                </c:pt>
                <c:pt idx="1">
                  <c:v>2005-06</c:v>
                </c:pt>
                <c:pt idx="2">
                  <c:v>2006-07</c:v>
                </c:pt>
                <c:pt idx="3">
                  <c:v>2007-08</c:v>
                </c:pt>
                <c:pt idx="4">
                  <c:v>2008-09</c:v>
                </c:pt>
                <c:pt idx="5">
                  <c:v>2009-10</c:v>
                </c:pt>
                <c:pt idx="6">
                  <c:v>2010-11</c:v>
                </c:pt>
                <c:pt idx="7">
                  <c:v>2011-12</c:v>
                </c:pt>
                <c:pt idx="8">
                  <c:v>2012-13</c:v>
                </c:pt>
                <c:pt idx="9">
                  <c:v>2013-14</c:v>
                </c:pt>
                <c:pt idx="10">
                  <c:v>2014-15</c:v>
                </c:pt>
                <c:pt idx="11">
                  <c:v>2015-16</c:v>
                </c:pt>
                <c:pt idx="12">
                  <c:v>2016-17</c:v>
                </c:pt>
                <c:pt idx="13">
                  <c:v>2017-18</c:v>
                </c:pt>
                <c:pt idx="14">
                  <c:v>2018-19</c:v>
                </c:pt>
                <c:pt idx="15">
                  <c:v>2019-20</c:v>
                </c:pt>
                <c:pt idx="16">
                  <c:v>2020-21</c:v>
                </c:pt>
                <c:pt idx="17">
                  <c:v>2021-22</c:v>
                </c:pt>
                <c:pt idx="18">
                  <c:v>2022-23</c:v>
                </c:pt>
              </c:strCache>
            </c:strRef>
          </c:cat>
          <c:val>
            <c:numRef>
              <c:f>'REER-CPI'!$B$8:$B$26</c:f>
              <c:numCache>
                <c:formatCode>General</c:formatCode>
                <c:ptCount val="19"/>
                <c:pt idx="0">
                  <c:v>87.4</c:v>
                </c:pt>
                <c:pt idx="1">
                  <c:v>89.1</c:v>
                </c:pt>
                <c:pt idx="2">
                  <c:v>87.8</c:v>
                </c:pt>
                <c:pt idx="3">
                  <c:v>95.4</c:v>
                </c:pt>
                <c:pt idx="4">
                  <c:v>87.1</c:v>
                </c:pt>
                <c:pt idx="5">
                  <c:v>91.7</c:v>
                </c:pt>
                <c:pt idx="6">
                  <c:v>100.5</c:v>
                </c:pt>
                <c:pt idx="7">
                  <c:v>98.9</c:v>
                </c:pt>
                <c:pt idx="8">
                  <c:v>95</c:v>
                </c:pt>
                <c:pt idx="9">
                  <c:v>92.2</c:v>
                </c:pt>
                <c:pt idx="10">
                  <c:v>97.2</c:v>
                </c:pt>
                <c:pt idx="11">
                  <c:v>100</c:v>
                </c:pt>
                <c:pt idx="12">
                  <c:v>101.4</c:v>
                </c:pt>
                <c:pt idx="13">
                  <c:v>105.7</c:v>
                </c:pt>
                <c:pt idx="14">
                  <c:v>100.3</c:v>
                </c:pt>
                <c:pt idx="15">
                  <c:v>102.9</c:v>
                </c:pt>
                <c:pt idx="16">
                  <c:v>103</c:v>
                </c:pt>
                <c:pt idx="17">
                  <c:v>103.5</c:v>
                </c:pt>
                <c:pt idx="18">
                  <c:v>100.9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F-5942-A9AC-767092F5E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142095"/>
        <c:axId val="1223480415"/>
      </c:lineChart>
      <c:catAx>
        <c:axId val="13281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80415"/>
        <c:crosses val="autoZero"/>
        <c:auto val="1"/>
        <c:lblAlgn val="ctr"/>
        <c:lblOffset val="100"/>
        <c:noMultiLvlLbl val="0"/>
      </c:catAx>
      <c:valAx>
        <c:axId val="122348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4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Textiles-Apparel-Imports </a:t>
            </a:r>
          </a:p>
          <a:p>
            <a:pPr>
              <a:defRPr/>
            </a:pPr>
            <a:r>
              <a:rPr lang="en-GB"/>
              <a:t>(US $ Million)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'Textile-Apparel-Imports'!$B$5</c:f>
              <c:strCache>
                <c:ptCount val="1"/>
                <c:pt idx="0">
                  <c:v>Textiles (excluding  readymade garments)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'Textile-Apparel-Imports'!$A$35:$A$37</c:f>
              <c:strCache>
                <c:ptCount val="3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</c:strCache>
            </c:strRef>
          </c:cat>
          <c:val>
            <c:numRef>
              <c:f>'Textile-Apparel-Imports'!$B$35:$B$37</c:f>
              <c:numCache>
                <c:formatCode>#,##0.00</c:formatCode>
                <c:ptCount val="3"/>
                <c:pt idx="0">
                  <c:v>3770.8</c:v>
                </c:pt>
                <c:pt idx="1">
                  <c:v>5449.6</c:v>
                </c:pt>
                <c:pt idx="2">
                  <c:v>6153.3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E-0E4E-93B9-DC644C670758}"/>
            </c:ext>
          </c:extLst>
        </c:ser>
        <c:ser>
          <c:idx val="1"/>
          <c:order val="1"/>
          <c:tx>
            <c:strRef>
              <c:f>'Textile-Apparel-Imports'!$C$5</c:f>
              <c:strCache>
                <c:ptCount val="1"/>
                <c:pt idx="0">
                  <c:v>Readymade garments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'Textile-Apparel-Imports'!$A$35:$A$37</c:f>
              <c:strCache>
                <c:ptCount val="3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</c:strCache>
            </c:strRef>
          </c:cat>
          <c:val>
            <c:numRef>
              <c:f>'Textile-Apparel-Imports'!$C$35:$C$37</c:f>
              <c:numCache>
                <c:formatCode>#,##0.00</c:formatCode>
                <c:ptCount val="3"/>
                <c:pt idx="0" formatCode="General">
                  <c:v>878.9</c:v>
                </c:pt>
                <c:pt idx="1">
                  <c:v>1266.5</c:v>
                </c:pt>
                <c:pt idx="2">
                  <c:v>1756.7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E-0E4E-93B9-DC644C6707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7556863"/>
        <c:axId val="746618943"/>
      </c:lineChart>
      <c:catAx>
        <c:axId val="74755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18943"/>
        <c:crosses val="autoZero"/>
        <c:auto val="1"/>
        <c:lblAlgn val="ctr"/>
        <c:lblOffset val="100"/>
        <c:noMultiLvlLbl val="0"/>
      </c:catAx>
      <c:valAx>
        <c:axId val="7466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5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Textile (readymade) exports US $ Million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'Textile-Apparel-Exports'!$A$41</c:f>
              <c:strCache>
                <c:ptCount val="1"/>
                <c:pt idx="0">
                  <c:v>2020-21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'Textile-Apparel-Exports'!$B$41:$G$41</c:f>
              <c:numCache>
                <c:formatCode>#,##0.00</c:formatCode>
                <c:ptCount val="6"/>
                <c:pt idx="0">
                  <c:v>15872.5</c:v>
                </c:pt>
                <c:pt idx="1">
                  <c:v>1622.7</c:v>
                </c:pt>
                <c:pt idx="2">
                  <c:v>5635.4</c:v>
                </c:pt>
                <c:pt idx="3">
                  <c:v>3227.2</c:v>
                </c:pt>
                <c:pt idx="4">
                  <c:v>5044.8</c:v>
                </c:pt>
                <c:pt idx="5" formatCode="General">
                  <c:v>342.3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3-A947-B2A2-FDD13E0DFB8C}"/>
            </c:ext>
          </c:extLst>
        </c:ser>
        <c:ser>
          <c:idx val="1"/>
          <c:order val="1"/>
          <c:tx>
            <c:strRef>
              <c:f>'Textile-Apparel-Exports'!$A$42</c:f>
              <c:strCache>
                <c:ptCount val="1"/>
                <c:pt idx="0">
                  <c:v>2021-22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'Textile-Apparel-Exports'!$B$42:$G$42</c:f>
              <c:numCache>
                <c:formatCode>#,##0.00</c:formatCode>
                <c:ptCount val="6"/>
                <c:pt idx="0">
                  <c:v>23790.6</c:v>
                </c:pt>
                <c:pt idx="1">
                  <c:v>2390.1999999999998</c:v>
                </c:pt>
                <c:pt idx="2">
                  <c:v>7692.4</c:v>
                </c:pt>
                <c:pt idx="3">
                  <c:v>4951.6000000000004</c:v>
                </c:pt>
                <c:pt idx="4">
                  <c:v>8366</c:v>
                </c:pt>
                <c:pt idx="5" formatCode="General">
                  <c:v>390.4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3-A947-B2A2-FDD13E0DFB8C}"/>
            </c:ext>
          </c:extLst>
        </c:ser>
        <c:ser>
          <c:idx val="2"/>
          <c:order val="2"/>
          <c:tx>
            <c:strRef>
              <c:f>'Textile-Apparel-Exports'!$A$43</c:f>
              <c:strCache>
                <c:ptCount val="1"/>
                <c:pt idx="0">
                  <c:v>2022-23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'Textile-Apparel-Exports'!$B$40:$G$40</c:f>
              <c:strCache>
                <c:ptCount val="6"/>
                <c:pt idx="0">
                  <c:v>World </c:v>
                </c:pt>
                <c:pt idx="1">
                  <c:v>Africa </c:v>
                </c:pt>
                <c:pt idx="2">
                  <c:v>America </c:v>
                </c:pt>
                <c:pt idx="3">
                  <c:v>Europe </c:v>
                </c:pt>
                <c:pt idx="4">
                  <c:v>Asia </c:v>
                </c:pt>
                <c:pt idx="5">
                  <c:v>Oceania </c:v>
                </c:pt>
              </c:strCache>
            </c:strRef>
          </c:cat>
          <c:val>
            <c:numRef>
              <c:f>'Textile-Apparel-Exports'!$B$43:$G$43</c:f>
              <c:numCache>
                <c:formatCode>#,##0.00</c:formatCode>
                <c:ptCount val="6"/>
                <c:pt idx="0">
                  <c:v>18136.099999999999</c:v>
                </c:pt>
                <c:pt idx="1">
                  <c:v>2152.6999999999998</c:v>
                </c:pt>
                <c:pt idx="2">
                  <c:v>5825.7</c:v>
                </c:pt>
                <c:pt idx="3">
                  <c:v>4061.6</c:v>
                </c:pt>
                <c:pt idx="4">
                  <c:v>5709.9</c:v>
                </c:pt>
                <c:pt idx="5" formatCode="General">
                  <c:v>386.3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03-A947-B2A2-FDD13E0DF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475727"/>
        <c:axId val="296385535"/>
        <c:axId val="504399919"/>
      </c:line3DChart>
      <c:catAx>
        <c:axId val="224475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85535"/>
        <c:crosses val="autoZero"/>
        <c:auto val="1"/>
        <c:lblAlgn val="ctr"/>
        <c:lblOffset val="100"/>
        <c:noMultiLvlLbl val="0"/>
      </c:catAx>
      <c:valAx>
        <c:axId val="2963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75727"/>
        <c:crosses val="autoZero"/>
        <c:crossBetween val="between"/>
      </c:valAx>
      <c:serAx>
        <c:axId val="5043999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3855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Trade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'Trade Balance'!$B$1</c:f>
              <c:strCache>
                <c:ptCount val="1"/>
                <c:pt idx="0">
                  <c:v>Trade Balance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Balance'!$B$2:$B$61</c:f>
              <c:numCache>
                <c:formatCode>#,##0.00</c:formatCode>
                <c:ptCount val="60"/>
                <c:pt idx="0">
                  <c:v>-24016.7</c:v>
                </c:pt>
                <c:pt idx="1">
                  <c:v>-23143.5</c:v>
                </c:pt>
                <c:pt idx="2">
                  <c:v>-32952.400000000001</c:v>
                </c:pt>
                <c:pt idx="3">
                  <c:v>-29503.200000000001</c:v>
                </c:pt>
                <c:pt idx="4">
                  <c:v>-29345.9</c:v>
                </c:pt>
                <c:pt idx="5">
                  <c:v>-35200.1</c:v>
                </c:pt>
                <c:pt idx="6">
                  <c:v>-26965.200000000001</c:v>
                </c:pt>
                <c:pt idx="7">
                  <c:v>-24281.200000000001</c:v>
                </c:pt>
                <c:pt idx="8">
                  <c:v>-46220.2</c:v>
                </c:pt>
                <c:pt idx="9">
                  <c:v>-43040.1</c:v>
                </c:pt>
                <c:pt idx="10">
                  <c:v>-47883.6</c:v>
                </c:pt>
                <c:pt idx="11">
                  <c:v>-46062.400000000001</c:v>
                </c:pt>
                <c:pt idx="12">
                  <c:v>-41780</c:v>
                </c:pt>
                <c:pt idx="13">
                  <c:v>-48807.7</c:v>
                </c:pt>
                <c:pt idx="14">
                  <c:v>-54957.3</c:v>
                </c:pt>
                <c:pt idx="15">
                  <c:v>-43502.2</c:v>
                </c:pt>
                <c:pt idx="16">
                  <c:v>-47457.599999999999</c:v>
                </c:pt>
                <c:pt idx="17">
                  <c:v>-29173.8</c:v>
                </c:pt>
                <c:pt idx="18">
                  <c:v>-30355.599999999999</c:v>
                </c:pt>
                <c:pt idx="19">
                  <c:v>-28685.599999999999</c:v>
                </c:pt>
                <c:pt idx="20">
                  <c:v>-33493.199999999997</c:v>
                </c:pt>
                <c:pt idx="21">
                  <c:v>-39412.9</c:v>
                </c:pt>
                <c:pt idx="22">
                  <c:v>-38882.9</c:v>
                </c:pt>
                <c:pt idx="23">
                  <c:v>-26018.799999999999</c:v>
                </c:pt>
                <c:pt idx="24">
                  <c:v>-32869.199999999997</c:v>
                </c:pt>
                <c:pt idx="25">
                  <c:v>-35634.6</c:v>
                </c:pt>
                <c:pt idx="26">
                  <c:v>-31548.1</c:v>
                </c:pt>
                <c:pt idx="27">
                  <c:v>-18651.8</c:v>
                </c:pt>
                <c:pt idx="28">
                  <c:v>-19078.099999999999</c:v>
                </c:pt>
                <c:pt idx="29">
                  <c:v>-24423.7</c:v>
                </c:pt>
                <c:pt idx="30">
                  <c:v>-35060.300000000003</c:v>
                </c:pt>
                <c:pt idx="31">
                  <c:v>-30054.7</c:v>
                </c:pt>
                <c:pt idx="32">
                  <c:v>-42628.6</c:v>
                </c:pt>
                <c:pt idx="33">
                  <c:v>-34022.699999999997</c:v>
                </c:pt>
                <c:pt idx="34">
                  <c:v>-43905</c:v>
                </c:pt>
                <c:pt idx="35">
                  <c:v>-41480.699999999997</c:v>
                </c:pt>
                <c:pt idx="36">
                  <c:v>-46654.6</c:v>
                </c:pt>
                <c:pt idx="37">
                  <c:v>-51497.5</c:v>
                </c:pt>
                <c:pt idx="38">
                  <c:v>-50120.9</c:v>
                </c:pt>
                <c:pt idx="39">
                  <c:v>-35766.5</c:v>
                </c:pt>
                <c:pt idx="40">
                  <c:v>-49183.4</c:v>
                </c:pt>
                <c:pt idx="41">
                  <c:v>-39742</c:v>
                </c:pt>
                <c:pt idx="42">
                  <c:v>-36993.4</c:v>
                </c:pt>
                <c:pt idx="43">
                  <c:v>-35369.199999999997</c:v>
                </c:pt>
                <c:pt idx="44">
                  <c:v>-9842.2999999999993</c:v>
                </c:pt>
                <c:pt idx="45">
                  <c:v>-16535.900000000001</c:v>
                </c:pt>
                <c:pt idx="46">
                  <c:v>-35064.1</c:v>
                </c:pt>
                <c:pt idx="47">
                  <c:v>-41250.9</c:v>
                </c:pt>
                <c:pt idx="48">
                  <c:v>-31517</c:v>
                </c:pt>
                <c:pt idx="49">
                  <c:v>-44736.1</c:v>
                </c:pt>
                <c:pt idx="50">
                  <c:v>-60174</c:v>
                </c:pt>
                <c:pt idx="51">
                  <c:v>-54599.3</c:v>
                </c:pt>
                <c:pt idx="52">
                  <c:v>-62568.9</c:v>
                </c:pt>
                <c:pt idx="53">
                  <c:v>-78280.3</c:v>
                </c:pt>
                <c:pt idx="54">
                  <c:v>-71504.5</c:v>
                </c:pt>
                <c:pt idx="55">
                  <c:v>-52553.599999999999</c:v>
                </c:pt>
                <c:pt idx="56">
                  <c:v>-56171.5</c:v>
                </c:pt>
                <c:pt idx="57">
                  <c:v>-63083.1</c:v>
                </c:pt>
                <c:pt idx="58">
                  <c:v>-70595</c:v>
                </c:pt>
                <c:pt idx="59">
                  <c:v>-50345.599999999999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5-A942-9043-CED1181A32D2}"/>
            </c:ext>
          </c:extLst>
        </c:ser>
        <c:ser>
          <c:idx val="1"/>
          <c:order val="1"/>
          <c:tx>
            <c:strRef>
              <c:f>'Trade Balance'!$C$1</c:f>
              <c:strCache>
                <c:ptCount val="1"/>
                <c:pt idx="0">
                  <c:v>Exports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Balance'!$C$2:$C$61</c:f>
              <c:numCache>
                <c:formatCode>#,##0.00</c:formatCode>
                <c:ptCount val="60"/>
                <c:pt idx="0">
                  <c:v>38468.5</c:v>
                </c:pt>
                <c:pt idx="1">
                  <c:v>42551</c:v>
                </c:pt>
                <c:pt idx="2">
                  <c:v>46230.7</c:v>
                </c:pt>
                <c:pt idx="3">
                  <c:v>51535.6</c:v>
                </c:pt>
                <c:pt idx="4">
                  <c:v>54093</c:v>
                </c:pt>
                <c:pt idx="5">
                  <c:v>51102.9</c:v>
                </c:pt>
                <c:pt idx="6">
                  <c:v>65835.100000000006</c:v>
                </c:pt>
                <c:pt idx="7">
                  <c:v>76313.600000000006</c:v>
                </c:pt>
                <c:pt idx="8">
                  <c:v>76506.100000000006</c:v>
                </c:pt>
                <c:pt idx="9">
                  <c:v>77807.7</c:v>
                </c:pt>
                <c:pt idx="10">
                  <c:v>72214.5</c:v>
                </c:pt>
                <c:pt idx="11">
                  <c:v>79366.100000000006</c:v>
                </c:pt>
                <c:pt idx="12">
                  <c:v>73346.100000000006</c:v>
                </c:pt>
                <c:pt idx="13">
                  <c:v>71090.8</c:v>
                </c:pt>
                <c:pt idx="14">
                  <c:v>72757.8</c:v>
                </c:pt>
                <c:pt idx="15">
                  <c:v>82992.399999999994</c:v>
                </c:pt>
                <c:pt idx="16">
                  <c:v>72281.399999999994</c:v>
                </c:pt>
                <c:pt idx="17">
                  <c:v>80521.8</c:v>
                </c:pt>
                <c:pt idx="18">
                  <c:v>78075.8</c:v>
                </c:pt>
                <c:pt idx="19">
                  <c:v>82509.2</c:v>
                </c:pt>
                <c:pt idx="20">
                  <c:v>79719</c:v>
                </c:pt>
                <c:pt idx="21">
                  <c:v>81503.7</c:v>
                </c:pt>
                <c:pt idx="22">
                  <c:v>78448.100000000006</c:v>
                </c:pt>
                <c:pt idx="23">
                  <c:v>70403.899999999994</c:v>
                </c:pt>
                <c:pt idx="24">
                  <c:v>66963</c:v>
                </c:pt>
                <c:pt idx="25">
                  <c:v>66770.5</c:v>
                </c:pt>
                <c:pt idx="26">
                  <c:v>63610.2</c:v>
                </c:pt>
                <c:pt idx="27">
                  <c:v>64944.2</c:v>
                </c:pt>
                <c:pt idx="28">
                  <c:v>65915.7</c:v>
                </c:pt>
                <c:pt idx="29">
                  <c:v>66045.8</c:v>
                </c:pt>
                <c:pt idx="30">
                  <c:v>67443</c:v>
                </c:pt>
                <c:pt idx="31">
                  <c:v>76258.899999999994</c:v>
                </c:pt>
                <c:pt idx="32">
                  <c:v>71537.5</c:v>
                </c:pt>
                <c:pt idx="33">
                  <c:v>74222.600000000006</c:v>
                </c:pt>
                <c:pt idx="34">
                  <c:v>76970.399999999994</c:v>
                </c:pt>
                <c:pt idx="35">
                  <c:v>80842.8</c:v>
                </c:pt>
                <c:pt idx="36">
                  <c:v>82029.899999999994</c:v>
                </c:pt>
                <c:pt idx="37">
                  <c:v>81614.5</c:v>
                </c:pt>
                <c:pt idx="38">
                  <c:v>80541.7</c:v>
                </c:pt>
                <c:pt idx="39">
                  <c:v>85893.7</c:v>
                </c:pt>
                <c:pt idx="40">
                  <c:v>80910.5</c:v>
                </c:pt>
                <c:pt idx="41">
                  <c:v>78344.2</c:v>
                </c:pt>
                <c:pt idx="42">
                  <c:v>79107.8</c:v>
                </c:pt>
                <c:pt idx="43">
                  <c:v>74970</c:v>
                </c:pt>
                <c:pt idx="44">
                  <c:v>51414</c:v>
                </c:pt>
                <c:pt idx="45">
                  <c:v>74113.7</c:v>
                </c:pt>
                <c:pt idx="46">
                  <c:v>75761</c:v>
                </c:pt>
                <c:pt idx="47">
                  <c:v>90413.4</c:v>
                </c:pt>
                <c:pt idx="48">
                  <c:v>95570.5</c:v>
                </c:pt>
                <c:pt idx="49">
                  <c:v>102719.9</c:v>
                </c:pt>
                <c:pt idx="50">
                  <c:v>106791.2</c:v>
                </c:pt>
                <c:pt idx="51">
                  <c:v>117064.9</c:v>
                </c:pt>
                <c:pt idx="52">
                  <c:v>120943.9</c:v>
                </c:pt>
                <c:pt idx="53">
                  <c:v>110712.9</c:v>
                </c:pt>
                <c:pt idx="54">
                  <c:v>104559</c:v>
                </c:pt>
                <c:pt idx="55">
                  <c:v>114771.5</c:v>
                </c:pt>
                <c:pt idx="56">
                  <c:v>103894.5</c:v>
                </c:pt>
                <c:pt idx="57">
                  <c:v>107206.9</c:v>
                </c:pt>
                <c:pt idx="58">
                  <c:v>105581.5</c:v>
                </c:pt>
                <c:pt idx="59">
                  <c:v>120379.5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5-A942-9043-CED1181A32D2}"/>
            </c:ext>
          </c:extLst>
        </c:ser>
        <c:ser>
          <c:idx val="2"/>
          <c:order val="2"/>
          <c:tx>
            <c:strRef>
              <c:f>'Trade Balance'!$D$1</c:f>
              <c:strCache>
                <c:ptCount val="1"/>
                <c:pt idx="0">
                  <c:v>Imports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'Trade Balance'!$A$2:$A$61</c:f>
              <c:numCache>
                <c:formatCode>mmm\-yy</c:formatCode>
                <c:ptCount val="60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  <c:pt idx="21">
                  <c:v>41883</c:v>
                </c:pt>
                <c:pt idx="22">
                  <c:v>41974</c:v>
                </c:pt>
                <c:pt idx="23">
                  <c:v>42064</c:v>
                </c:pt>
                <c:pt idx="24">
                  <c:v>42156</c:v>
                </c:pt>
                <c:pt idx="25">
                  <c:v>42248</c:v>
                </c:pt>
                <c:pt idx="26">
                  <c:v>42339</c:v>
                </c:pt>
                <c:pt idx="27">
                  <c:v>42430</c:v>
                </c:pt>
                <c:pt idx="28">
                  <c:v>42522</c:v>
                </c:pt>
                <c:pt idx="29">
                  <c:v>42614</c:v>
                </c:pt>
                <c:pt idx="30">
                  <c:v>42705</c:v>
                </c:pt>
                <c:pt idx="31">
                  <c:v>42795</c:v>
                </c:pt>
                <c:pt idx="32">
                  <c:v>42887</c:v>
                </c:pt>
                <c:pt idx="33">
                  <c:v>42979</c:v>
                </c:pt>
                <c:pt idx="34">
                  <c:v>43070</c:v>
                </c:pt>
                <c:pt idx="35">
                  <c:v>43160</c:v>
                </c:pt>
                <c:pt idx="36">
                  <c:v>43252</c:v>
                </c:pt>
                <c:pt idx="37">
                  <c:v>43344</c:v>
                </c:pt>
                <c:pt idx="38">
                  <c:v>43435</c:v>
                </c:pt>
                <c:pt idx="39">
                  <c:v>43525</c:v>
                </c:pt>
                <c:pt idx="40">
                  <c:v>43617</c:v>
                </c:pt>
                <c:pt idx="41">
                  <c:v>43709</c:v>
                </c:pt>
                <c:pt idx="42">
                  <c:v>43800</c:v>
                </c:pt>
                <c:pt idx="43">
                  <c:v>43891</c:v>
                </c:pt>
                <c:pt idx="44">
                  <c:v>43983</c:v>
                </c:pt>
                <c:pt idx="45">
                  <c:v>44075</c:v>
                </c:pt>
                <c:pt idx="46">
                  <c:v>44166</c:v>
                </c:pt>
                <c:pt idx="47">
                  <c:v>44256</c:v>
                </c:pt>
                <c:pt idx="48">
                  <c:v>44348</c:v>
                </c:pt>
                <c:pt idx="49">
                  <c:v>44440</c:v>
                </c:pt>
                <c:pt idx="50">
                  <c:v>44531</c:v>
                </c:pt>
                <c:pt idx="51">
                  <c:v>44621</c:v>
                </c:pt>
                <c:pt idx="52">
                  <c:v>44713</c:v>
                </c:pt>
                <c:pt idx="53">
                  <c:v>44805</c:v>
                </c:pt>
                <c:pt idx="54">
                  <c:v>44896</c:v>
                </c:pt>
                <c:pt idx="55">
                  <c:v>44986</c:v>
                </c:pt>
                <c:pt idx="56">
                  <c:v>45078</c:v>
                </c:pt>
                <c:pt idx="57">
                  <c:v>45170</c:v>
                </c:pt>
                <c:pt idx="58">
                  <c:v>45261</c:v>
                </c:pt>
                <c:pt idx="59">
                  <c:v>45352</c:v>
                </c:pt>
              </c:numCache>
            </c:numRef>
          </c:cat>
          <c:val>
            <c:numRef>
              <c:f>'Trade Balance'!$D$2:$D$61</c:f>
              <c:numCache>
                <c:formatCode>#,##0.00</c:formatCode>
                <c:ptCount val="60"/>
                <c:pt idx="0">
                  <c:v>62485.2</c:v>
                </c:pt>
                <c:pt idx="1">
                  <c:v>65694.5</c:v>
                </c:pt>
                <c:pt idx="2">
                  <c:v>79183.100000000006</c:v>
                </c:pt>
                <c:pt idx="3">
                  <c:v>81038.8</c:v>
                </c:pt>
                <c:pt idx="4">
                  <c:v>83438.899999999994</c:v>
                </c:pt>
                <c:pt idx="5">
                  <c:v>86303</c:v>
                </c:pt>
                <c:pt idx="6">
                  <c:v>92800.2</c:v>
                </c:pt>
                <c:pt idx="7">
                  <c:v>100594.8</c:v>
                </c:pt>
                <c:pt idx="8">
                  <c:v>122726.3</c:v>
                </c:pt>
                <c:pt idx="9">
                  <c:v>120847.8</c:v>
                </c:pt>
                <c:pt idx="10">
                  <c:v>120098.1</c:v>
                </c:pt>
                <c:pt idx="11">
                  <c:v>125428.5</c:v>
                </c:pt>
                <c:pt idx="12">
                  <c:v>115126</c:v>
                </c:pt>
                <c:pt idx="13">
                  <c:v>119898.5</c:v>
                </c:pt>
                <c:pt idx="14">
                  <c:v>127715.1</c:v>
                </c:pt>
                <c:pt idx="15">
                  <c:v>126494.6</c:v>
                </c:pt>
                <c:pt idx="16">
                  <c:v>119738.9</c:v>
                </c:pt>
                <c:pt idx="17">
                  <c:v>109695.5</c:v>
                </c:pt>
                <c:pt idx="18">
                  <c:v>108431.4</c:v>
                </c:pt>
                <c:pt idx="19">
                  <c:v>111194.8</c:v>
                </c:pt>
                <c:pt idx="20">
                  <c:v>113212.1</c:v>
                </c:pt>
                <c:pt idx="21">
                  <c:v>120916.5</c:v>
                </c:pt>
                <c:pt idx="22">
                  <c:v>117330.9</c:v>
                </c:pt>
                <c:pt idx="23">
                  <c:v>96422.7</c:v>
                </c:pt>
                <c:pt idx="24">
                  <c:v>99832.2</c:v>
                </c:pt>
                <c:pt idx="25">
                  <c:v>102405.1</c:v>
                </c:pt>
                <c:pt idx="26">
                  <c:v>95158.3</c:v>
                </c:pt>
                <c:pt idx="27">
                  <c:v>83596.100000000006</c:v>
                </c:pt>
                <c:pt idx="28">
                  <c:v>84993.8</c:v>
                </c:pt>
                <c:pt idx="29">
                  <c:v>90469.4</c:v>
                </c:pt>
                <c:pt idx="30">
                  <c:v>102503.3</c:v>
                </c:pt>
                <c:pt idx="31">
                  <c:v>106313.60000000001</c:v>
                </c:pt>
                <c:pt idx="32">
                  <c:v>114166.1</c:v>
                </c:pt>
                <c:pt idx="33">
                  <c:v>108245.3</c:v>
                </c:pt>
                <c:pt idx="34">
                  <c:v>120875.4</c:v>
                </c:pt>
                <c:pt idx="35">
                  <c:v>122323.5</c:v>
                </c:pt>
                <c:pt idx="36">
                  <c:v>128684.5</c:v>
                </c:pt>
                <c:pt idx="37">
                  <c:v>133112</c:v>
                </c:pt>
                <c:pt idx="38">
                  <c:v>130662.6</c:v>
                </c:pt>
                <c:pt idx="39">
                  <c:v>121660.2</c:v>
                </c:pt>
                <c:pt idx="40">
                  <c:v>130093.9</c:v>
                </c:pt>
                <c:pt idx="41">
                  <c:v>118086.1</c:v>
                </c:pt>
                <c:pt idx="42">
                  <c:v>116101.2</c:v>
                </c:pt>
                <c:pt idx="43">
                  <c:v>110339.2</c:v>
                </c:pt>
                <c:pt idx="44">
                  <c:v>61256.3</c:v>
                </c:pt>
                <c:pt idx="45">
                  <c:v>90649.600000000006</c:v>
                </c:pt>
                <c:pt idx="46">
                  <c:v>110825.2</c:v>
                </c:pt>
                <c:pt idx="47">
                  <c:v>131664.29999999999</c:v>
                </c:pt>
                <c:pt idx="48">
                  <c:v>127087.5</c:v>
                </c:pt>
                <c:pt idx="49">
                  <c:v>147456</c:v>
                </c:pt>
                <c:pt idx="50">
                  <c:v>166965.20000000001</c:v>
                </c:pt>
                <c:pt idx="51">
                  <c:v>171664.2</c:v>
                </c:pt>
                <c:pt idx="52">
                  <c:v>183512.8</c:v>
                </c:pt>
                <c:pt idx="53">
                  <c:v>188993.2</c:v>
                </c:pt>
                <c:pt idx="54">
                  <c:v>176063.4</c:v>
                </c:pt>
                <c:pt idx="55">
                  <c:v>167325.1</c:v>
                </c:pt>
                <c:pt idx="56">
                  <c:v>160065.9</c:v>
                </c:pt>
                <c:pt idx="57">
                  <c:v>170290</c:v>
                </c:pt>
                <c:pt idx="58">
                  <c:v>176176.5</c:v>
                </c:pt>
                <c:pt idx="59">
                  <c:v>170725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5-A942-9043-CED1181A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1643503"/>
        <c:axId val="514622271"/>
        <c:axId val="0"/>
      </c:bar3DChart>
      <c:dateAx>
        <c:axId val="56164350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22271"/>
        <c:crosses val="autoZero"/>
        <c:auto val="1"/>
        <c:lblOffset val="100"/>
        <c:baseTimeUnit val="months"/>
      </c:dateAx>
      <c:valAx>
        <c:axId val="51462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4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Wholesaler Price Inflation - Textile and Apparel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'WPI-Textiles'!$B$5</c:f>
              <c:strCache>
                <c:ptCount val="1"/>
                <c:pt idx="0">
                  <c:v>WPI (Textiles) Inflation 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'WPI-Textiles'!$A$5:$A$65</c:f>
              <c:strCache>
                <c:ptCount val="61"/>
                <c:pt idx="0">
                  <c:v>Month 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  <c:pt idx="13">
                  <c:v>Apr-20</c:v>
                </c:pt>
                <c:pt idx="14">
                  <c:v>May-20</c:v>
                </c:pt>
                <c:pt idx="15">
                  <c:v>Jun-20</c:v>
                </c:pt>
                <c:pt idx="16">
                  <c:v>Jul-20</c:v>
                </c:pt>
                <c:pt idx="17">
                  <c:v>Aug-20</c:v>
                </c:pt>
                <c:pt idx="18">
                  <c:v>Sep-20</c:v>
                </c:pt>
                <c:pt idx="19">
                  <c:v>Oct-20</c:v>
                </c:pt>
                <c:pt idx="20">
                  <c:v>Nov-20</c:v>
                </c:pt>
                <c:pt idx="21">
                  <c:v>Dec-20</c:v>
                </c:pt>
                <c:pt idx="22">
                  <c:v>Jan-21</c:v>
                </c:pt>
                <c:pt idx="23">
                  <c:v>Feb-21</c:v>
                </c:pt>
                <c:pt idx="24">
                  <c:v>Mar-21</c:v>
                </c:pt>
                <c:pt idx="25">
                  <c:v>Apr-21</c:v>
                </c:pt>
                <c:pt idx="26">
                  <c:v>May-21</c:v>
                </c:pt>
                <c:pt idx="27">
                  <c:v>Jun-21</c:v>
                </c:pt>
                <c:pt idx="28">
                  <c:v>Jul-21</c:v>
                </c:pt>
                <c:pt idx="29">
                  <c:v>Aug-21</c:v>
                </c:pt>
                <c:pt idx="30">
                  <c:v>Sep-21</c:v>
                </c:pt>
                <c:pt idx="31">
                  <c:v>Oct-21</c:v>
                </c:pt>
                <c:pt idx="32">
                  <c:v>Nov-21</c:v>
                </c:pt>
                <c:pt idx="33">
                  <c:v>Dec-21</c:v>
                </c:pt>
                <c:pt idx="34">
                  <c:v>Jan-22</c:v>
                </c:pt>
                <c:pt idx="35">
                  <c:v>Feb-22</c:v>
                </c:pt>
                <c:pt idx="36">
                  <c:v>Mar-22</c:v>
                </c:pt>
                <c:pt idx="37">
                  <c:v>Apr-22</c:v>
                </c:pt>
                <c:pt idx="38">
                  <c:v>May-22</c:v>
                </c:pt>
                <c:pt idx="39">
                  <c:v>Jun-22</c:v>
                </c:pt>
                <c:pt idx="40">
                  <c:v>Jul-22</c:v>
                </c:pt>
                <c:pt idx="41">
                  <c:v>Aug-22</c:v>
                </c:pt>
                <c:pt idx="42">
                  <c:v>Sep-22</c:v>
                </c:pt>
                <c:pt idx="43">
                  <c:v>Oct-22</c:v>
                </c:pt>
                <c:pt idx="44">
                  <c:v>Nov-22</c:v>
                </c:pt>
                <c:pt idx="45">
                  <c:v>Dec-22</c:v>
                </c:pt>
                <c:pt idx="46">
                  <c:v>Jan-23</c:v>
                </c:pt>
                <c:pt idx="47">
                  <c:v>Feb-23</c:v>
                </c:pt>
                <c:pt idx="48">
                  <c:v>Mar-23</c:v>
                </c:pt>
                <c:pt idx="49">
                  <c:v>Apr-23</c:v>
                </c:pt>
                <c:pt idx="50">
                  <c:v>May-23</c:v>
                </c:pt>
                <c:pt idx="51">
                  <c:v>Jun-23</c:v>
                </c:pt>
                <c:pt idx="52">
                  <c:v>Jul-23</c:v>
                </c:pt>
                <c:pt idx="53">
                  <c:v>Aug-23</c:v>
                </c:pt>
                <c:pt idx="54">
                  <c:v>Sep-23</c:v>
                </c:pt>
                <c:pt idx="55">
                  <c:v>Oct-23</c:v>
                </c:pt>
                <c:pt idx="56">
                  <c:v>Nov-23</c:v>
                </c:pt>
                <c:pt idx="57">
                  <c:v>Dec-23</c:v>
                </c:pt>
                <c:pt idx="58">
                  <c:v>Jan-24</c:v>
                </c:pt>
                <c:pt idx="59">
                  <c:v>Feb-24</c:v>
                </c:pt>
                <c:pt idx="60">
                  <c:v>Mar-24</c:v>
                </c:pt>
              </c:strCache>
            </c:strRef>
          </c:cat>
          <c:val>
            <c:numRef>
              <c:f>'WPI-Textiles'!$B$6:$B$65</c:f>
              <c:numCache>
                <c:formatCode>General</c:formatCode>
                <c:ptCount val="60"/>
                <c:pt idx="0">
                  <c:v>3.92</c:v>
                </c:pt>
                <c:pt idx="1">
                  <c:v>3.37</c:v>
                </c:pt>
                <c:pt idx="2">
                  <c:v>2.75</c:v>
                </c:pt>
                <c:pt idx="3">
                  <c:v>1.02</c:v>
                </c:pt>
                <c:pt idx="4">
                  <c:v>-0.17</c:v>
                </c:pt>
                <c:pt idx="5">
                  <c:v>-0.84</c:v>
                </c:pt>
                <c:pt idx="6">
                  <c:v>-1.59</c:v>
                </c:pt>
                <c:pt idx="7">
                  <c:v>-2.1</c:v>
                </c:pt>
                <c:pt idx="8">
                  <c:v>-2.44</c:v>
                </c:pt>
                <c:pt idx="9">
                  <c:v>-2.1800000000000002</c:v>
                </c:pt>
                <c:pt idx="10">
                  <c:v>-1.93</c:v>
                </c:pt>
                <c:pt idx="11">
                  <c:v>-1.6</c:v>
                </c:pt>
                <c:pt idx="12">
                  <c:v>-2.0099999999999998</c:v>
                </c:pt>
                <c:pt idx="13">
                  <c:v>-3.68</c:v>
                </c:pt>
                <c:pt idx="14">
                  <c:v>-4.8600000000000003</c:v>
                </c:pt>
                <c:pt idx="15">
                  <c:v>-5.05</c:v>
                </c:pt>
                <c:pt idx="16">
                  <c:v>-4.32</c:v>
                </c:pt>
                <c:pt idx="17">
                  <c:v>-3.4</c:v>
                </c:pt>
                <c:pt idx="18">
                  <c:v>-2.13</c:v>
                </c:pt>
                <c:pt idx="19">
                  <c:v>0.26</c:v>
                </c:pt>
                <c:pt idx="20">
                  <c:v>2.67</c:v>
                </c:pt>
                <c:pt idx="21">
                  <c:v>5.76</c:v>
                </c:pt>
                <c:pt idx="22">
                  <c:v>6.84</c:v>
                </c:pt>
                <c:pt idx="23">
                  <c:v>9.17</c:v>
                </c:pt>
                <c:pt idx="24">
                  <c:v>10</c:v>
                </c:pt>
                <c:pt idx="25">
                  <c:v>11.55</c:v>
                </c:pt>
                <c:pt idx="26">
                  <c:v>14.17</c:v>
                </c:pt>
                <c:pt idx="27">
                  <c:v>15.85</c:v>
                </c:pt>
                <c:pt idx="28">
                  <c:v>17.350000000000001</c:v>
                </c:pt>
                <c:pt idx="29">
                  <c:v>17.34</c:v>
                </c:pt>
                <c:pt idx="30">
                  <c:v>17.420000000000002</c:v>
                </c:pt>
                <c:pt idx="31">
                  <c:v>18.239999999999998</c:v>
                </c:pt>
                <c:pt idx="32">
                  <c:v>16.88</c:v>
                </c:pt>
                <c:pt idx="33">
                  <c:v>13.89</c:v>
                </c:pt>
                <c:pt idx="34">
                  <c:v>14.01</c:v>
                </c:pt>
                <c:pt idx="35">
                  <c:v>12.95</c:v>
                </c:pt>
                <c:pt idx="36">
                  <c:v>13.29</c:v>
                </c:pt>
                <c:pt idx="37">
                  <c:v>15.56</c:v>
                </c:pt>
                <c:pt idx="38">
                  <c:v>15.11</c:v>
                </c:pt>
                <c:pt idx="39">
                  <c:v>12.61</c:v>
                </c:pt>
                <c:pt idx="40">
                  <c:v>10.48</c:v>
                </c:pt>
                <c:pt idx="41">
                  <c:v>8.4</c:v>
                </c:pt>
                <c:pt idx="42">
                  <c:v>5.71</c:v>
                </c:pt>
                <c:pt idx="43">
                  <c:v>0.8</c:v>
                </c:pt>
                <c:pt idx="44">
                  <c:v>-1.1499999999999999</c:v>
                </c:pt>
                <c:pt idx="45">
                  <c:v>-2.21</c:v>
                </c:pt>
                <c:pt idx="46">
                  <c:v>-3.65</c:v>
                </c:pt>
                <c:pt idx="47">
                  <c:v>-4.93</c:v>
                </c:pt>
                <c:pt idx="48">
                  <c:v>-5.9</c:v>
                </c:pt>
                <c:pt idx="49">
                  <c:v>-8.48</c:v>
                </c:pt>
                <c:pt idx="50">
                  <c:v>-9.7100000000000009</c:v>
                </c:pt>
                <c:pt idx="51">
                  <c:v>-9.1</c:v>
                </c:pt>
                <c:pt idx="52">
                  <c:v>-8.4600000000000009</c:v>
                </c:pt>
                <c:pt idx="53">
                  <c:v>-7.06</c:v>
                </c:pt>
                <c:pt idx="54">
                  <c:v>-5.47</c:v>
                </c:pt>
                <c:pt idx="55">
                  <c:v>-3.59</c:v>
                </c:pt>
                <c:pt idx="56">
                  <c:v>-2.83</c:v>
                </c:pt>
                <c:pt idx="57">
                  <c:v>-2.2599999999999998</c:v>
                </c:pt>
                <c:pt idx="58">
                  <c:v>-1.9</c:v>
                </c:pt>
                <c:pt idx="59">
                  <c:v>-1.68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6-3D42-B962-9DBF1500835E}"/>
            </c:ext>
          </c:extLst>
        </c:ser>
        <c:ser>
          <c:idx val="1"/>
          <c:order val="1"/>
          <c:tx>
            <c:strRef>
              <c:f>'WPI-Textiles'!$H$5</c:f>
              <c:strCache>
                <c:ptCount val="1"/>
                <c:pt idx="0">
                  <c:v>WPI (Apparel) Total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'WPI-Textiles'!$A$5:$A$65</c:f>
              <c:strCache>
                <c:ptCount val="61"/>
                <c:pt idx="0">
                  <c:v>Month </c:v>
                </c:pt>
                <c:pt idx="1">
                  <c:v>Apr-19</c:v>
                </c:pt>
                <c:pt idx="2">
                  <c:v>May-19</c:v>
                </c:pt>
                <c:pt idx="3">
                  <c:v>Jun-19</c:v>
                </c:pt>
                <c:pt idx="4">
                  <c:v>Jul-19</c:v>
                </c:pt>
                <c:pt idx="5">
                  <c:v>Aug-19</c:v>
                </c:pt>
                <c:pt idx="6">
                  <c:v>Sep-19</c:v>
                </c:pt>
                <c:pt idx="7">
                  <c:v>Oct-19</c:v>
                </c:pt>
                <c:pt idx="8">
                  <c:v>Nov-19</c:v>
                </c:pt>
                <c:pt idx="9">
                  <c:v>Dec-19</c:v>
                </c:pt>
                <c:pt idx="10">
                  <c:v>Jan-20</c:v>
                </c:pt>
                <c:pt idx="11">
                  <c:v>Feb-20</c:v>
                </c:pt>
                <c:pt idx="12">
                  <c:v>Mar-20</c:v>
                </c:pt>
                <c:pt idx="13">
                  <c:v>Apr-20</c:v>
                </c:pt>
                <c:pt idx="14">
                  <c:v>May-20</c:v>
                </c:pt>
                <c:pt idx="15">
                  <c:v>Jun-20</c:v>
                </c:pt>
                <c:pt idx="16">
                  <c:v>Jul-20</c:v>
                </c:pt>
                <c:pt idx="17">
                  <c:v>Aug-20</c:v>
                </c:pt>
                <c:pt idx="18">
                  <c:v>Sep-20</c:v>
                </c:pt>
                <c:pt idx="19">
                  <c:v>Oct-20</c:v>
                </c:pt>
                <c:pt idx="20">
                  <c:v>Nov-20</c:v>
                </c:pt>
                <c:pt idx="21">
                  <c:v>Dec-20</c:v>
                </c:pt>
                <c:pt idx="22">
                  <c:v>Jan-21</c:v>
                </c:pt>
                <c:pt idx="23">
                  <c:v>Feb-21</c:v>
                </c:pt>
                <c:pt idx="24">
                  <c:v>Mar-21</c:v>
                </c:pt>
                <c:pt idx="25">
                  <c:v>Apr-21</c:v>
                </c:pt>
                <c:pt idx="26">
                  <c:v>May-21</c:v>
                </c:pt>
                <c:pt idx="27">
                  <c:v>Jun-21</c:v>
                </c:pt>
                <c:pt idx="28">
                  <c:v>Jul-21</c:v>
                </c:pt>
                <c:pt idx="29">
                  <c:v>Aug-21</c:v>
                </c:pt>
                <c:pt idx="30">
                  <c:v>Sep-21</c:v>
                </c:pt>
                <c:pt idx="31">
                  <c:v>Oct-21</c:v>
                </c:pt>
                <c:pt idx="32">
                  <c:v>Nov-21</c:v>
                </c:pt>
                <c:pt idx="33">
                  <c:v>Dec-21</c:v>
                </c:pt>
                <c:pt idx="34">
                  <c:v>Jan-22</c:v>
                </c:pt>
                <c:pt idx="35">
                  <c:v>Feb-22</c:v>
                </c:pt>
                <c:pt idx="36">
                  <c:v>Mar-22</c:v>
                </c:pt>
                <c:pt idx="37">
                  <c:v>Apr-22</c:v>
                </c:pt>
                <c:pt idx="38">
                  <c:v>May-22</c:v>
                </c:pt>
                <c:pt idx="39">
                  <c:v>Jun-22</c:v>
                </c:pt>
                <c:pt idx="40">
                  <c:v>Jul-22</c:v>
                </c:pt>
                <c:pt idx="41">
                  <c:v>Aug-22</c:v>
                </c:pt>
                <c:pt idx="42">
                  <c:v>Sep-22</c:v>
                </c:pt>
                <c:pt idx="43">
                  <c:v>Oct-22</c:v>
                </c:pt>
                <c:pt idx="44">
                  <c:v>Nov-22</c:v>
                </c:pt>
                <c:pt idx="45">
                  <c:v>Dec-22</c:v>
                </c:pt>
                <c:pt idx="46">
                  <c:v>Jan-23</c:v>
                </c:pt>
                <c:pt idx="47">
                  <c:v>Feb-23</c:v>
                </c:pt>
                <c:pt idx="48">
                  <c:v>Mar-23</c:v>
                </c:pt>
                <c:pt idx="49">
                  <c:v>Apr-23</c:v>
                </c:pt>
                <c:pt idx="50">
                  <c:v>May-23</c:v>
                </c:pt>
                <c:pt idx="51">
                  <c:v>Jun-23</c:v>
                </c:pt>
                <c:pt idx="52">
                  <c:v>Jul-23</c:v>
                </c:pt>
                <c:pt idx="53">
                  <c:v>Aug-23</c:v>
                </c:pt>
                <c:pt idx="54">
                  <c:v>Sep-23</c:v>
                </c:pt>
                <c:pt idx="55">
                  <c:v>Oct-23</c:v>
                </c:pt>
                <c:pt idx="56">
                  <c:v>Nov-23</c:v>
                </c:pt>
                <c:pt idx="57">
                  <c:v>Dec-23</c:v>
                </c:pt>
                <c:pt idx="58">
                  <c:v>Jan-24</c:v>
                </c:pt>
                <c:pt idx="59">
                  <c:v>Feb-24</c:v>
                </c:pt>
                <c:pt idx="60">
                  <c:v>Mar-24</c:v>
                </c:pt>
              </c:strCache>
            </c:strRef>
          </c:cat>
          <c:val>
            <c:numRef>
              <c:f>'WPI-Textiles'!$H$6:$H$65</c:f>
              <c:numCache>
                <c:formatCode>General</c:formatCode>
                <c:ptCount val="60"/>
                <c:pt idx="0">
                  <c:v>-1.07</c:v>
                </c:pt>
                <c:pt idx="1">
                  <c:v>-1.07</c:v>
                </c:pt>
                <c:pt idx="2">
                  <c:v>-1.22</c:v>
                </c:pt>
                <c:pt idx="3">
                  <c:v>-0.65</c:v>
                </c:pt>
                <c:pt idx="4">
                  <c:v>-0.86</c:v>
                </c:pt>
                <c:pt idx="5">
                  <c:v>0.51</c:v>
                </c:pt>
                <c:pt idx="6">
                  <c:v>0</c:v>
                </c:pt>
                <c:pt idx="7">
                  <c:v>0.14000000000000001</c:v>
                </c:pt>
                <c:pt idx="8">
                  <c:v>0.36</c:v>
                </c:pt>
                <c:pt idx="9">
                  <c:v>-0.36</c:v>
                </c:pt>
                <c:pt idx="10">
                  <c:v>0.44</c:v>
                </c:pt>
                <c:pt idx="11">
                  <c:v>7.0000000000000007E-2</c:v>
                </c:pt>
                <c:pt idx="12">
                  <c:v>-7.0000000000000007E-2</c:v>
                </c:pt>
                <c:pt idx="13">
                  <c:v>7.0000000000000007E-2</c:v>
                </c:pt>
                <c:pt idx="14">
                  <c:v>-0.51</c:v>
                </c:pt>
                <c:pt idx="15">
                  <c:v>-0.94</c:v>
                </c:pt>
                <c:pt idx="16">
                  <c:v>-7.0000000000000007E-2</c:v>
                </c:pt>
                <c:pt idx="17">
                  <c:v>-0.36</c:v>
                </c:pt>
                <c:pt idx="18">
                  <c:v>-7.0000000000000007E-2</c:v>
                </c:pt>
                <c:pt idx="19">
                  <c:v>0.65</c:v>
                </c:pt>
                <c:pt idx="20">
                  <c:v>0</c:v>
                </c:pt>
                <c:pt idx="21">
                  <c:v>1.23</c:v>
                </c:pt>
                <c:pt idx="22">
                  <c:v>1.0900000000000001</c:v>
                </c:pt>
                <c:pt idx="23">
                  <c:v>1.1599999999999999</c:v>
                </c:pt>
                <c:pt idx="24">
                  <c:v>1.01</c:v>
                </c:pt>
                <c:pt idx="25">
                  <c:v>1.08</c:v>
                </c:pt>
                <c:pt idx="26">
                  <c:v>2.84</c:v>
                </c:pt>
                <c:pt idx="27">
                  <c:v>3.96</c:v>
                </c:pt>
                <c:pt idx="28">
                  <c:v>3.27</c:v>
                </c:pt>
                <c:pt idx="29">
                  <c:v>4.12</c:v>
                </c:pt>
                <c:pt idx="30">
                  <c:v>4.2699999999999996</c:v>
                </c:pt>
                <c:pt idx="31">
                  <c:v>3.37</c:v>
                </c:pt>
                <c:pt idx="32">
                  <c:v>3.95</c:v>
                </c:pt>
                <c:pt idx="33">
                  <c:v>3.73</c:v>
                </c:pt>
                <c:pt idx="34">
                  <c:v>3.65</c:v>
                </c:pt>
                <c:pt idx="35">
                  <c:v>3.64</c:v>
                </c:pt>
                <c:pt idx="36">
                  <c:v>4.42</c:v>
                </c:pt>
                <c:pt idx="37">
                  <c:v>4.8600000000000003</c:v>
                </c:pt>
                <c:pt idx="38">
                  <c:v>3.9</c:v>
                </c:pt>
                <c:pt idx="39">
                  <c:v>4.2300000000000004</c:v>
                </c:pt>
                <c:pt idx="40">
                  <c:v>5.14</c:v>
                </c:pt>
                <c:pt idx="41">
                  <c:v>3.75</c:v>
                </c:pt>
                <c:pt idx="42">
                  <c:v>3.54</c:v>
                </c:pt>
                <c:pt idx="43">
                  <c:v>4.0199999999999996</c:v>
                </c:pt>
                <c:pt idx="44">
                  <c:v>3.39</c:v>
                </c:pt>
                <c:pt idx="45">
                  <c:v>3.04</c:v>
                </c:pt>
                <c:pt idx="46">
                  <c:v>3.46</c:v>
                </c:pt>
                <c:pt idx="47">
                  <c:v>3.38</c:v>
                </c:pt>
                <c:pt idx="48">
                  <c:v>2.0499999999999998</c:v>
                </c:pt>
                <c:pt idx="49">
                  <c:v>2.25</c:v>
                </c:pt>
                <c:pt idx="50">
                  <c:v>2.04</c:v>
                </c:pt>
                <c:pt idx="51">
                  <c:v>1.62</c:v>
                </c:pt>
                <c:pt idx="52">
                  <c:v>0.87</c:v>
                </c:pt>
                <c:pt idx="53">
                  <c:v>0.8</c:v>
                </c:pt>
                <c:pt idx="54">
                  <c:v>1.81</c:v>
                </c:pt>
                <c:pt idx="55">
                  <c:v>0.93</c:v>
                </c:pt>
                <c:pt idx="56">
                  <c:v>1.54</c:v>
                </c:pt>
                <c:pt idx="57">
                  <c:v>1.21</c:v>
                </c:pt>
                <c:pt idx="58">
                  <c:v>1.47</c:v>
                </c:pt>
                <c:pt idx="5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6-3D42-B962-9DBF1500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736735"/>
        <c:axId val="1051007727"/>
      </c:lineChart>
      <c:catAx>
        <c:axId val="169473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007727"/>
        <c:crosses val="autoZero"/>
        <c:auto val="1"/>
        <c:lblAlgn val="ctr"/>
        <c:lblOffset val="100"/>
        <c:noMultiLvlLbl val="0"/>
      </c:catAx>
      <c:valAx>
        <c:axId val="105100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73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in Clothing Prices (YoY Monthly)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'Inflation-Clothing'!$C$5</c:f>
              <c:strCache>
                <c:ptCount val="1"/>
                <c:pt idx="0">
                  <c:v>Clothing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'Inflation-Clothing'!$A$6:$A$65</c:f>
              <c:numCache>
                <c:formatCode>mmm\-yy</c:formatCode>
                <c:ptCount val="6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</c:numCache>
            </c:numRef>
          </c:cat>
          <c:val>
            <c:numRef>
              <c:f>'Inflation-Clothing'!$C$6:$C$65</c:f>
              <c:numCache>
                <c:formatCode>General</c:formatCode>
                <c:ptCount val="60"/>
                <c:pt idx="0">
                  <c:v>1.93</c:v>
                </c:pt>
                <c:pt idx="1">
                  <c:v>1.64</c:v>
                </c:pt>
                <c:pt idx="2">
                  <c:v>1.5</c:v>
                </c:pt>
                <c:pt idx="3">
                  <c:v>1.43</c:v>
                </c:pt>
                <c:pt idx="4">
                  <c:v>1.22</c:v>
                </c:pt>
                <c:pt idx="5">
                  <c:v>1.02</c:v>
                </c:pt>
                <c:pt idx="6">
                  <c:v>1.56</c:v>
                </c:pt>
                <c:pt idx="7">
                  <c:v>1.28</c:v>
                </c:pt>
                <c:pt idx="8">
                  <c:v>1.49</c:v>
                </c:pt>
                <c:pt idx="9">
                  <c:v>1.96</c:v>
                </c:pt>
                <c:pt idx="10">
                  <c:v>2.1</c:v>
                </c:pt>
                <c:pt idx="11">
                  <c:v>2.23</c:v>
                </c:pt>
                <c:pt idx="12">
                  <c:v>3.58</c:v>
                </c:pt>
                <c:pt idx="13">
                  <c:v>3.5</c:v>
                </c:pt>
                <c:pt idx="14">
                  <c:v>2.62</c:v>
                </c:pt>
                <c:pt idx="15">
                  <c:v>2.82</c:v>
                </c:pt>
                <c:pt idx="16">
                  <c:v>2.88</c:v>
                </c:pt>
                <c:pt idx="17">
                  <c:v>3.02</c:v>
                </c:pt>
                <c:pt idx="18">
                  <c:v>3.28</c:v>
                </c:pt>
                <c:pt idx="19">
                  <c:v>3.4</c:v>
                </c:pt>
                <c:pt idx="20">
                  <c:v>3.46</c:v>
                </c:pt>
                <c:pt idx="21">
                  <c:v>3.85</c:v>
                </c:pt>
                <c:pt idx="22">
                  <c:v>4.3099999999999996</c:v>
                </c:pt>
                <c:pt idx="23">
                  <c:v>4.37</c:v>
                </c:pt>
                <c:pt idx="24">
                  <c:v>3.52</c:v>
                </c:pt>
                <c:pt idx="25">
                  <c:v>5.34</c:v>
                </c:pt>
                <c:pt idx="26">
                  <c:v>6.36</c:v>
                </c:pt>
                <c:pt idx="27">
                  <c:v>6.34</c:v>
                </c:pt>
                <c:pt idx="28">
                  <c:v>6.78</c:v>
                </c:pt>
                <c:pt idx="29">
                  <c:v>7.09</c:v>
                </c:pt>
                <c:pt idx="30">
                  <c:v>7.39</c:v>
                </c:pt>
                <c:pt idx="31">
                  <c:v>7.87</c:v>
                </c:pt>
                <c:pt idx="32">
                  <c:v>8.36</c:v>
                </c:pt>
                <c:pt idx="33">
                  <c:v>8.6999999999999993</c:v>
                </c:pt>
                <c:pt idx="34">
                  <c:v>8.58</c:v>
                </c:pt>
                <c:pt idx="35">
                  <c:v>9.06</c:v>
                </c:pt>
                <c:pt idx="36">
                  <c:v>9.51</c:v>
                </c:pt>
                <c:pt idx="37">
                  <c:v>8.5299999999999994</c:v>
                </c:pt>
                <c:pt idx="38">
                  <c:v>9.19</c:v>
                </c:pt>
                <c:pt idx="39">
                  <c:v>9.52</c:v>
                </c:pt>
                <c:pt idx="40">
                  <c:v>9.58</c:v>
                </c:pt>
                <c:pt idx="41">
                  <c:v>9.9</c:v>
                </c:pt>
                <c:pt idx="42">
                  <c:v>9.7799999999999994</c:v>
                </c:pt>
                <c:pt idx="43">
                  <c:v>9.51</c:v>
                </c:pt>
                <c:pt idx="44">
                  <c:v>9.1999999999999993</c:v>
                </c:pt>
                <c:pt idx="45">
                  <c:v>8.83</c:v>
                </c:pt>
                <c:pt idx="46">
                  <c:v>8.67</c:v>
                </c:pt>
                <c:pt idx="47">
                  <c:v>8.1300000000000008</c:v>
                </c:pt>
                <c:pt idx="48">
                  <c:v>7.48</c:v>
                </c:pt>
                <c:pt idx="49">
                  <c:v>6.66</c:v>
                </c:pt>
                <c:pt idx="50">
                  <c:v>6.15</c:v>
                </c:pt>
                <c:pt idx="51">
                  <c:v>5.66</c:v>
                </c:pt>
                <c:pt idx="52">
                  <c:v>5.24</c:v>
                </c:pt>
                <c:pt idx="53">
                  <c:v>4.6399999999999997</c:v>
                </c:pt>
                <c:pt idx="54">
                  <c:v>4.45</c:v>
                </c:pt>
                <c:pt idx="55">
                  <c:v>4.04</c:v>
                </c:pt>
                <c:pt idx="56">
                  <c:v>3.75</c:v>
                </c:pt>
                <c:pt idx="57">
                  <c:v>3.46</c:v>
                </c:pt>
                <c:pt idx="58">
                  <c:v>3.18</c:v>
                </c:pt>
                <c:pt idx="59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D-B941-8DE2-E7D8AA1FE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70063"/>
        <c:axId val="813777295"/>
      </c:lineChart>
      <c:dateAx>
        <c:axId val="813870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77295"/>
        <c:crosses val="autoZero"/>
        <c:auto val="1"/>
        <c:lblOffset val="100"/>
        <c:baseTimeUnit val="months"/>
      </c:dateAx>
      <c:valAx>
        <c:axId val="8137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Index of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IIP!$B$3</c:f>
              <c:strCache>
                <c:ptCount val="1"/>
                <c:pt idx="0">
                  <c:v>IIP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IIP!$B$5:$B$54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102.2</c:v>
                </c:pt>
                <c:pt idx="5">
                  <c:v>100.1</c:v>
                </c:pt>
                <c:pt idx="6">
                  <c:v>103</c:v>
                </c:pt>
                <c:pt idx="7">
                  <c:v>107.9</c:v>
                </c:pt>
                <c:pt idx="8">
                  <c:v>103.3</c:v>
                </c:pt>
                <c:pt idx="9">
                  <c:v>104.9</c:v>
                </c:pt>
                <c:pt idx="10">
                  <c:v>106.2</c:v>
                </c:pt>
                <c:pt idx="11">
                  <c:v>112.5</c:v>
                </c:pt>
                <c:pt idx="12">
                  <c:v>109.1</c:v>
                </c:pt>
                <c:pt idx="13">
                  <c:v>109.5</c:v>
                </c:pt>
                <c:pt idx="14">
                  <c:v>110.2</c:v>
                </c:pt>
                <c:pt idx="15">
                  <c:v>115.2</c:v>
                </c:pt>
                <c:pt idx="16">
                  <c:v>110.4</c:v>
                </c:pt>
                <c:pt idx="17">
                  <c:v>112.1</c:v>
                </c:pt>
                <c:pt idx="18">
                  <c:v>114.9</c:v>
                </c:pt>
                <c:pt idx="19">
                  <c:v>121.4</c:v>
                </c:pt>
                <c:pt idx="20">
                  <c:v>118.2</c:v>
                </c:pt>
                <c:pt idx="21">
                  <c:v>117.2</c:v>
                </c:pt>
                <c:pt idx="22">
                  <c:v>119.3</c:v>
                </c:pt>
                <c:pt idx="23">
                  <c:v>125.2</c:v>
                </c:pt>
                <c:pt idx="24">
                  <c:v>120.5</c:v>
                </c:pt>
                <c:pt idx="25">
                  <c:v>121.1</c:v>
                </c:pt>
                <c:pt idx="26">
                  <c:v>126.3</c:v>
                </c:pt>
                <c:pt idx="27">
                  <c:v>133.30000000000001</c:v>
                </c:pt>
                <c:pt idx="28">
                  <c:v>126.6</c:v>
                </c:pt>
                <c:pt idx="29">
                  <c:v>127.5</c:v>
                </c:pt>
                <c:pt idx="30">
                  <c:v>130.9</c:v>
                </c:pt>
                <c:pt idx="31">
                  <c:v>135.4</c:v>
                </c:pt>
                <c:pt idx="32">
                  <c:v>130.4</c:v>
                </c:pt>
                <c:pt idx="33">
                  <c:v>127</c:v>
                </c:pt>
                <c:pt idx="34">
                  <c:v>129.1</c:v>
                </c:pt>
                <c:pt idx="35">
                  <c:v>129.6</c:v>
                </c:pt>
                <c:pt idx="36">
                  <c:v>84</c:v>
                </c:pt>
                <c:pt idx="37">
                  <c:v>119.7</c:v>
                </c:pt>
                <c:pt idx="38">
                  <c:v>131.19999999999999</c:v>
                </c:pt>
                <c:pt idx="39">
                  <c:v>137.4</c:v>
                </c:pt>
                <c:pt idx="40">
                  <c:v>121.3</c:v>
                </c:pt>
                <c:pt idx="41">
                  <c:v>131.1</c:v>
                </c:pt>
                <c:pt idx="42">
                  <c:v>133.9</c:v>
                </c:pt>
                <c:pt idx="43">
                  <c:v>139.80000000000001</c:v>
                </c:pt>
                <c:pt idx="44">
                  <c:v>136.69999999999999</c:v>
                </c:pt>
                <c:pt idx="45">
                  <c:v>134.4</c:v>
                </c:pt>
                <c:pt idx="46">
                  <c:v>131.5</c:v>
                </c:pt>
                <c:pt idx="47">
                  <c:v>134</c:v>
                </c:pt>
                <c:pt idx="48">
                  <c:v>129.30000000000001</c:v>
                </c:pt>
                <c:pt idx="49">
                  <c:v>137.1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394B-979C-8E35FDA77088}"/>
            </c:ext>
          </c:extLst>
        </c:ser>
        <c:ser>
          <c:idx val="1"/>
          <c:order val="1"/>
          <c:tx>
            <c:strRef>
              <c:f>IIP!$C$3</c:f>
              <c:strCache>
                <c:ptCount val="1"/>
                <c:pt idx="0">
                  <c:v>Mining &amp; quarrying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-1.6012810248198558E-3"/>
                  <c:y val="5.837173579109052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IIP!$C$5:$C$54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98.4</c:v>
                </c:pt>
                <c:pt idx="5">
                  <c:v>86</c:v>
                </c:pt>
                <c:pt idx="6">
                  <c:v>93.4</c:v>
                </c:pt>
                <c:pt idx="7">
                  <c:v>101.1</c:v>
                </c:pt>
                <c:pt idx="8">
                  <c:v>90.9</c:v>
                </c:pt>
                <c:pt idx="9">
                  <c:v>86</c:v>
                </c:pt>
                <c:pt idx="10">
                  <c:v>95.4</c:v>
                </c:pt>
                <c:pt idx="11">
                  <c:v>106</c:v>
                </c:pt>
                <c:pt idx="12">
                  <c:v>93</c:v>
                </c:pt>
                <c:pt idx="13">
                  <c:v>83.6</c:v>
                </c:pt>
                <c:pt idx="14">
                  <c:v>93.6</c:v>
                </c:pt>
                <c:pt idx="15">
                  <c:v>102.9</c:v>
                </c:pt>
                <c:pt idx="16">
                  <c:v>91.7</c:v>
                </c:pt>
                <c:pt idx="17">
                  <c:v>88.3</c:v>
                </c:pt>
                <c:pt idx="18">
                  <c:v>100.4</c:v>
                </c:pt>
                <c:pt idx="19">
                  <c:v>109</c:v>
                </c:pt>
                <c:pt idx="20">
                  <c:v>98.6</c:v>
                </c:pt>
                <c:pt idx="21">
                  <c:v>86.9</c:v>
                </c:pt>
                <c:pt idx="22">
                  <c:v>107.1</c:v>
                </c:pt>
                <c:pt idx="23">
                  <c:v>117.5</c:v>
                </c:pt>
                <c:pt idx="24">
                  <c:v>99.7</c:v>
                </c:pt>
                <c:pt idx="25">
                  <c:v>93.1</c:v>
                </c:pt>
                <c:pt idx="26">
                  <c:v>108</c:v>
                </c:pt>
                <c:pt idx="27">
                  <c:v>118.8</c:v>
                </c:pt>
                <c:pt idx="28">
                  <c:v>105</c:v>
                </c:pt>
                <c:pt idx="29">
                  <c:v>94</c:v>
                </c:pt>
                <c:pt idx="30">
                  <c:v>111.1</c:v>
                </c:pt>
                <c:pt idx="31">
                  <c:v>121.4</c:v>
                </c:pt>
                <c:pt idx="32">
                  <c:v>108.1</c:v>
                </c:pt>
                <c:pt idx="33">
                  <c:v>92.9</c:v>
                </c:pt>
                <c:pt idx="34">
                  <c:v>111</c:v>
                </c:pt>
                <c:pt idx="35">
                  <c:v>126.2</c:v>
                </c:pt>
                <c:pt idx="36">
                  <c:v>84</c:v>
                </c:pt>
                <c:pt idx="37">
                  <c:v>86.4</c:v>
                </c:pt>
                <c:pt idx="38">
                  <c:v>107.5</c:v>
                </c:pt>
                <c:pt idx="39">
                  <c:v>126.1</c:v>
                </c:pt>
                <c:pt idx="40">
                  <c:v>107.1</c:v>
                </c:pt>
                <c:pt idx="41">
                  <c:v>101.1</c:v>
                </c:pt>
                <c:pt idx="42">
                  <c:v>114</c:v>
                </c:pt>
                <c:pt idx="43">
                  <c:v>130.9</c:v>
                </c:pt>
                <c:pt idx="44">
                  <c:v>116.7</c:v>
                </c:pt>
                <c:pt idx="45">
                  <c:v>101.1</c:v>
                </c:pt>
                <c:pt idx="46">
                  <c:v>99.6</c:v>
                </c:pt>
                <c:pt idx="47">
                  <c:v>100</c:v>
                </c:pt>
                <c:pt idx="48">
                  <c:v>112.5</c:v>
                </c:pt>
                <c:pt idx="49">
                  <c:v>122.7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2-394B-979C-8E35FDA77088}"/>
            </c:ext>
          </c:extLst>
        </c:ser>
        <c:ser>
          <c:idx val="2"/>
          <c:order val="2"/>
          <c:tx>
            <c:strRef>
              <c:f>IIP!$D$3</c:f>
              <c:strCache>
                <c:ptCount val="1"/>
                <c:pt idx="0">
                  <c:v>Manufacturing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2.0816653322658009E-2"/>
                  <c:y val="-9.21658986175115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IIP!$D$5:$D$54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102.6</c:v>
                </c:pt>
                <c:pt idx="5">
                  <c:v>102.5</c:v>
                </c:pt>
                <c:pt idx="6">
                  <c:v>104.7</c:v>
                </c:pt>
                <c:pt idx="7">
                  <c:v>109.6</c:v>
                </c:pt>
                <c:pt idx="8">
                  <c:v>105</c:v>
                </c:pt>
                <c:pt idx="9">
                  <c:v>107.8</c:v>
                </c:pt>
                <c:pt idx="10">
                  <c:v>107.8</c:v>
                </c:pt>
                <c:pt idx="11">
                  <c:v>113.8</c:v>
                </c:pt>
                <c:pt idx="12">
                  <c:v>110.1</c:v>
                </c:pt>
                <c:pt idx="13">
                  <c:v>112.1</c:v>
                </c:pt>
                <c:pt idx="14">
                  <c:v>111.7</c:v>
                </c:pt>
                <c:pt idx="15">
                  <c:v>116.7</c:v>
                </c:pt>
                <c:pt idx="16">
                  <c:v>111.7</c:v>
                </c:pt>
                <c:pt idx="17">
                  <c:v>113.7</c:v>
                </c:pt>
                <c:pt idx="18">
                  <c:v>115.9</c:v>
                </c:pt>
                <c:pt idx="19">
                  <c:v>122.5</c:v>
                </c:pt>
                <c:pt idx="20">
                  <c:v>119.2</c:v>
                </c:pt>
                <c:pt idx="21">
                  <c:v>120</c:v>
                </c:pt>
                <c:pt idx="22">
                  <c:v>119.5</c:v>
                </c:pt>
                <c:pt idx="23">
                  <c:v>125.2</c:v>
                </c:pt>
                <c:pt idx="24">
                  <c:v>121.1</c:v>
                </c:pt>
                <c:pt idx="25">
                  <c:v>123</c:v>
                </c:pt>
                <c:pt idx="26">
                  <c:v>127.8</c:v>
                </c:pt>
                <c:pt idx="27">
                  <c:v>134.6</c:v>
                </c:pt>
                <c:pt idx="28">
                  <c:v>127.3</c:v>
                </c:pt>
                <c:pt idx="29">
                  <c:v>129.9</c:v>
                </c:pt>
                <c:pt idx="30">
                  <c:v>132.19999999999999</c:v>
                </c:pt>
                <c:pt idx="31">
                  <c:v>136.5</c:v>
                </c:pt>
                <c:pt idx="32">
                  <c:v>130.30000000000001</c:v>
                </c:pt>
                <c:pt idx="33">
                  <c:v>129.4</c:v>
                </c:pt>
                <c:pt idx="34">
                  <c:v>130.80000000000001</c:v>
                </c:pt>
                <c:pt idx="35">
                  <c:v>127.9</c:v>
                </c:pt>
                <c:pt idx="36">
                  <c:v>77.900000000000006</c:v>
                </c:pt>
                <c:pt idx="37">
                  <c:v>121.2</c:v>
                </c:pt>
                <c:pt idx="38">
                  <c:v>133.19999999999999</c:v>
                </c:pt>
                <c:pt idx="39">
                  <c:v>136.5</c:v>
                </c:pt>
                <c:pt idx="40">
                  <c:v>119.1</c:v>
                </c:pt>
                <c:pt idx="41">
                  <c:v>131.6</c:v>
                </c:pt>
                <c:pt idx="42">
                  <c:v>135</c:v>
                </c:pt>
                <c:pt idx="43">
                  <c:v>138.1</c:v>
                </c:pt>
                <c:pt idx="44">
                  <c:v>134.19999999999999</c:v>
                </c:pt>
                <c:pt idx="45">
                  <c:v>135</c:v>
                </c:pt>
                <c:pt idx="46">
                  <c:v>131.30000000000001</c:v>
                </c:pt>
                <c:pt idx="47">
                  <c:v>134.80000000000001</c:v>
                </c:pt>
                <c:pt idx="48">
                  <c:v>128.30000000000001</c:v>
                </c:pt>
                <c:pt idx="49">
                  <c:v>136.69999999999999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2-394B-979C-8E35FDA77088}"/>
            </c:ext>
          </c:extLst>
        </c:ser>
        <c:ser>
          <c:idx val="3"/>
          <c:order val="3"/>
          <c:tx>
            <c:strRef>
              <c:f>IIP!$E$3</c:f>
              <c:strCache>
                <c:ptCount val="1"/>
                <c:pt idx="0">
                  <c:v>Electricity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9"/>
              <c:layout>
                <c:manualLayout>
                  <c:x val="-3.1825523410854671E-2"/>
                  <c:y val="-0.17354838709677423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10-6C42-B70F-712D705745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IIP!$A$5:$A$54</c:f>
              <c:numCache>
                <c:formatCode>mmm\-yy</c:formatCode>
                <c:ptCount val="50"/>
                <c:pt idx="0">
                  <c:v>40695</c:v>
                </c:pt>
                <c:pt idx="1">
                  <c:v>40787</c:v>
                </c:pt>
                <c:pt idx="2">
                  <c:v>40878</c:v>
                </c:pt>
                <c:pt idx="3">
                  <c:v>40969</c:v>
                </c:pt>
                <c:pt idx="4">
                  <c:v>41061</c:v>
                </c:pt>
                <c:pt idx="5">
                  <c:v>41153</c:v>
                </c:pt>
                <c:pt idx="6">
                  <c:v>41244</c:v>
                </c:pt>
                <c:pt idx="7">
                  <c:v>41334</c:v>
                </c:pt>
                <c:pt idx="8">
                  <c:v>41426</c:v>
                </c:pt>
                <c:pt idx="9">
                  <c:v>41518</c:v>
                </c:pt>
                <c:pt idx="10">
                  <c:v>41609</c:v>
                </c:pt>
                <c:pt idx="11">
                  <c:v>41699</c:v>
                </c:pt>
                <c:pt idx="12">
                  <c:v>41791</c:v>
                </c:pt>
                <c:pt idx="13">
                  <c:v>41883</c:v>
                </c:pt>
                <c:pt idx="14">
                  <c:v>41974</c:v>
                </c:pt>
                <c:pt idx="15">
                  <c:v>42064</c:v>
                </c:pt>
                <c:pt idx="16">
                  <c:v>42156</c:v>
                </c:pt>
                <c:pt idx="17">
                  <c:v>42248</c:v>
                </c:pt>
                <c:pt idx="18">
                  <c:v>42339</c:v>
                </c:pt>
                <c:pt idx="19">
                  <c:v>42430</c:v>
                </c:pt>
                <c:pt idx="20">
                  <c:v>42522</c:v>
                </c:pt>
                <c:pt idx="21">
                  <c:v>42614</c:v>
                </c:pt>
                <c:pt idx="22">
                  <c:v>42705</c:v>
                </c:pt>
                <c:pt idx="23">
                  <c:v>42795</c:v>
                </c:pt>
                <c:pt idx="24">
                  <c:v>42887</c:v>
                </c:pt>
                <c:pt idx="25">
                  <c:v>42979</c:v>
                </c:pt>
                <c:pt idx="26">
                  <c:v>43070</c:v>
                </c:pt>
                <c:pt idx="27">
                  <c:v>43160</c:v>
                </c:pt>
                <c:pt idx="28">
                  <c:v>43252</c:v>
                </c:pt>
                <c:pt idx="29">
                  <c:v>43344</c:v>
                </c:pt>
                <c:pt idx="30">
                  <c:v>43435</c:v>
                </c:pt>
                <c:pt idx="31">
                  <c:v>43525</c:v>
                </c:pt>
                <c:pt idx="32">
                  <c:v>43617</c:v>
                </c:pt>
                <c:pt idx="33">
                  <c:v>43709</c:v>
                </c:pt>
                <c:pt idx="34">
                  <c:v>43800</c:v>
                </c:pt>
                <c:pt idx="35">
                  <c:v>43891</c:v>
                </c:pt>
                <c:pt idx="36">
                  <c:v>43983</c:v>
                </c:pt>
                <c:pt idx="37">
                  <c:v>44075</c:v>
                </c:pt>
                <c:pt idx="38">
                  <c:v>44166</c:v>
                </c:pt>
                <c:pt idx="39">
                  <c:v>44256</c:v>
                </c:pt>
                <c:pt idx="40">
                  <c:v>44348</c:v>
                </c:pt>
                <c:pt idx="41">
                  <c:v>44440</c:v>
                </c:pt>
                <c:pt idx="42">
                  <c:v>44531</c:v>
                </c:pt>
                <c:pt idx="43">
                  <c:v>44621</c:v>
                </c:pt>
                <c:pt idx="44">
                  <c:v>44713</c:v>
                </c:pt>
                <c:pt idx="45">
                  <c:v>44743</c:v>
                </c:pt>
                <c:pt idx="46">
                  <c:v>44774</c:v>
                </c:pt>
                <c:pt idx="47">
                  <c:v>44805</c:v>
                </c:pt>
                <c:pt idx="48">
                  <c:v>44835</c:v>
                </c:pt>
                <c:pt idx="49">
                  <c:v>44866</c:v>
                </c:pt>
              </c:numCache>
            </c:numRef>
          </c:cat>
          <c:val>
            <c:numRef>
              <c:f>IIP!$E$5:$E$54</c:f>
              <c:numCache>
                <c:formatCode>General</c:formatCode>
                <c:ptCount val="5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105.6</c:v>
                </c:pt>
                <c:pt idx="5">
                  <c:v>102.3</c:v>
                </c:pt>
                <c:pt idx="6">
                  <c:v>104.3</c:v>
                </c:pt>
                <c:pt idx="7">
                  <c:v>103.9</c:v>
                </c:pt>
                <c:pt idx="8">
                  <c:v>109</c:v>
                </c:pt>
                <c:pt idx="9">
                  <c:v>110.8</c:v>
                </c:pt>
                <c:pt idx="10">
                  <c:v>109.5</c:v>
                </c:pt>
                <c:pt idx="11">
                  <c:v>111.8</c:v>
                </c:pt>
                <c:pt idx="12">
                  <c:v>127.8</c:v>
                </c:pt>
                <c:pt idx="13">
                  <c:v>130.9</c:v>
                </c:pt>
                <c:pt idx="14">
                  <c:v>125.7</c:v>
                </c:pt>
                <c:pt idx="15">
                  <c:v>122.1</c:v>
                </c:pt>
                <c:pt idx="16">
                  <c:v>131.30000000000001</c:v>
                </c:pt>
                <c:pt idx="17">
                  <c:v>139.5</c:v>
                </c:pt>
                <c:pt idx="18">
                  <c:v>131.19999999999999</c:v>
                </c:pt>
                <c:pt idx="19">
                  <c:v>133.30000000000001</c:v>
                </c:pt>
                <c:pt idx="20">
                  <c:v>144.4</c:v>
                </c:pt>
                <c:pt idx="21">
                  <c:v>143.9</c:v>
                </c:pt>
                <c:pt idx="22">
                  <c:v>139.30000000000001</c:v>
                </c:pt>
                <c:pt idx="23">
                  <c:v>139</c:v>
                </c:pt>
                <c:pt idx="24">
                  <c:v>152</c:v>
                </c:pt>
                <c:pt idx="25">
                  <c:v>152.6</c:v>
                </c:pt>
                <c:pt idx="26">
                  <c:v>144.6</c:v>
                </c:pt>
                <c:pt idx="27">
                  <c:v>147.4</c:v>
                </c:pt>
                <c:pt idx="28">
                  <c:v>159.4</c:v>
                </c:pt>
                <c:pt idx="29">
                  <c:v>164</c:v>
                </c:pt>
                <c:pt idx="30">
                  <c:v>154.6</c:v>
                </c:pt>
                <c:pt idx="31">
                  <c:v>149.6</c:v>
                </c:pt>
                <c:pt idx="32">
                  <c:v>171.1</c:v>
                </c:pt>
                <c:pt idx="33">
                  <c:v>165</c:v>
                </c:pt>
                <c:pt idx="34">
                  <c:v>145.30000000000001</c:v>
                </c:pt>
                <c:pt idx="35">
                  <c:v>152.1</c:v>
                </c:pt>
                <c:pt idx="36">
                  <c:v>144.1</c:v>
                </c:pt>
                <c:pt idx="37">
                  <c:v>165.1</c:v>
                </c:pt>
                <c:pt idx="38">
                  <c:v>155</c:v>
                </c:pt>
                <c:pt idx="39">
                  <c:v>166</c:v>
                </c:pt>
                <c:pt idx="40">
                  <c:v>168.3</c:v>
                </c:pt>
                <c:pt idx="41">
                  <c:v>180.4</c:v>
                </c:pt>
                <c:pt idx="42">
                  <c:v>159.19999999999999</c:v>
                </c:pt>
                <c:pt idx="43">
                  <c:v>172.5</c:v>
                </c:pt>
                <c:pt idx="44">
                  <c:v>197.1</c:v>
                </c:pt>
                <c:pt idx="45">
                  <c:v>188.9</c:v>
                </c:pt>
                <c:pt idx="46">
                  <c:v>191.3</c:v>
                </c:pt>
                <c:pt idx="47">
                  <c:v>187.4</c:v>
                </c:pt>
                <c:pt idx="48">
                  <c:v>169.3</c:v>
                </c:pt>
                <c:pt idx="49">
                  <c:v>166.7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22-394B-979C-8E35FDA77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258032"/>
        <c:axId val="1143947520"/>
      </c:lineChart>
      <c:dateAx>
        <c:axId val="1143258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47520"/>
        <c:crosses val="autoZero"/>
        <c:auto val="1"/>
        <c:lblOffset val="100"/>
        <c:baseTimeUnit val="months"/>
      </c:dateAx>
      <c:valAx>
        <c:axId val="11439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2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78399727656148"/>
          <c:y val="0.64600457200914418"/>
          <c:w val="0.16480447350005989"/>
          <c:h val="0.20731473081993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IIP - Use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IIP!$G$3</c:f>
              <c:strCache>
                <c:ptCount val="1"/>
                <c:pt idx="0">
                  <c:v>Primary goods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IIP!$G$9:$G$54</c:f>
              <c:numCache>
                <c:formatCode>General</c:formatCode>
                <c:ptCount val="46"/>
                <c:pt idx="0">
                  <c:v>100.6</c:v>
                </c:pt>
                <c:pt idx="1">
                  <c:v>95.9</c:v>
                </c:pt>
                <c:pt idx="2">
                  <c:v>101.8</c:v>
                </c:pt>
                <c:pt idx="3">
                  <c:v>103.7</c:v>
                </c:pt>
                <c:pt idx="4">
                  <c:v>99.6</c:v>
                </c:pt>
                <c:pt idx="5">
                  <c:v>100.2</c:v>
                </c:pt>
                <c:pt idx="6">
                  <c:v>103.1</c:v>
                </c:pt>
                <c:pt idx="7">
                  <c:v>108.5</c:v>
                </c:pt>
                <c:pt idx="8">
                  <c:v>105.5</c:v>
                </c:pt>
                <c:pt idx="9">
                  <c:v>102.8</c:v>
                </c:pt>
                <c:pt idx="10">
                  <c:v>108.5</c:v>
                </c:pt>
                <c:pt idx="11">
                  <c:v>110</c:v>
                </c:pt>
                <c:pt idx="12">
                  <c:v>106.9</c:v>
                </c:pt>
                <c:pt idx="13">
                  <c:v>109</c:v>
                </c:pt>
                <c:pt idx="14">
                  <c:v>113</c:v>
                </c:pt>
                <c:pt idx="15">
                  <c:v>119</c:v>
                </c:pt>
                <c:pt idx="16">
                  <c:v>115.8</c:v>
                </c:pt>
                <c:pt idx="17">
                  <c:v>111</c:v>
                </c:pt>
                <c:pt idx="18">
                  <c:v>119.8</c:v>
                </c:pt>
                <c:pt idx="19">
                  <c:v>123.2</c:v>
                </c:pt>
                <c:pt idx="20">
                  <c:v>118.3</c:v>
                </c:pt>
                <c:pt idx="21">
                  <c:v>116.8</c:v>
                </c:pt>
                <c:pt idx="22">
                  <c:v>123.7</c:v>
                </c:pt>
                <c:pt idx="23">
                  <c:v>128.4</c:v>
                </c:pt>
                <c:pt idx="24">
                  <c:v>125.3</c:v>
                </c:pt>
                <c:pt idx="25">
                  <c:v>121.4</c:v>
                </c:pt>
                <c:pt idx="26">
                  <c:v>127</c:v>
                </c:pt>
                <c:pt idx="27">
                  <c:v>130.69999999999999</c:v>
                </c:pt>
                <c:pt idx="28">
                  <c:v>128.5</c:v>
                </c:pt>
                <c:pt idx="29">
                  <c:v>121.3</c:v>
                </c:pt>
                <c:pt idx="30">
                  <c:v>125.3</c:v>
                </c:pt>
                <c:pt idx="31">
                  <c:v>132.9</c:v>
                </c:pt>
                <c:pt idx="32">
                  <c:v>102.6</c:v>
                </c:pt>
                <c:pt idx="33">
                  <c:v>111.7</c:v>
                </c:pt>
                <c:pt idx="34">
                  <c:v>123.4</c:v>
                </c:pt>
                <c:pt idx="35">
                  <c:v>134.80000000000001</c:v>
                </c:pt>
                <c:pt idx="36">
                  <c:v>123.9</c:v>
                </c:pt>
                <c:pt idx="37">
                  <c:v>124.3</c:v>
                </c:pt>
                <c:pt idx="38">
                  <c:v>129.6</c:v>
                </c:pt>
                <c:pt idx="39">
                  <c:v>140.19999999999999</c:v>
                </c:pt>
                <c:pt idx="40">
                  <c:v>141.1</c:v>
                </c:pt>
                <c:pt idx="41">
                  <c:v>131.69999999999999</c:v>
                </c:pt>
                <c:pt idx="42">
                  <c:v>129.4</c:v>
                </c:pt>
                <c:pt idx="43">
                  <c:v>128.4</c:v>
                </c:pt>
                <c:pt idx="44">
                  <c:v>131.1</c:v>
                </c:pt>
                <c:pt idx="45">
                  <c:v>132.5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F-1348-BFDD-EBD2A4BBDA29}"/>
            </c:ext>
          </c:extLst>
        </c:ser>
        <c:ser>
          <c:idx val="1"/>
          <c:order val="1"/>
          <c:tx>
            <c:strRef>
              <c:f>IIP!$H$3</c:f>
              <c:strCache>
                <c:ptCount val="1"/>
                <c:pt idx="0">
                  <c:v>Capital goods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IIP!$H$9:$H$54</c:f>
              <c:numCache>
                <c:formatCode>General</c:formatCode>
                <c:ptCount val="46"/>
                <c:pt idx="0">
                  <c:v>96.7</c:v>
                </c:pt>
                <c:pt idx="1">
                  <c:v>100.6</c:v>
                </c:pt>
                <c:pt idx="2">
                  <c:v>96</c:v>
                </c:pt>
                <c:pt idx="3">
                  <c:v>108</c:v>
                </c:pt>
                <c:pt idx="4">
                  <c:v>93.8</c:v>
                </c:pt>
                <c:pt idx="5">
                  <c:v>94.9</c:v>
                </c:pt>
                <c:pt idx="6">
                  <c:v>94.6</c:v>
                </c:pt>
                <c:pt idx="7">
                  <c:v>103.2</c:v>
                </c:pt>
                <c:pt idx="8">
                  <c:v>92</c:v>
                </c:pt>
                <c:pt idx="9">
                  <c:v>96.9</c:v>
                </c:pt>
                <c:pt idx="10">
                  <c:v>89.8</c:v>
                </c:pt>
                <c:pt idx="11">
                  <c:v>103.4</c:v>
                </c:pt>
                <c:pt idx="12">
                  <c:v>88.8</c:v>
                </c:pt>
                <c:pt idx="13">
                  <c:v>97</c:v>
                </c:pt>
                <c:pt idx="14">
                  <c:v>98.8</c:v>
                </c:pt>
                <c:pt idx="15">
                  <c:v>109</c:v>
                </c:pt>
                <c:pt idx="16">
                  <c:v>100.3</c:v>
                </c:pt>
                <c:pt idx="17">
                  <c:v>97.1</c:v>
                </c:pt>
                <c:pt idx="18">
                  <c:v>96.8</c:v>
                </c:pt>
                <c:pt idx="19">
                  <c:v>111.8</c:v>
                </c:pt>
                <c:pt idx="20">
                  <c:v>96.1</c:v>
                </c:pt>
                <c:pt idx="21">
                  <c:v>101.9</c:v>
                </c:pt>
                <c:pt idx="22">
                  <c:v>104</c:v>
                </c:pt>
                <c:pt idx="23">
                  <c:v>120.1</c:v>
                </c:pt>
                <c:pt idx="24">
                  <c:v>104.4</c:v>
                </c:pt>
                <c:pt idx="25">
                  <c:v>108.6</c:v>
                </c:pt>
                <c:pt idx="26">
                  <c:v>109.6</c:v>
                </c:pt>
                <c:pt idx="27">
                  <c:v>111.1</c:v>
                </c:pt>
                <c:pt idx="28">
                  <c:v>100.7</c:v>
                </c:pt>
                <c:pt idx="29">
                  <c:v>90.6</c:v>
                </c:pt>
                <c:pt idx="30">
                  <c:v>91.1</c:v>
                </c:pt>
                <c:pt idx="31">
                  <c:v>90.8</c:v>
                </c:pt>
                <c:pt idx="32">
                  <c:v>35.4</c:v>
                </c:pt>
                <c:pt idx="33">
                  <c:v>79</c:v>
                </c:pt>
                <c:pt idx="34">
                  <c:v>90.5</c:v>
                </c:pt>
                <c:pt idx="35">
                  <c:v>98.6</c:v>
                </c:pt>
                <c:pt idx="36">
                  <c:v>74</c:v>
                </c:pt>
                <c:pt idx="37">
                  <c:v>92.3</c:v>
                </c:pt>
                <c:pt idx="38">
                  <c:v>88.3</c:v>
                </c:pt>
                <c:pt idx="39">
                  <c:v>100.4</c:v>
                </c:pt>
                <c:pt idx="40">
                  <c:v>95.8</c:v>
                </c:pt>
                <c:pt idx="41">
                  <c:v>97.1</c:v>
                </c:pt>
                <c:pt idx="42">
                  <c:v>95</c:v>
                </c:pt>
                <c:pt idx="43">
                  <c:v>103.9</c:v>
                </c:pt>
                <c:pt idx="44">
                  <c:v>88.3</c:v>
                </c:pt>
                <c:pt idx="45">
                  <c:v>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F-1348-BFDD-EBD2A4BBDA29}"/>
            </c:ext>
          </c:extLst>
        </c:ser>
        <c:ser>
          <c:idx val="2"/>
          <c:order val="2"/>
          <c:tx>
            <c:strRef>
              <c:f>IIP!$I$3</c:f>
              <c:strCache>
                <c:ptCount val="1"/>
                <c:pt idx="0">
                  <c:v>Intermediate goods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IIP!$I$9:$I$54</c:f>
              <c:numCache>
                <c:formatCode>General</c:formatCode>
                <c:ptCount val="46"/>
                <c:pt idx="0">
                  <c:v>104.2</c:v>
                </c:pt>
                <c:pt idx="1">
                  <c:v>103.4</c:v>
                </c:pt>
                <c:pt idx="2">
                  <c:v>104.3</c:v>
                </c:pt>
                <c:pt idx="3">
                  <c:v>108.5</c:v>
                </c:pt>
                <c:pt idx="4">
                  <c:v>105.2</c:v>
                </c:pt>
                <c:pt idx="5">
                  <c:v>111.1</c:v>
                </c:pt>
                <c:pt idx="6">
                  <c:v>108.9</c:v>
                </c:pt>
                <c:pt idx="7">
                  <c:v>114.5</c:v>
                </c:pt>
                <c:pt idx="8">
                  <c:v>116.9</c:v>
                </c:pt>
                <c:pt idx="9">
                  <c:v>117.8</c:v>
                </c:pt>
                <c:pt idx="10">
                  <c:v>114.3</c:v>
                </c:pt>
                <c:pt idx="11">
                  <c:v>117.6</c:v>
                </c:pt>
                <c:pt idx="12">
                  <c:v>115.9</c:v>
                </c:pt>
                <c:pt idx="13">
                  <c:v>119.1</c:v>
                </c:pt>
                <c:pt idx="14">
                  <c:v>115.9</c:v>
                </c:pt>
                <c:pt idx="15">
                  <c:v>122.7</c:v>
                </c:pt>
                <c:pt idx="16">
                  <c:v>119.8</c:v>
                </c:pt>
                <c:pt idx="17">
                  <c:v>122.7</c:v>
                </c:pt>
                <c:pt idx="18">
                  <c:v>120.6</c:v>
                </c:pt>
                <c:pt idx="19">
                  <c:v>126.2</c:v>
                </c:pt>
                <c:pt idx="20">
                  <c:v>121</c:v>
                </c:pt>
                <c:pt idx="21">
                  <c:v>122.2</c:v>
                </c:pt>
                <c:pt idx="22">
                  <c:v>126.3</c:v>
                </c:pt>
                <c:pt idx="23">
                  <c:v>130.9</c:v>
                </c:pt>
                <c:pt idx="24">
                  <c:v>121.8</c:v>
                </c:pt>
                <c:pt idx="25">
                  <c:v>124.5</c:v>
                </c:pt>
                <c:pt idx="26">
                  <c:v>125.2</c:v>
                </c:pt>
                <c:pt idx="27">
                  <c:v>133.30000000000001</c:v>
                </c:pt>
                <c:pt idx="28">
                  <c:v>133</c:v>
                </c:pt>
                <c:pt idx="29">
                  <c:v>136.80000000000001</c:v>
                </c:pt>
                <c:pt idx="30">
                  <c:v>141.4</c:v>
                </c:pt>
                <c:pt idx="31">
                  <c:v>139.4</c:v>
                </c:pt>
                <c:pt idx="32">
                  <c:v>78.8</c:v>
                </c:pt>
                <c:pt idx="33">
                  <c:v>129.5</c:v>
                </c:pt>
                <c:pt idx="34">
                  <c:v>143.1</c:v>
                </c:pt>
                <c:pt idx="35">
                  <c:v>147.19999999999999</c:v>
                </c:pt>
                <c:pt idx="36">
                  <c:v>133.80000000000001</c:v>
                </c:pt>
                <c:pt idx="37">
                  <c:v>143.80000000000001</c:v>
                </c:pt>
                <c:pt idx="38">
                  <c:v>146.80000000000001</c:v>
                </c:pt>
                <c:pt idx="39">
                  <c:v>151.30000000000001</c:v>
                </c:pt>
                <c:pt idx="40">
                  <c:v>149.5</c:v>
                </c:pt>
                <c:pt idx="41">
                  <c:v>149</c:v>
                </c:pt>
                <c:pt idx="42">
                  <c:v>146.6</c:v>
                </c:pt>
                <c:pt idx="43">
                  <c:v>145.4</c:v>
                </c:pt>
                <c:pt idx="44">
                  <c:v>143.30000000000001</c:v>
                </c:pt>
                <c:pt idx="45">
                  <c:v>145.6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BF-1348-BFDD-EBD2A4BBDA29}"/>
            </c:ext>
          </c:extLst>
        </c:ser>
        <c:ser>
          <c:idx val="3"/>
          <c:order val="3"/>
          <c:tx>
            <c:strRef>
              <c:f>IIP!$J$3</c:f>
              <c:strCache>
                <c:ptCount val="1"/>
                <c:pt idx="0">
                  <c:v>Infrastructure/construction  goods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57-2B4E-9C16-9A8ADF372F06}"/>
              </c:ext>
            </c:extLst>
          </c:dPt>
          <c:dLbls>
            <c:dLbl>
              <c:idx val="40"/>
              <c:layout>
                <c:manualLayout>
                  <c:x val="-1.3613861386138704E-2"/>
                  <c:y val="-8.418891170431211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IIP!$J$9:$J$54</c:f>
              <c:numCache>
                <c:formatCode>General</c:formatCode>
                <c:ptCount val="46"/>
                <c:pt idx="0">
                  <c:v>107.6</c:v>
                </c:pt>
                <c:pt idx="1">
                  <c:v>100.7</c:v>
                </c:pt>
                <c:pt idx="2">
                  <c:v>102.7</c:v>
                </c:pt>
                <c:pt idx="3">
                  <c:v>110.6</c:v>
                </c:pt>
                <c:pt idx="4">
                  <c:v>111.4</c:v>
                </c:pt>
                <c:pt idx="5">
                  <c:v>108.9</c:v>
                </c:pt>
                <c:pt idx="6">
                  <c:v>107.1</c:v>
                </c:pt>
                <c:pt idx="7">
                  <c:v>118.2</c:v>
                </c:pt>
                <c:pt idx="8">
                  <c:v>117.9</c:v>
                </c:pt>
                <c:pt idx="9">
                  <c:v>114.7</c:v>
                </c:pt>
                <c:pt idx="10">
                  <c:v>116.6</c:v>
                </c:pt>
                <c:pt idx="11">
                  <c:v>118.6</c:v>
                </c:pt>
                <c:pt idx="12">
                  <c:v>120.5</c:v>
                </c:pt>
                <c:pt idx="13">
                  <c:v>117.5</c:v>
                </c:pt>
                <c:pt idx="14">
                  <c:v>114.9</c:v>
                </c:pt>
                <c:pt idx="15">
                  <c:v>128.19999999999999</c:v>
                </c:pt>
                <c:pt idx="16">
                  <c:v>126.5</c:v>
                </c:pt>
                <c:pt idx="17">
                  <c:v>123</c:v>
                </c:pt>
                <c:pt idx="18">
                  <c:v>121.4</c:v>
                </c:pt>
                <c:pt idx="19">
                  <c:v>129</c:v>
                </c:pt>
                <c:pt idx="20">
                  <c:v>128.69999999999999</c:v>
                </c:pt>
                <c:pt idx="21">
                  <c:v>126.1</c:v>
                </c:pt>
                <c:pt idx="22">
                  <c:v>131.80000000000001</c:v>
                </c:pt>
                <c:pt idx="23">
                  <c:v>141.6</c:v>
                </c:pt>
                <c:pt idx="24">
                  <c:v>139.69999999999999</c:v>
                </c:pt>
                <c:pt idx="25">
                  <c:v>137.30000000000001</c:v>
                </c:pt>
                <c:pt idx="26">
                  <c:v>141.80000000000001</c:v>
                </c:pt>
                <c:pt idx="27">
                  <c:v>147.9</c:v>
                </c:pt>
                <c:pt idx="28">
                  <c:v>140.19999999999999</c:v>
                </c:pt>
                <c:pt idx="29">
                  <c:v>132.80000000000001</c:v>
                </c:pt>
                <c:pt idx="30">
                  <c:v>136.9</c:v>
                </c:pt>
                <c:pt idx="31">
                  <c:v>136.4</c:v>
                </c:pt>
                <c:pt idx="32">
                  <c:v>74.5</c:v>
                </c:pt>
                <c:pt idx="33">
                  <c:v>130.69999999999999</c:v>
                </c:pt>
                <c:pt idx="34">
                  <c:v>144.1</c:v>
                </c:pt>
                <c:pt idx="35">
                  <c:v>149.6</c:v>
                </c:pt>
                <c:pt idx="36">
                  <c:v>137.1</c:v>
                </c:pt>
                <c:pt idx="37">
                  <c:v>145.9</c:v>
                </c:pt>
                <c:pt idx="38">
                  <c:v>149.69999999999999</c:v>
                </c:pt>
                <c:pt idx="39">
                  <c:v>160.1</c:v>
                </c:pt>
                <c:pt idx="40">
                  <c:v>150.6</c:v>
                </c:pt>
                <c:pt idx="41">
                  <c:v>151.30000000000001</c:v>
                </c:pt>
                <c:pt idx="42">
                  <c:v>152.80000000000001</c:v>
                </c:pt>
                <c:pt idx="43">
                  <c:v>156.19999999999999</c:v>
                </c:pt>
                <c:pt idx="44">
                  <c:v>155.30000000000001</c:v>
                </c:pt>
                <c:pt idx="45">
                  <c:v>159.6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BF-1348-BFDD-EBD2A4BBDA29}"/>
            </c:ext>
          </c:extLst>
        </c:ser>
        <c:ser>
          <c:idx val="4"/>
          <c:order val="4"/>
          <c:tx>
            <c:strRef>
              <c:f>IIP!$K$3</c:f>
              <c:strCache>
                <c:ptCount val="1"/>
                <c:pt idx="0">
                  <c:v>Consumer goods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IIP!$K$9:$K$54</c:f>
              <c:numCache>
                <c:formatCode>General</c:formatCode>
                <c:ptCount val="46"/>
                <c:pt idx="0">
                  <c:v>102.1</c:v>
                </c:pt>
                <c:pt idx="1">
                  <c:v>102.6</c:v>
                </c:pt>
                <c:pt idx="2">
                  <c:v>106.1</c:v>
                </c:pt>
                <c:pt idx="3">
                  <c:v>111.4</c:v>
                </c:pt>
                <c:pt idx="4">
                  <c:v>105.7</c:v>
                </c:pt>
                <c:pt idx="5">
                  <c:v>108.2</c:v>
                </c:pt>
                <c:pt idx="6">
                  <c:v>111.3</c:v>
                </c:pt>
                <c:pt idx="7">
                  <c:v>116.4</c:v>
                </c:pt>
                <c:pt idx="8">
                  <c:v>109.8</c:v>
                </c:pt>
                <c:pt idx="9">
                  <c:v>114</c:v>
                </c:pt>
                <c:pt idx="10">
                  <c:v>113</c:v>
                </c:pt>
                <c:pt idx="11">
                  <c:v>121.9</c:v>
                </c:pt>
                <c:pt idx="12">
                  <c:v>113.1</c:v>
                </c:pt>
                <c:pt idx="13">
                  <c:v>113.7</c:v>
                </c:pt>
                <c:pt idx="14">
                  <c:v>121.1</c:v>
                </c:pt>
                <c:pt idx="15">
                  <c:v>124.3</c:v>
                </c:pt>
                <c:pt idx="16">
                  <c:v>121.8</c:v>
                </c:pt>
                <c:pt idx="17">
                  <c:v>124.5</c:v>
                </c:pt>
                <c:pt idx="18">
                  <c:v>123.4</c:v>
                </c:pt>
                <c:pt idx="19">
                  <c:v>129.19999999999999</c:v>
                </c:pt>
                <c:pt idx="20">
                  <c:v>126.3</c:v>
                </c:pt>
                <c:pt idx="21">
                  <c:v>128.9</c:v>
                </c:pt>
                <c:pt idx="22">
                  <c:v>133.6</c:v>
                </c:pt>
                <c:pt idx="23">
                  <c:v>141</c:v>
                </c:pt>
                <c:pt idx="24">
                  <c:v>132</c:v>
                </c:pt>
                <c:pt idx="25">
                  <c:v>137.9</c:v>
                </c:pt>
                <c:pt idx="26">
                  <c:v>140.69999999999999</c:v>
                </c:pt>
                <c:pt idx="27">
                  <c:v>143.80000000000001</c:v>
                </c:pt>
                <c:pt idx="28">
                  <c:v>135.5</c:v>
                </c:pt>
                <c:pt idx="29">
                  <c:v>135.9</c:v>
                </c:pt>
                <c:pt idx="30">
                  <c:v>133.80000000000001</c:v>
                </c:pt>
                <c:pt idx="31">
                  <c:v>127.9</c:v>
                </c:pt>
                <c:pt idx="32">
                  <c:v>83.2</c:v>
                </c:pt>
                <c:pt idx="33">
                  <c:v>130.6</c:v>
                </c:pt>
                <c:pt idx="34">
                  <c:v>139.69999999999999</c:v>
                </c:pt>
                <c:pt idx="35">
                  <c:v>140.5</c:v>
                </c:pt>
                <c:pt idx="36">
                  <c:v>117.5</c:v>
                </c:pt>
                <c:pt idx="37">
                  <c:v>136.5</c:v>
                </c:pt>
                <c:pt idx="38">
                  <c:v>137.80000000000001</c:v>
                </c:pt>
                <c:pt idx="39">
                  <c:v>134.9</c:v>
                </c:pt>
                <c:pt idx="40">
                  <c:v>129.5</c:v>
                </c:pt>
                <c:pt idx="41">
                  <c:v>132.4</c:v>
                </c:pt>
                <c:pt idx="42">
                  <c:v>126.4</c:v>
                </c:pt>
                <c:pt idx="43">
                  <c:v>132.9</c:v>
                </c:pt>
                <c:pt idx="44">
                  <c:v>119.1</c:v>
                </c:pt>
                <c:pt idx="45">
                  <c:v>138.69999999999999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BF-1348-BFDD-EBD2A4BBDA29}"/>
            </c:ext>
          </c:extLst>
        </c:ser>
        <c:ser>
          <c:idx val="5"/>
          <c:order val="5"/>
          <c:tx>
            <c:strRef>
              <c:f>IIP!$L$3</c:f>
              <c:strCache>
                <c:ptCount val="1"/>
                <c:pt idx="0">
                  <c:v>Consumer goods(Durable)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757-2B4E-9C16-9A8ADF372F06}"/>
              </c:ext>
            </c:extLst>
          </c:dPt>
          <c:dLbls>
            <c:dLbl>
              <c:idx val="4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1BF-1348-BFDD-EBD2A4BBD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IIP!$A$9:$A$54</c:f>
              <c:numCache>
                <c:formatCode>mmm\-yy</c:formatCode>
                <c:ptCount val="46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44743</c:v>
                </c:pt>
                <c:pt idx="42">
                  <c:v>44774</c:v>
                </c:pt>
                <c:pt idx="43">
                  <c:v>44805</c:v>
                </c:pt>
                <c:pt idx="44">
                  <c:v>44835</c:v>
                </c:pt>
                <c:pt idx="45">
                  <c:v>44866</c:v>
                </c:pt>
              </c:numCache>
            </c:numRef>
          </c:cat>
          <c:val>
            <c:numRef>
              <c:f>IIP!$L$9:$L$54</c:f>
              <c:numCache>
                <c:formatCode>General</c:formatCode>
                <c:ptCount val="46"/>
                <c:pt idx="0">
                  <c:v>104</c:v>
                </c:pt>
                <c:pt idx="1">
                  <c:v>103.5</c:v>
                </c:pt>
                <c:pt idx="2">
                  <c:v>104.3</c:v>
                </c:pt>
                <c:pt idx="3">
                  <c:v>107.8</c:v>
                </c:pt>
                <c:pt idx="4">
                  <c:v>104.5</c:v>
                </c:pt>
                <c:pt idx="5">
                  <c:v>109.5</c:v>
                </c:pt>
                <c:pt idx="6">
                  <c:v>113.4</c:v>
                </c:pt>
                <c:pt idx="7">
                  <c:v>115.8</c:v>
                </c:pt>
                <c:pt idx="8">
                  <c:v>110.4</c:v>
                </c:pt>
                <c:pt idx="9">
                  <c:v>118</c:v>
                </c:pt>
                <c:pt idx="10">
                  <c:v>114.1</c:v>
                </c:pt>
                <c:pt idx="11">
                  <c:v>118.4</c:v>
                </c:pt>
                <c:pt idx="12">
                  <c:v>113.3</c:v>
                </c:pt>
                <c:pt idx="13">
                  <c:v>119</c:v>
                </c:pt>
                <c:pt idx="14">
                  <c:v>120.9</c:v>
                </c:pt>
                <c:pt idx="15">
                  <c:v>123</c:v>
                </c:pt>
                <c:pt idx="16">
                  <c:v>122.3</c:v>
                </c:pt>
                <c:pt idx="17">
                  <c:v>126</c:v>
                </c:pt>
                <c:pt idx="18">
                  <c:v>121.9</c:v>
                </c:pt>
                <c:pt idx="19">
                  <c:v>120.1</c:v>
                </c:pt>
                <c:pt idx="20">
                  <c:v>120.8</c:v>
                </c:pt>
                <c:pt idx="21">
                  <c:v>125</c:v>
                </c:pt>
                <c:pt idx="22">
                  <c:v>120.1</c:v>
                </c:pt>
                <c:pt idx="23">
                  <c:v>128.6</c:v>
                </c:pt>
                <c:pt idx="24">
                  <c:v>130.5</c:v>
                </c:pt>
                <c:pt idx="25">
                  <c:v>135.19999999999999</c:v>
                </c:pt>
                <c:pt idx="26">
                  <c:v>127.4</c:v>
                </c:pt>
                <c:pt idx="27">
                  <c:v>128.5</c:v>
                </c:pt>
                <c:pt idx="28">
                  <c:v>127</c:v>
                </c:pt>
                <c:pt idx="29">
                  <c:v>124.9</c:v>
                </c:pt>
                <c:pt idx="30">
                  <c:v>115.8</c:v>
                </c:pt>
                <c:pt idx="31">
                  <c:v>108.2</c:v>
                </c:pt>
                <c:pt idx="32">
                  <c:v>41.1</c:v>
                </c:pt>
                <c:pt idx="33">
                  <c:v>112.6</c:v>
                </c:pt>
                <c:pt idx="34">
                  <c:v>123.9</c:v>
                </c:pt>
                <c:pt idx="35">
                  <c:v>127.3</c:v>
                </c:pt>
                <c:pt idx="36">
                  <c:v>91.7</c:v>
                </c:pt>
                <c:pt idx="37">
                  <c:v>123.8</c:v>
                </c:pt>
                <c:pt idx="38">
                  <c:v>119.5</c:v>
                </c:pt>
                <c:pt idx="39">
                  <c:v>120.1</c:v>
                </c:pt>
                <c:pt idx="40">
                  <c:v>116.1</c:v>
                </c:pt>
                <c:pt idx="41">
                  <c:v>121.4</c:v>
                </c:pt>
                <c:pt idx="42">
                  <c:v>116.2</c:v>
                </c:pt>
                <c:pt idx="43">
                  <c:v>126.8</c:v>
                </c:pt>
                <c:pt idx="44">
                  <c:v>106.5</c:v>
                </c:pt>
                <c:pt idx="45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BF-1348-BFDD-EBD2A4BB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870032"/>
        <c:axId val="1168514016"/>
      </c:lineChart>
      <c:dateAx>
        <c:axId val="10278700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14016"/>
        <c:crosses val="autoZero"/>
        <c:auto val="1"/>
        <c:lblOffset val="100"/>
        <c:baseTimeUnit val="months"/>
      </c:dateAx>
      <c:valAx>
        <c:axId val="11685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Textiles &amp; apparel (YOY growth)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'IIP-Textiles-Apparel'!$B$2</c:f>
              <c:strCache>
                <c:ptCount val="1"/>
                <c:pt idx="0">
                  <c:v>Cotton Yarn 
(incl. Hosiery)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'IIP-Textiles-Apparel'!$B$44:$B$62</c:f>
              <c:numCache>
                <c:formatCode>General</c:formatCode>
                <c:ptCount val="19"/>
                <c:pt idx="0">
                  <c:v>-27.3</c:v>
                </c:pt>
                <c:pt idx="1">
                  <c:v>-27.99</c:v>
                </c:pt>
                <c:pt idx="2">
                  <c:v>-30.4</c:v>
                </c:pt>
                <c:pt idx="3">
                  <c:v>-15.37</c:v>
                </c:pt>
                <c:pt idx="4">
                  <c:v>-12.54</c:v>
                </c:pt>
                <c:pt idx="5">
                  <c:v>-10.58</c:v>
                </c:pt>
                <c:pt idx="6">
                  <c:v>-7.83</c:v>
                </c:pt>
                <c:pt idx="7">
                  <c:v>-4.75</c:v>
                </c:pt>
                <c:pt idx="8">
                  <c:v>-0.6</c:v>
                </c:pt>
                <c:pt idx="9">
                  <c:v>3.83</c:v>
                </c:pt>
                <c:pt idx="10">
                  <c:v>10.48</c:v>
                </c:pt>
                <c:pt idx="11">
                  <c:v>17.22</c:v>
                </c:pt>
                <c:pt idx="12">
                  <c:v>24.46</c:v>
                </c:pt>
                <c:pt idx="13">
                  <c:v>26.19</c:v>
                </c:pt>
                <c:pt idx="14">
                  <c:v>27.9</c:v>
                </c:pt>
                <c:pt idx="15">
                  <c:v>6.27</c:v>
                </c:pt>
                <c:pt idx="16">
                  <c:v>3.35</c:v>
                </c:pt>
                <c:pt idx="17">
                  <c:v>2.64</c:v>
                </c:pt>
                <c:pt idx="18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E-D947-8F4B-8CEE6442A92F}"/>
            </c:ext>
          </c:extLst>
        </c:ser>
        <c:ser>
          <c:idx val="1"/>
          <c:order val="1"/>
          <c:tx>
            <c:strRef>
              <c:f>'IIP-Textiles-Apparel'!$C$2</c:f>
              <c:strCache>
                <c:ptCount val="1"/>
                <c:pt idx="0">
                  <c:v>Readymade 
Garments,  not knitted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'IIP-Textiles-Apparel'!$C$44:$C$62</c:f>
              <c:numCache>
                <c:formatCode>General</c:formatCode>
                <c:ptCount val="19"/>
                <c:pt idx="0">
                  <c:v>-3.24</c:v>
                </c:pt>
                <c:pt idx="1">
                  <c:v>-11.37</c:v>
                </c:pt>
                <c:pt idx="2">
                  <c:v>-19.84</c:v>
                </c:pt>
                <c:pt idx="3">
                  <c:v>-3.16</c:v>
                </c:pt>
                <c:pt idx="4">
                  <c:v>-5.07</c:v>
                </c:pt>
                <c:pt idx="5">
                  <c:v>-14.09</c:v>
                </c:pt>
                <c:pt idx="6">
                  <c:v>-9.44</c:v>
                </c:pt>
                <c:pt idx="7">
                  <c:v>-18.72</c:v>
                </c:pt>
                <c:pt idx="8">
                  <c:v>-17.93</c:v>
                </c:pt>
                <c:pt idx="9">
                  <c:v>-8.0399999999999991</c:v>
                </c:pt>
                <c:pt idx="10">
                  <c:v>-17.14</c:v>
                </c:pt>
                <c:pt idx="11">
                  <c:v>-22.11</c:v>
                </c:pt>
                <c:pt idx="12">
                  <c:v>-14.93</c:v>
                </c:pt>
                <c:pt idx="13">
                  <c:v>-18.649999999999999</c:v>
                </c:pt>
                <c:pt idx="14">
                  <c:v>-11.01</c:v>
                </c:pt>
                <c:pt idx="15">
                  <c:v>-24.2</c:v>
                </c:pt>
                <c:pt idx="16">
                  <c:v>-9.5399999999999991</c:v>
                </c:pt>
                <c:pt idx="17">
                  <c:v>-8.93</c:v>
                </c:pt>
                <c:pt idx="18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BE-D947-8F4B-8CEE6442A92F}"/>
            </c:ext>
          </c:extLst>
        </c:ser>
        <c:ser>
          <c:idx val="2"/>
          <c:order val="2"/>
          <c:tx>
            <c:strRef>
              <c:f>'IIP-Textiles-Apparel'!$D$2</c:f>
              <c:strCache>
                <c:ptCount val="1"/>
                <c:pt idx="0">
                  <c:v>Leather 
garments 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'IIP-Textiles-Apparel'!$D$44:$D$62</c:f>
              <c:numCache>
                <c:formatCode>General</c:formatCode>
                <c:ptCount val="19"/>
                <c:pt idx="0">
                  <c:v>-0.86</c:v>
                </c:pt>
                <c:pt idx="1">
                  <c:v>6.94</c:v>
                </c:pt>
                <c:pt idx="2">
                  <c:v>-17.149999999999999</c:v>
                </c:pt>
                <c:pt idx="3">
                  <c:v>14.26</c:v>
                </c:pt>
                <c:pt idx="4">
                  <c:v>28.6</c:v>
                </c:pt>
                <c:pt idx="5">
                  <c:v>2.65</c:v>
                </c:pt>
                <c:pt idx="6">
                  <c:v>10.57</c:v>
                </c:pt>
                <c:pt idx="7">
                  <c:v>-29.09</c:v>
                </c:pt>
                <c:pt idx="8">
                  <c:v>-27.72</c:v>
                </c:pt>
                <c:pt idx="9">
                  <c:v>0.79</c:v>
                </c:pt>
                <c:pt idx="10">
                  <c:v>52.7</c:v>
                </c:pt>
                <c:pt idx="11">
                  <c:v>64.599999999999994</c:v>
                </c:pt>
                <c:pt idx="12">
                  <c:v>45.53</c:v>
                </c:pt>
                <c:pt idx="13">
                  <c:v>15.78</c:v>
                </c:pt>
                <c:pt idx="14">
                  <c:v>45.66</c:v>
                </c:pt>
                <c:pt idx="15">
                  <c:v>45.48</c:v>
                </c:pt>
                <c:pt idx="16">
                  <c:v>24.27</c:v>
                </c:pt>
                <c:pt idx="17">
                  <c:v>43.79</c:v>
                </c:pt>
                <c:pt idx="18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BE-D947-8F4B-8CEE6442A92F}"/>
            </c:ext>
          </c:extLst>
        </c:ser>
        <c:ser>
          <c:idx val="3"/>
          <c:order val="3"/>
          <c:tx>
            <c:strRef>
              <c:f>'IIP-Textiles-Apparel'!$E$2</c:f>
              <c:strCache>
                <c:ptCount val="1"/>
                <c:pt idx="0">
                  <c:v>Readymade 
Garments, knitted 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'IIP-Textiles-Apparel'!$E$44:$E$62</c:f>
              <c:numCache>
                <c:formatCode>General</c:formatCode>
                <c:ptCount val="19"/>
                <c:pt idx="0">
                  <c:v>-29.7</c:v>
                </c:pt>
                <c:pt idx="1">
                  <c:v>-30.59</c:v>
                </c:pt>
                <c:pt idx="2">
                  <c:v>-51.47</c:v>
                </c:pt>
                <c:pt idx="3">
                  <c:v>-16.37</c:v>
                </c:pt>
                <c:pt idx="4">
                  <c:v>-36.97</c:v>
                </c:pt>
                <c:pt idx="5">
                  <c:v>-28.48</c:v>
                </c:pt>
                <c:pt idx="6">
                  <c:v>-18.02</c:v>
                </c:pt>
                <c:pt idx="7">
                  <c:v>-36.33</c:v>
                </c:pt>
                <c:pt idx="8">
                  <c:v>-40.9</c:v>
                </c:pt>
                <c:pt idx="9">
                  <c:v>-30.73</c:v>
                </c:pt>
                <c:pt idx="10">
                  <c:v>-26.94</c:v>
                </c:pt>
                <c:pt idx="11">
                  <c:v>-25.39</c:v>
                </c:pt>
                <c:pt idx="12">
                  <c:v>-25.1</c:v>
                </c:pt>
                <c:pt idx="13">
                  <c:v>-15.72</c:v>
                </c:pt>
                <c:pt idx="14">
                  <c:v>2.1800000000000002</c:v>
                </c:pt>
                <c:pt idx="15">
                  <c:v>-22.45</c:v>
                </c:pt>
                <c:pt idx="16">
                  <c:v>-11.58</c:v>
                </c:pt>
                <c:pt idx="17">
                  <c:v>7.03</c:v>
                </c:pt>
                <c:pt idx="18">
                  <c:v>-12.22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BE-D947-8F4B-8CEE6442A92F}"/>
            </c:ext>
          </c:extLst>
        </c:ser>
        <c:ser>
          <c:idx val="4"/>
          <c:order val="4"/>
          <c:tx>
            <c:strRef>
              <c:f>'IIP-Textiles-Apparel'!$F$2</c:f>
              <c:strCache>
                <c:ptCount val="1"/>
                <c:pt idx="0">
                  <c:v>Underwears, socks 
and
other hosiery products 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'IIP-Textiles-Apparel'!$A$44:$A$62</c:f>
              <c:numCache>
                <c:formatCode>mmm\-yy</c:formatCode>
                <c:ptCount val="19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  <c:pt idx="13">
                  <c:v>45170</c:v>
                </c:pt>
                <c:pt idx="14">
                  <c:v>45200</c:v>
                </c:pt>
                <c:pt idx="15">
                  <c:v>45231</c:v>
                </c:pt>
                <c:pt idx="16">
                  <c:v>45261</c:v>
                </c:pt>
                <c:pt idx="17">
                  <c:v>45292</c:v>
                </c:pt>
                <c:pt idx="18">
                  <c:v>45323</c:v>
                </c:pt>
              </c:numCache>
            </c:numRef>
          </c:cat>
          <c:val>
            <c:numRef>
              <c:f>'IIP-Textiles-Apparel'!$F$44:$F$62</c:f>
              <c:numCache>
                <c:formatCode>General</c:formatCode>
                <c:ptCount val="19"/>
                <c:pt idx="0">
                  <c:v>26.07</c:v>
                </c:pt>
                <c:pt idx="1">
                  <c:v>42.53</c:v>
                </c:pt>
                <c:pt idx="2">
                  <c:v>9.25</c:v>
                </c:pt>
                <c:pt idx="3">
                  <c:v>-10.89</c:v>
                </c:pt>
                <c:pt idx="4">
                  <c:v>-31.36</c:v>
                </c:pt>
                <c:pt idx="5">
                  <c:v>-31.44</c:v>
                </c:pt>
                <c:pt idx="6">
                  <c:v>-35.93</c:v>
                </c:pt>
                <c:pt idx="7">
                  <c:v>-39.03</c:v>
                </c:pt>
                <c:pt idx="8">
                  <c:v>-43.6</c:v>
                </c:pt>
                <c:pt idx="9">
                  <c:v>-40.51</c:v>
                </c:pt>
                <c:pt idx="10">
                  <c:v>-41.75</c:v>
                </c:pt>
                <c:pt idx="11">
                  <c:v>-25.11</c:v>
                </c:pt>
                <c:pt idx="12">
                  <c:v>-9.52</c:v>
                </c:pt>
                <c:pt idx="13">
                  <c:v>-34.61</c:v>
                </c:pt>
                <c:pt idx="14">
                  <c:v>-7.85</c:v>
                </c:pt>
                <c:pt idx="15">
                  <c:v>-2.06</c:v>
                </c:pt>
                <c:pt idx="16">
                  <c:v>3.85</c:v>
                </c:pt>
                <c:pt idx="17">
                  <c:v>10.38</c:v>
                </c:pt>
                <c:pt idx="18">
                  <c:v>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BE-D947-8F4B-8CEE6442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500863"/>
        <c:axId val="1127902591"/>
      </c:lineChart>
      <c:dateAx>
        <c:axId val="11275008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2591"/>
        <c:crosses val="autoZero"/>
        <c:auto val="1"/>
        <c:lblOffset val="100"/>
        <c:baseTimeUnit val="months"/>
      </c:dateAx>
      <c:valAx>
        <c:axId val="1127902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IIP </a:t>
            </a:r>
            <a:r>
              <a:rPr lang="en-GB" baseline="0"/>
              <a:t> - Aggregate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'IIP-Textiles-Apparel'!$G$2</c:f>
              <c:strCache>
                <c:ptCount val="1"/>
                <c:pt idx="0">
                  <c:v>IIP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'IIP-Textiles-Apparel'!$A$40:$A$62</c:f>
              <c:numCache>
                <c:formatCode>mmm\-yy</c:formatCode>
                <c:ptCount val="23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</c:numCache>
            </c:numRef>
          </c:cat>
          <c:val>
            <c:numRef>
              <c:f>'IIP-Textiles-Apparel'!$G$40:$G$62</c:f>
              <c:numCache>
                <c:formatCode>General</c:formatCode>
                <c:ptCount val="23"/>
                <c:pt idx="0">
                  <c:v>6.66</c:v>
                </c:pt>
                <c:pt idx="1">
                  <c:v>19.72</c:v>
                </c:pt>
                <c:pt idx="2">
                  <c:v>12.62</c:v>
                </c:pt>
                <c:pt idx="3">
                  <c:v>2.21</c:v>
                </c:pt>
                <c:pt idx="4">
                  <c:v>-0.68</c:v>
                </c:pt>
                <c:pt idx="5">
                  <c:v>3.32</c:v>
                </c:pt>
                <c:pt idx="6">
                  <c:v>-4.07</c:v>
                </c:pt>
                <c:pt idx="7">
                  <c:v>7.58</c:v>
                </c:pt>
                <c:pt idx="8">
                  <c:v>5.12</c:v>
                </c:pt>
                <c:pt idx="9">
                  <c:v>5.81</c:v>
                </c:pt>
                <c:pt idx="10">
                  <c:v>6.01</c:v>
                </c:pt>
                <c:pt idx="11">
                  <c:v>1.95</c:v>
                </c:pt>
                <c:pt idx="12">
                  <c:v>4.6100000000000003</c:v>
                </c:pt>
                <c:pt idx="13">
                  <c:v>5.66</c:v>
                </c:pt>
                <c:pt idx="14">
                  <c:v>4.05</c:v>
                </c:pt>
                <c:pt idx="15">
                  <c:v>6.18</c:v>
                </c:pt>
                <c:pt idx="16">
                  <c:v>10.87</c:v>
                </c:pt>
                <c:pt idx="17">
                  <c:v>6.35</c:v>
                </c:pt>
                <c:pt idx="18">
                  <c:v>11.89</c:v>
                </c:pt>
                <c:pt idx="19">
                  <c:v>2.4700000000000002</c:v>
                </c:pt>
                <c:pt idx="20">
                  <c:v>4.25</c:v>
                </c:pt>
                <c:pt idx="21">
                  <c:v>4.1399999999999997</c:v>
                </c:pt>
                <c:pt idx="22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D-E04B-AF3E-8D2B0AA63A37}"/>
            </c:ext>
          </c:extLst>
        </c:ser>
        <c:ser>
          <c:idx val="2"/>
          <c:order val="1"/>
          <c:tx>
            <c:strRef>
              <c:f>'IIP-Textiles-Apparel'!$I$2</c:f>
              <c:strCache>
                <c:ptCount val="1"/>
                <c:pt idx="0">
                  <c:v>Manufacturing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'IIP-Textiles-Apparel'!$A$40:$A$62</c:f>
              <c:numCache>
                <c:formatCode>mmm\-yy</c:formatCode>
                <c:ptCount val="23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</c:numCache>
            </c:numRef>
          </c:cat>
          <c:val>
            <c:numRef>
              <c:f>'IIP-Textiles-Apparel'!$I$40:$I$62</c:f>
              <c:numCache>
                <c:formatCode>General</c:formatCode>
                <c:ptCount val="23"/>
                <c:pt idx="0">
                  <c:v>5.62</c:v>
                </c:pt>
                <c:pt idx="1">
                  <c:v>20.72</c:v>
                </c:pt>
                <c:pt idx="2">
                  <c:v>12.87</c:v>
                </c:pt>
                <c:pt idx="3">
                  <c:v>3.05</c:v>
                </c:pt>
                <c:pt idx="4">
                  <c:v>-0.45</c:v>
                </c:pt>
                <c:pt idx="5">
                  <c:v>2.0499999999999998</c:v>
                </c:pt>
                <c:pt idx="6">
                  <c:v>-5.79</c:v>
                </c:pt>
                <c:pt idx="7">
                  <c:v>6.67</c:v>
                </c:pt>
                <c:pt idx="8">
                  <c:v>3.65</c:v>
                </c:pt>
                <c:pt idx="9">
                  <c:v>4.53</c:v>
                </c:pt>
                <c:pt idx="10">
                  <c:v>5.93</c:v>
                </c:pt>
                <c:pt idx="11">
                  <c:v>1.51</c:v>
                </c:pt>
                <c:pt idx="12">
                  <c:v>5.47</c:v>
                </c:pt>
                <c:pt idx="13">
                  <c:v>6.32</c:v>
                </c:pt>
                <c:pt idx="14">
                  <c:v>3.51</c:v>
                </c:pt>
                <c:pt idx="15">
                  <c:v>5.26</c:v>
                </c:pt>
                <c:pt idx="16">
                  <c:v>9.98</c:v>
                </c:pt>
                <c:pt idx="17">
                  <c:v>5.13</c:v>
                </c:pt>
                <c:pt idx="18">
                  <c:v>10.58</c:v>
                </c:pt>
                <c:pt idx="19">
                  <c:v>1.31</c:v>
                </c:pt>
                <c:pt idx="20">
                  <c:v>4.49</c:v>
                </c:pt>
                <c:pt idx="21">
                  <c:v>3.57</c:v>
                </c:pt>
                <c:pt idx="22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D-E04B-AF3E-8D2B0AA63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5516079"/>
        <c:axId val="1003724047"/>
      </c:lineChart>
      <c:dateAx>
        <c:axId val="16555160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24047"/>
        <c:crosses val="autoZero"/>
        <c:auto val="1"/>
        <c:lblOffset val="100"/>
        <c:baseTimeUnit val="months"/>
      </c:dateAx>
      <c:valAx>
        <c:axId val="10037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 Book Growth - QoQ </a:t>
            </a:r>
          </a:p>
        </c:rich>
      </c:tx>
      <c:layout>
        <c:manualLayout>
          <c:xMode val="edge"/>
          <c:yMode val="edge"/>
          <c:x val="0.37733452987494209"/>
          <c:y val="0.11246943765281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236061324865676E-2"/>
          <c:y val="0.24814796989007182"/>
          <c:w val="0.9327639386751343"/>
          <c:h val="0.5955301003022543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'OBICUS-Order-Books'!$E$4</c:f>
              <c:strCache>
                <c:ptCount val="1"/>
                <c:pt idx="0">
                  <c:v>Average backlog  order 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'OBICUS-Order-Books'!$E$56:$E$64</c:f>
              <c:numCache>
                <c:formatCode>General</c:formatCode>
                <c:ptCount val="9"/>
                <c:pt idx="0">
                  <c:v>3.52</c:v>
                </c:pt>
                <c:pt idx="1">
                  <c:v>4.7</c:v>
                </c:pt>
                <c:pt idx="2">
                  <c:v>0.33</c:v>
                </c:pt>
                <c:pt idx="3">
                  <c:v>4.57</c:v>
                </c:pt>
                <c:pt idx="4">
                  <c:v>1.8</c:v>
                </c:pt>
                <c:pt idx="5">
                  <c:v>3.95</c:v>
                </c:pt>
                <c:pt idx="6">
                  <c:v>-5.25</c:v>
                </c:pt>
                <c:pt idx="7">
                  <c:v>3.08</c:v>
                </c:pt>
                <c:pt idx="8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E-5145-A0C8-EBAFB88E82F9}"/>
            </c:ext>
          </c:extLst>
        </c:ser>
        <c:ser>
          <c:idx val="4"/>
          <c:order val="1"/>
          <c:tx>
            <c:strRef>
              <c:f>'OBICUS-Order-Books'!$F$4</c:f>
              <c:strCache>
                <c:ptCount val="1"/>
                <c:pt idx="0">
                  <c:v>Average new order  book 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'OBICUS-Order-Books'!$F$56:$F$64</c:f>
              <c:numCache>
                <c:formatCode>General</c:formatCode>
                <c:ptCount val="9"/>
                <c:pt idx="0">
                  <c:v>10.48</c:v>
                </c:pt>
                <c:pt idx="1">
                  <c:v>5.6</c:v>
                </c:pt>
                <c:pt idx="2">
                  <c:v>3.37</c:v>
                </c:pt>
                <c:pt idx="3">
                  <c:v>-7.0000000000000007E-2</c:v>
                </c:pt>
                <c:pt idx="4">
                  <c:v>0.5</c:v>
                </c:pt>
                <c:pt idx="5">
                  <c:v>7.39</c:v>
                </c:pt>
                <c:pt idx="6">
                  <c:v>-1.28</c:v>
                </c:pt>
                <c:pt idx="7">
                  <c:v>3.5</c:v>
                </c:pt>
                <c:pt idx="8">
                  <c:v>-0.43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E-5145-A0C8-EBAFB88E82F9}"/>
            </c:ext>
          </c:extLst>
        </c:ser>
        <c:ser>
          <c:idx val="5"/>
          <c:order val="2"/>
          <c:tx>
            <c:strRef>
              <c:f>'OBICUS-Order-Books'!$G$4</c:f>
              <c:strCache>
                <c:ptCount val="1"/>
                <c:pt idx="0">
                  <c:v>Average pending  order 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'OBICUS-Order-Books'!$A$56:$A$64</c:f>
              <c:numCache>
                <c:formatCode>mmm\-yy</c:formatCode>
                <c:ptCount val="9"/>
                <c:pt idx="0">
                  <c:v>44531</c:v>
                </c:pt>
                <c:pt idx="1">
                  <c:v>44621</c:v>
                </c:pt>
                <c:pt idx="2">
                  <c:v>44713</c:v>
                </c:pt>
                <c:pt idx="3">
                  <c:v>44805</c:v>
                </c:pt>
                <c:pt idx="4">
                  <c:v>44896</c:v>
                </c:pt>
                <c:pt idx="5">
                  <c:v>44986</c:v>
                </c:pt>
                <c:pt idx="6">
                  <c:v>45078</c:v>
                </c:pt>
                <c:pt idx="7">
                  <c:v>45170</c:v>
                </c:pt>
                <c:pt idx="8">
                  <c:v>45261</c:v>
                </c:pt>
              </c:numCache>
            </c:numRef>
          </c:cat>
          <c:val>
            <c:numRef>
              <c:f>'OBICUS-Order-Books'!$G$56:$G$64</c:f>
              <c:numCache>
                <c:formatCode>General</c:formatCode>
                <c:ptCount val="9"/>
                <c:pt idx="0">
                  <c:v>7.81</c:v>
                </c:pt>
                <c:pt idx="1">
                  <c:v>4.5999999999999996</c:v>
                </c:pt>
                <c:pt idx="2">
                  <c:v>4.2</c:v>
                </c:pt>
                <c:pt idx="3">
                  <c:v>10.77</c:v>
                </c:pt>
                <c:pt idx="4">
                  <c:v>3.9</c:v>
                </c:pt>
                <c:pt idx="5">
                  <c:v>2.92</c:v>
                </c:pt>
                <c:pt idx="6">
                  <c:v>-4.54</c:v>
                </c:pt>
                <c:pt idx="7">
                  <c:v>5.59</c:v>
                </c:pt>
                <c:pt idx="8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E-5145-A0C8-EBAFB88E82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62127055"/>
        <c:axId val="1430698655"/>
        <c:axId val="1056293167"/>
      </c:bar3DChart>
      <c:dateAx>
        <c:axId val="1062127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98655"/>
        <c:crosses val="autoZero"/>
        <c:auto val="1"/>
        <c:lblOffset val="100"/>
        <c:baseTimeUnit val="months"/>
      </c:dateAx>
      <c:valAx>
        <c:axId val="1430698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62127055"/>
        <c:crosses val="autoZero"/>
        <c:crossBetween val="between"/>
      </c:valAx>
      <c:serAx>
        <c:axId val="1056293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98655"/>
        <c:crosses val="autoZero"/>
      </c:ser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92332098193608"/>
          <c:y val="0.85566024295862753"/>
          <c:w val="0.52623946271421951"/>
          <c:h val="9.9927227922915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Inventory Building</a:t>
            </a:r>
            <a:r>
              <a:rPr lang="en-GB" baseline="0"/>
              <a:t> 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'OBICUS-Survey'!$E$3</c:f>
              <c:strCache>
                <c:ptCount val="1"/>
                <c:pt idx="0">
                  <c:v>Average finished  goods inventories 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'OBICUS-Survey'!$E$12:$E$67</c:f>
              <c:numCache>
                <c:formatCode>General</c:formatCode>
                <c:ptCount val="56"/>
                <c:pt idx="0">
                  <c:v>530</c:v>
                </c:pt>
                <c:pt idx="1">
                  <c:v>580</c:v>
                </c:pt>
                <c:pt idx="2">
                  <c:v>600</c:v>
                </c:pt>
                <c:pt idx="3">
                  <c:v>520</c:v>
                </c:pt>
                <c:pt idx="4">
                  <c:v>680</c:v>
                </c:pt>
                <c:pt idx="5">
                  <c:v>740</c:v>
                </c:pt>
                <c:pt idx="6">
                  <c:v>770</c:v>
                </c:pt>
                <c:pt idx="7">
                  <c:v>730</c:v>
                </c:pt>
                <c:pt idx="8">
                  <c:v>720</c:v>
                </c:pt>
                <c:pt idx="9">
                  <c:v>790</c:v>
                </c:pt>
                <c:pt idx="10">
                  <c:v>850</c:v>
                </c:pt>
                <c:pt idx="11">
                  <c:v>691</c:v>
                </c:pt>
                <c:pt idx="12">
                  <c:v>718</c:v>
                </c:pt>
                <c:pt idx="13">
                  <c:v>812</c:v>
                </c:pt>
                <c:pt idx="14">
                  <c:v>884</c:v>
                </c:pt>
                <c:pt idx="15">
                  <c:v>822</c:v>
                </c:pt>
                <c:pt idx="16">
                  <c:v>952</c:v>
                </c:pt>
                <c:pt idx="17">
                  <c:v>923</c:v>
                </c:pt>
                <c:pt idx="18" formatCode="#,##0.00">
                  <c:v>1259</c:v>
                </c:pt>
                <c:pt idx="19" formatCode="#,##0.00">
                  <c:v>1082</c:v>
                </c:pt>
                <c:pt idx="20" formatCode="#,##0.00">
                  <c:v>1132</c:v>
                </c:pt>
                <c:pt idx="21" formatCode="#,##0.00">
                  <c:v>1280</c:v>
                </c:pt>
                <c:pt idx="22" formatCode="#,##0.00">
                  <c:v>1238</c:v>
                </c:pt>
                <c:pt idx="23" formatCode="#,##0.00">
                  <c:v>1467</c:v>
                </c:pt>
                <c:pt idx="24">
                  <c:v>620</c:v>
                </c:pt>
                <c:pt idx="25">
                  <c:v>670</c:v>
                </c:pt>
                <c:pt idx="26">
                  <c:v>619</c:v>
                </c:pt>
                <c:pt idx="27">
                  <c:v>582</c:v>
                </c:pt>
                <c:pt idx="28" formatCode="#,##0.00">
                  <c:v>1262</c:v>
                </c:pt>
                <c:pt idx="29" formatCode="#,##0.00">
                  <c:v>1537</c:v>
                </c:pt>
                <c:pt idx="30" formatCode="#,##0.00">
                  <c:v>1423</c:v>
                </c:pt>
                <c:pt idx="31" formatCode="#,##0.00">
                  <c:v>1043</c:v>
                </c:pt>
                <c:pt idx="32" formatCode="#,##0.00">
                  <c:v>1441</c:v>
                </c:pt>
                <c:pt idx="33" formatCode="#,##0.00">
                  <c:v>1549.9</c:v>
                </c:pt>
                <c:pt idx="34" formatCode="#,##0.00">
                  <c:v>1195.4000000000001</c:v>
                </c:pt>
                <c:pt idx="35" formatCode="#,##0.00">
                  <c:v>1168</c:v>
                </c:pt>
                <c:pt idx="36" formatCode="#,##0.00">
                  <c:v>1922</c:v>
                </c:pt>
                <c:pt idx="37" formatCode="#,##0.00">
                  <c:v>1577.9</c:v>
                </c:pt>
                <c:pt idx="38" formatCode="#,##0.00">
                  <c:v>1447</c:v>
                </c:pt>
                <c:pt idx="39" formatCode="#,##0.00">
                  <c:v>1583</c:v>
                </c:pt>
                <c:pt idx="40" formatCode="#,##0.00">
                  <c:v>1938.4</c:v>
                </c:pt>
                <c:pt idx="41" formatCode="#,##0.00">
                  <c:v>1697.6</c:v>
                </c:pt>
                <c:pt idx="42" formatCode="#,##0.00">
                  <c:v>1595.5</c:v>
                </c:pt>
                <c:pt idx="43" formatCode="#,##0.00">
                  <c:v>1435.1</c:v>
                </c:pt>
                <c:pt idx="44" formatCode="#,##0.00">
                  <c:v>1833.5</c:v>
                </c:pt>
                <c:pt idx="45" formatCode="#,##0.00">
                  <c:v>2087.5</c:v>
                </c:pt>
                <c:pt idx="46" formatCode="#,##0.00">
                  <c:v>1999.6</c:v>
                </c:pt>
                <c:pt idx="47" formatCode="#,##0.00">
                  <c:v>1935</c:v>
                </c:pt>
                <c:pt idx="48" formatCode="#,##0.00">
                  <c:v>2192</c:v>
                </c:pt>
                <c:pt idx="49" formatCode="#,##0.00">
                  <c:v>2383</c:v>
                </c:pt>
                <c:pt idx="50" formatCode="#,##0.00">
                  <c:v>2176</c:v>
                </c:pt>
                <c:pt idx="51" formatCode="#,##0.00">
                  <c:v>1955</c:v>
                </c:pt>
                <c:pt idx="52" formatCode="#,##0.00">
                  <c:v>2254.3000000000002</c:v>
                </c:pt>
                <c:pt idx="53" formatCode="#,##0.00">
                  <c:v>2269</c:v>
                </c:pt>
                <c:pt idx="54" formatCode="#,##0.00">
                  <c:v>2266.6999999999998</c:v>
                </c:pt>
                <c:pt idx="55" formatCode="#,##0.00">
                  <c:v>2259.9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B-7745-95EE-FBFE2872C9D8}"/>
            </c:ext>
          </c:extLst>
        </c:ser>
        <c:ser>
          <c:idx val="1"/>
          <c:order val="1"/>
          <c:tx>
            <c:strRef>
              <c:f>'OBICUS-Survey'!$F$3</c:f>
              <c:strCache>
                <c:ptCount val="1"/>
                <c:pt idx="0">
                  <c:v>Average work-in- progress inventories </c:v>
                </c:pt>
              </c:strCache>
            </c:strRef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'OBICUS-Survey'!$F$12:$F$67</c:f>
              <c:numCache>
                <c:formatCode>General</c:formatCode>
                <c:ptCount val="56"/>
                <c:pt idx="0">
                  <c:v>230</c:v>
                </c:pt>
                <c:pt idx="1">
                  <c:v>250</c:v>
                </c:pt>
                <c:pt idx="2">
                  <c:v>270</c:v>
                </c:pt>
                <c:pt idx="3">
                  <c:v>270</c:v>
                </c:pt>
                <c:pt idx="4">
                  <c:v>310</c:v>
                </c:pt>
                <c:pt idx="5">
                  <c:v>300</c:v>
                </c:pt>
                <c:pt idx="6">
                  <c:v>330</c:v>
                </c:pt>
                <c:pt idx="7">
                  <c:v>310</c:v>
                </c:pt>
                <c:pt idx="8">
                  <c:v>360</c:v>
                </c:pt>
                <c:pt idx="9">
                  <c:v>380</c:v>
                </c:pt>
                <c:pt idx="10">
                  <c:v>370</c:v>
                </c:pt>
                <c:pt idx="11">
                  <c:v>374</c:v>
                </c:pt>
                <c:pt idx="12">
                  <c:v>354</c:v>
                </c:pt>
                <c:pt idx="13">
                  <c:v>356</c:v>
                </c:pt>
                <c:pt idx="14">
                  <c:v>414</c:v>
                </c:pt>
                <c:pt idx="15">
                  <c:v>411</c:v>
                </c:pt>
                <c:pt idx="16">
                  <c:v>376</c:v>
                </c:pt>
                <c:pt idx="17">
                  <c:v>410</c:v>
                </c:pt>
                <c:pt idx="18">
                  <c:v>439</c:v>
                </c:pt>
                <c:pt idx="19">
                  <c:v>411</c:v>
                </c:pt>
                <c:pt idx="20">
                  <c:v>323</c:v>
                </c:pt>
                <c:pt idx="21">
                  <c:v>361</c:v>
                </c:pt>
                <c:pt idx="22">
                  <c:v>343</c:v>
                </c:pt>
                <c:pt idx="23">
                  <c:v>339</c:v>
                </c:pt>
                <c:pt idx="24">
                  <c:v>202</c:v>
                </c:pt>
                <c:pt idx="25">
                  <c:v>237</c:v>
                </c:pt>
                <c:pt idx="26">
                  <c:v>214</c:v>
                </c:pt>
                <c:pt idx="27">
                  <c:v>248</c:v>
                </c:pt>
                <c:pt idx="28">
                  <c:v>432</c:v>
                </c:pt>
                <c:pt idx="29">
                  <c:v>442</c:v>
                </c:pt>
                <c:pt idx="30">
                  <c:v>381</c:v>
                </c:pt>
                <c:pt idx="31">
                  <c:v>341</c:v>
                </c:pt>
                <c:pt idx="32">
                  <c:v>417</c:v>
                </c:pt>
                <c:pt idx="33">
                  <c:v>593.9</c:v>
                </c:pt>
                <c:pt idx="34">
                  <c:v>508.6</c:v>
                </c:pt>
                <c:pt idx="35">
                  <c:v>798</c:v>
                </c:pt>
                <c:pt idx="36">
                  <c:v>599</c:v>
                </c:pt>
                <c:pt idx="37">
                  <c:v>688</c:v>
                </c:pt>
                <c:pt idx="38">
                  <c:v>713</c:v>
                </c:pt>
                <c:pt idx="39">
                  <c:v>729</c:v>
                </c:pt>
                <c:pt idx="40">
                  <c:v>472.9</c:v>
                </c:pt>
                <c:pt idx="41">
                  <c:v>742.6</c:v>
                </c:pt>
                <c:pt idx="42">
                  <c:v>697</c:v>
                </c:pt>
                <c:pt idx="43">
                  <c:v>600.4</c:v>
                </c:pt>
                <c:pt idx="44">
                  <c:v>662.2</c:v>
                </c:pt>
                <c:pt idx="45">
                  <c:v>797.3</c:v>
                </c:pt>
                <c:pt idx="46">
                  <c:v>786.5</c:v>
                </c:pt>
                <c:pt idx="47">
                  <c:v>620</c:v>
                </c:pt>
                <c:pt idx="48">
                  <c:v>798</c:v>
                </c:pt>
                <c:pt idx="49">
                  <c:v>873</c:v>
                </c:pt>
                <c:pt idx="50">
                  <c:v>732</c:v>
                </c:pt>
                <c:pt idx="51">
                  <c:v>671</c:v>
                </c:pt>
                <c:pt idx="52">
                  <c:v>626.9</c:v>
                </c:pt>
                <c:pt idx="53">
                  <c:v>628</c:v>
                </c:pt>
                <c:pt idx="54" formatCode="#,##0.00">
                  <c:v>1204.4000000000001</c:v>
                </c:pt>
                <c:pt idx="55" formatCode="#,##0.00">
                  <c:v>1102.7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B-7745-95EE-FBFE2872C9D8}"/>
            </c:ext>
          </c:extLst>
        </c:ser>
        <c:ser>
          <c:idx val="2"/>
          <c:order val="2"/>
          <c:tx>
            <c:strRef>
              <c:f>'OBICUS-Survey'!$G$3</c:f>
              <c:strCache>
                <c:ptCount val="1"/>
                <c:pt idx="0">
                  <c:v>Average raw material  inventories </c:v>
                </c:pt>
              </c:strCache>
            </c:strRef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'OBICUS-Survey'!$A$12:$A$67</c:f>
              <c:numCache>
                <c:formatCode>mmm\-yy</c:formatCode>
                <c:ptCount val="56"/>
                <c:pt idx="0">
                  <c:v>40238</c:v>
                </c:pt>
                <c:pt idx="1">
                  <c:v>40330</c:v>
                </c:pt>
                <c:pt idx="2">
                  <c:v>40422</c:v>
                </c:pt>
                <c:pt idx="3">
                  <c:v>40513</c:v>
                </c:pt>
                <c:pt idx="4">
                  <c:v>40603</c:v>
                </c:pt>
                <c:pt idx="5">
                  <c:v>40695</c:v>
                </c:pt>
                <c:pt idx="6">
                  <c:v>40787</c:v>
                </c:pt>
                <c:pt idx="7">
                  <c:v>40878</c:v>
                </c:pt>
                <c:pt idx="8">
                  <c:v>40969</c:v>
                </c:pt>
                <c:pt idx="9">
                  <c:v>41061</c:v>
                </c:pt>
                <c:pt idx="10">
                  <c:v>41153</c:v>
                </c:pt>
                <c:pt idx="11">
                  <c:v>41244</c:v>
                </c:pt>
                <c:pt idx="12">
                  <c:v>41334</c:v>
                </c:pt>
                <c:pt idx="13">
                  <c:v>41426</c:v>
                </c:pt>
                <c:pt idx="14">
                  <c:v>41518</c:v>
                </c:pt>
                <c:pt idx="15">
                  <c:v>41609</c:v>
                </c:pt>
                <c:pt idx="16">
                  <c:v>41699</c:v>
                </c:pt>
                <c:pt idx="17">
                  <c:v>41791</c:v>
                </c:pt>
                <c:pt idx="18">
                  <c:v>41883</c:v>
                </c:pt>
                <c:pt idx="19">
                  <c:v>41974</c:v>
                </c:pt>
                <c:pt idx="20">
                  <c:v>42064</c:v>
                </c:pt>
                <c:pt idx="21">
                  <c:v>42156</c:v>
                </c:pt>
                <c:pt idx="22">
                  <c:v>42248</c:v>
                </c:pt>
                <c:pt idx="23">
                  <c:v>42339</c:v>
                </c:pt>
                <c:pt idx="24">
                  <c:v>42430</c:v>
                </c:pt>
                <c:pt idx="25">
                  <c:v>42522</c:v>
                </c:pt>
                <c:pt idx="26">
                  <c:v>42614</c:v>
                </c:pt>
                <c:pt idx="27">
                  <c:v>42705</c:v>
                </c:pt>
                <c:pt idx="28">
                  <c:v>42795</c:v>
                </c:pt>
                <c:pt idx="29">
                  <c:v>42887</c:v>
                </c:pt>
                <c:pt idx="30">
                  <c:v>42979</c:v>
                </c:pt>
                <c:pt idx="31">
                  <c:v>43070</c:v>
                </c:pt>
                <c:pt idx="32">
                  <c:v>43160</c:v>
                </c:pt>
                <c:pt idx="33">
                  <c:v>43252</c:v>
                </c:pt>
                <c:pt idx="34">
                  <c:v>43344</c:v>
                </c:pt>
                <c:pt idx="35">
                  <c:v>43435</c:v>
                </c:pt>
                <c:pt idx="36">
                  <c:v>43525</c:v>
                </c:pt>
                <c:pt idx="37">
                  <c:v>43617</c:v>
                </c:pt>
                <c:pt idx="38">
                  <c:v>43709</c:v>
                </c:pt>
                <c:pt idx="39">
                  <c:v>43800</c:v>
                </c:pt>
                <c:pt idx="40">
                  <c:v>43891</c:v>
                </c:pt>
                <c:pt idx="41">
                  <c:v>43983</c:v>
                </c:pt>
                <c:pt idx="42">
                  <c:v>44075</c:v>
                </c:pt>
                <c:pt idx="43">
                  <c:v>44166</c:v>
                </c:pt>
                <c:pt idx="44">
                  <c:v>44256</c:v>
                </c:pt>
                <c:pt idx="45">
                  <c:v>44348</c:v>
                </c:pt>
                <c:pt idx="46">
                  <c:v>44440</c:v>
                </c:pt>
                <c:pt idx="47">
                  <c:v>44531</c:v>
                </c:pt>
                <c:pt idx="48">
                  <c:v>44621</c:v>
                </c:pt>
                <c:pt idx="49">
                  <c:v>44713</c:v>
                </c:pt>
                <c:pt idx="50">
                  <c:v>44805</c:v>
                </c:pt>
                <c:pt idx="51">
                  <c:v>44896</c:v>
                </c:pt>
                <c:pt idx="52">
                  <c:v>44986</c:v>
                </c:pt>
                <c:pt idx="53">
                  <c:v>45078</c:v>
                </c:pt>
                <c:pt idx="54">
                  <c:v>45170</c:v>
                </c:pt>
                <c:pt idx="55">
                  <c:v>45261</c:v>
                </c:pt>
              </c:numCache>
            </c:numRef>
          </c:xVal>
          <c:yVal>
            <c:numRef>
              <c:f>'OBICUS-Survey'!$G$12:$G$67</c:f>
              <c:numCache>
                <c:formatCode>General</c:formatCode>
                <c:ptCount val="56"/>
                <c:pt idx="0">
                  <c:v>860</c:v>
                </c:pt>
                <c:pt idx="1">
                  <c:v>850</c:v>
                </c:pt>
                <c:pt idx="2">
                  <c:v>880</c:v>
                </c:pt>
                <c:pt idx="3" formatCode="#,##0.00">
                  <c:v>1080</c:v>
                </c:pt>
                <c:pt idx="4" formatCode="#,##0.00">
                  <c:v>1020</c:v>
                </c:pt>
                <c:pt idx="5" formatCode="#,##0.00">
                  <c:v>1060</c:v>
                </c:pt>
                <c:pt idx="6" formatCode="#,##0.00">
                  <c:v>1020</c:v>
                </c:pt>
                <c:pt idx="7">
                  <c:v>920</c:v>
                </c:pt>
                <c:pt idx="8" formatCode="#,##0.00">
                  <c:v>1150</c:v>
                </c:pt>
                <c:pt idx="9" formatCode="#,##0.00">
                  <c:v>1180</c:v>
                </c:pt>
                <c:pt idx="10" formatCode="#,##0.00">
                  <c:v>1130</c:v>
                </c:pt>
                <c:pt idx="11" formatCode="#,##0.00">
                  <c:v>1338</c:v>
                </c:pt>
                <c:pt idx="12" formatCode="#,##0.00">
                  <c:v>1149</c:v>
                </c:pt>
                <c:pt idx="13" formatCode="#,##0.00">
                  <c:v>1144</c:v>
                </c:pt>
                <c:pt idx="14" formatCode="#,##0.00">
                  <c:v>1219</c:v>
                </c:pt>
                <c:pt idx="15" formatCode="#,##0.00">
                  <c:v>1187</c:v>
                </c:pt>
                <c:pt idx="16" formatCode="#,##0.00">
                  <c:v>1232</c:v>
                </c:pt>
                <c:pt idx="17" formatCode="#,##0.00">
                  <c:v>1240</c:v>
                </c:pt>
                <c:pt idx="18" formatCode="#,##0.00">
                  <c:v>1486</c:v>
                </c:pt>
                <c:pt idx="19" formatCode="#,##0.00">
                  <c:v>1248</c:v>
                </c:pt>
                <c:pt idx="20" formatCode="#,##0.00">
                  <c:v>1221</c:v>
                </c:pt>
                <c:pt idx="21" formatCode="#,##0.00">
                  <c:v>1210</c:v>
                </c:pt>
                <c:pt idx="22" formatCode="#,##0.00">
                  <c:v>1344</c:v>
                </c:pt>
                <c:pt idx="23" formatCode="#,##0.00">
                  <c:v>1372</c:v>
                </c:pt>
                <c:pt idx="24">
                  <c:v>682</c:v>
                </c:pt>
                <c:pt idx="25">
                  <c:v>751</c:v>
                </c:pt>
                <c:pt idx="26">
                  <c:v>715</c:v>
                </c:pt>
                <c:pt idx="27">
                  <c:v>782</c:v>
                </c:pt>
                <c:pt idx="28" formatCode="#,##0.00">
                  <c:v>2158</c:v>
                </c:pt>
                <c:pt idx="29" formatCode="#,##0.00">
                  <c:v>2200</c:v>
                </c:pt>
                <c:pt idx="30" formatCode="#,##0.00">
                  <c:v>2122</c:v>
                </c:pt>
                <c:pt idx="31" formatCode="#,##0.00">
                  <c:v>1876</c:v>
                </c:pt>
                <c:pt idx="32" formatCode="#,##0.00">
                  <c:v>2061</c:v>
                </c:pt>
                <c:pt idx="33" formatCode="#,##0.00">
                  <c:v>2122.3000000000002</c:v>
                </c:pt>
                <c:pt idx="34" formatCode="#,##0.00">
                  <c:v>2119.8000000000002</c:v>
                </c:pt>
                <c:pt idx="35" formatCode="#,##0.00">
                  <c:v>2244</c:v>
                </c:pt>
                <c:pt idx="36" formatCode="#,##0.00">
                  <c:v>2471</c:v>
                </c:pt>
                <c:pt idx="37" formatCode="#,##0.00">
                  <c:v>3046.2</c:v>
                </c:pt>
                <c:pt idx="38" formatCode="#,##0.00">
                  <c:v>2671</c:v>
                </c:pt>
                <c:pt idx="39" formatCode="#,##0.00">
                  <c:v>3053</c:v>
                </c:pt>
                <c:pt idx="40" formatCode="#,##0.00">
                  <c:v>3690.9</c:v>
                </c:pt>
                <c:pt idx="41" formatCode="#,##0.00">
                  <c:v>1958.8</c:v>
                </c:pt>
                <c:pt idx="42" formatCode="#,##0.00">
                  <c:v>1802.9</c:v>
                </c:pt>
                <c:pt idx="43" formatCode="#,##0.00">
                  <c:v>1687.6</c:v>
                </c:pt>
                <c:pt idx="44" formatCode="#,##0.00">
                  <c:v>1401</c:v>
                </c:pt>
                <c:pt idx="45" formatCode="#,##0.00">
                  <c:v>1550</c:v>
                </c:pt>
                <c:pt idx="46" formatCode="#,##0.00">
                  <c:v>1632</c:v>
                </c:pt>
                <c:pt idx="47" formatCode="#,##0.00">
                  <c:v>1533</c:v>
                </c:pt>
                <c:pt idx="48" formatCode="#,##0.00">
                  <c:v>1820</c:v>
                </c:pt>
                <c:pt idx="49" formatCode="#,##0.00">
                  <c:v>1989</c:v>
                </c:pt>
                <c:pt idx="50" formatCode="#,##0.00">
                  <c:v>1653</c:v>
                </c:pt>
                <c:pt idx="51" formatCode="#,##0.00">
                  <c:v>2024</c:v>
                </c:pt>
                <c:pt idx="52" formatCode="#,##0.00">
                  <c:v>2062</c:v>
                </c:pt>
                <c:pt idx="53" formatCode="#,##0.00">
                  <c:v>1957</c:v>
                </c:pt>
                <c:pt idx="54" formatCode="#,##0.00">
                  <c:v>2038</c:v>
                </c:pt>
                <c:pt idx="55" formatCode="#,##0.00">
                  <c:v>1874.7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B-7745-95EE-FBFE2872C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452432"/>
        <c:axId val="1031378384"/>
      </c:scatterChart>
      <c:valAx>
        <c:axId val="107745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378384"/>
        <c:crosses val="autoZero"/>
        <c:crossBetween val="midCat"/>
      </c:valAx>
      <c:valAx>
        <c:axId val="10313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INR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52432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84952471069872"/>
          <c:y val="0.89776862507571165"/>
          <c:w val="0.72630095057860256"/>
          <c:h val="8.6846759539672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External Financial Flows (Net Inward) - USD Million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'BOP-FinAcct'!$C$3</c:f>
              <c:strCache>
                <c:ptCount val="1"/>
                <c:pt idx="0">
                  <c:v>Direct investments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'BOP-FinAcct'!$C$4:$C$14</c:f>
              <c:numCache>
                <c:formatCode>#,##0.00</c:formatCode>
                <c:ptCount val="11"/>
                <c:pt idx="0">
                  <c:v>22061</c:v>
                </c:pt>
                <c:pt idx="1">
                  <c:v>19819.400000000001</c:v>
                </c:pt>
                <c:pt idx="2">
                  <c:v>21564.1</c:v>
                </c:pt>
                <c:pt idx="3">
                  <c:v>31251.4</c:v>
                </c:pt>
                <c:pt idx="4">
                  <c:v>36021</c:v>
                </c:pt>
                <c:pt idx="5">
                  <c:v>35612.199999999997</c:v>
                </c:pt>
                <c:pt idx="6">
                  <c:v>30286.1</c:v>
                </c:pt>
                <c:pt idx="7">
                  <c:v>30712</c:v>
                </c:pt>
                <c:pt idx="8">
                  <c:v>43013.2</c:v>
                </c:pt>
                <c:pt idx="9">
                  <c:v>43955.1</c:v>
                </c:pt>
                <c:pt idx="10">
                  <c:v>38587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C-DA44-9938-281ADB35C0D7}"/>
            </c:ext>
          </c:extLst>
        </c:ser>
        <c:ser>
          <c:idx val="1"/>
          <c:order val="1"/>
          <c:tx>
            <c:strRef>
              <c:f>'BOP-FinAcct'!$D$3</c:f>
              <c:strCache>
                <c:ptCount val="1"/>
                <c:pt idx="0">
                  <c:v>Portfolio  investments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'BOP-FinAcct'!$D$4:$D$14</c:f>
              <c:numCache>
                <c:formatCode>#,##0.00</c:formatCode>
                <c:ptCount val="11"/>
                <c:pt idx="0">
                  <c:v>16573</c:v>
                </c:pt>
                <c:pt idx="1">
                  <c:v>26704</c:v>
                </c:pt>
                <c:pt idx="2">
                  <c:v>4801.8999999999996</c:v>
                </c:pt>
                <c:pt idx="3">
                  <c:v>40934</c:v>
                </c:pt>
                <c:pt idx="4">
                  <c:v>-4503.2</c:v>
                </c:pt>
                <c:pt idx="5">
                  <c:v>7611.6</c:v>
                </c:pt>
                <c:pt idx="6">
                  <c:v>22114.9</c:v>
                </c:pt>
                <c:pt idx="7">
                  <c:v>-2438</c:v>
                </c:pt>
                <c:pt idx="8">
                  <c:v>1403.4</c:v>
                </c:pt>
                <c:pt idx="9">
                  <c:v>36136.800000000003</c:v>
                </c:pt>
                <c:pt idx="10">
                  <c:v>-16777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C-DA44-9938-281ADB35C0D7}"/>
            </c:ext>
          </c:extLst>
        </c:ser>
        <c:ser>
          <c:idx val="2"/>
          <c:order val="2"/>
          <c:tx>
            <c:strRef>
              <c:f>'BOP-FinAcct'!$E$3</c:f>
              <c:strCache>
                <c:ptCount val="1"/>
                <c:pt idx="0">
                  <c:v>Financial  derivatives (other  than reserves) and  employee stock  options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layout>
                <c:manualLayout>
                  <c:x val="-0.25355651350543212"/>
                  <c:y val="-0.21192549229775584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'BOP-FinAcct'!$E$4:$E$14</c:f>
              <c:numCache>
                <c:formatCode>#,##0.00</c:formatCode>
                <c:ptCount val="11"/>
                <c:pt idx="1">
                  <c:v>-2314.5</c:v>
                </c:pt>
                <c:pt idx="2">
                  <c:v>2006.3</c:v>
                </c:pt>
                <c:pt idx="3">
                  <c:v>-1563.2</c:v>
                </c:pt>
                <c:pt idx="4" formatCode="General">
                  <c:v>631</c:v>
                </c:pt>
                <c:pt idx="5">
                  <c:v>9821.7999999999993</c:v>
                </c:pt>
                <c:pt idx="6">
                  <c:v>-2870</c:v>
                </c:pt>
                <c:pt idx="7">
                  <c:v>1032.0999999999999</c:v>
                </c:pt>
                <c:pt idx="8">
                  <c:v>4098.8999999999996</c:v>
                </c:pt>
                <c:pt idx="9">
                  <c:v>-4800.3</c:v>
                </c:pt>
                <c:pt idx="10">
                  <c:v>-6412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C-DA44-9938-281ADB35C0D7}"/>
            </c:ext>
          </c:extLst>
        </c:ser>
        <c:ser>
          <c:idx val="3"/>
          <c:order val="3"/>
          <c:tx>
            <c:strRef>
              <c:f>'BOP-FinAcct'!$F$3</c:f>
              <c:strCache>
                <c:ptCount val="1"/>
                <c:pt idx="0">
                  <c:v>Other investments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'BOP-FinAcct'!$A$4:$A$14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'BOP-FinAcct'!$F$4:$F$14</c:f>
              <c:numCache>
                <c:formatCode>#,##0.00</c:formatCode>
                <c:ptCount val="11"/>
                <c:pt idx="0">
                  <c:v>29208</c:v>
                </c:pt>
                <c:pt idx="1">
                  <c:v>45173.3</c:v>
                </c:pt>
                <c:pt idx="2">
                  <c:v>19717.099999999999</c:v>
                </c:pt>
                <c:pt idx="3">
                  <c:v>18508.8</c:v>
                </c:pt>
                <c:pt idx="4">
                  <c:v>8876</c:v>
                </c:pt>
                <c:pt idx="5">
                  <c:v>-16780</c:v>
                </c:pt>
                <c:pt idx="6">
                  <c:v>41831.699999999997</c:v>
                </c:pt>
                <c:pt idx="7">
                  <c:v>25184.2</c:v>
                </c:pt>
                <c:pt idx="8">
                  <c:v>35650.199999999997</c:v>
                </c:pt>
                <c:pt idx="9">
                  <c:v>-10594</c:v>
                </c:pt>
                <c:pt idx="10">
                  <c:v>70533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3C-DA44-9938-281ADB35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670864"/>
        <c:axId val="1036438736"/>
      </c:barChart>
      <c:lineChart>
        <c:grouping val="standard"/>
        <c:varyColors val="0"/>
        <c:ser>
          <c:idx val="4"/>
          <c:order val="4"/>
          <c:tx>
            <c:strRef>
              <c:f>'BOP-FinAcct'!$G$3</c:f>
              <c:strCache>
                <c:ptCount val="1"/>
                <c:pt idx="0">
                  <c:v>Reserve assets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0"/>
              <c:layout>
                <c:manualLayout>
                  <c:x val="0"/>
                  <c:y val="-1.7452006980802792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3C-DA44-9938-281ADB35C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'BOP-FinAcct'!$A$3:$A$14</c:f>
              <c:strCache>
                <c:ptCount val="12"/>
                <c:pt idx="0">
                  <c:v>Year 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</c:strCache>
            </c:strRef>
          </c:cat>
          <c:val>
            <c:numRef>
              <c:f>'BOP-FinAcct'!$G$4:$G$14</c:f>
              <c:numCache>
                <c:formatCode>#,##0.00</c:formatCode>
                <c:ptCount val="11"/>
                <c:pt idx="0">
                  <c:v>12831</c:v>
                </c:pt>
                <c:pt idx="1">
                  <c:v>-3826</c:v>
                </c:pt>
                <c:pt idx="2">
                  <c:v>-15508.4</c:v>
                </c:pt>
                <c:pt idx="3">
                  <c:v>-61406.400000000001</c:v>
                </c:pt>
                <c:pt idx="4">
                  <c:v>-17904.7</c:v>
                </c:pt>
                <c:pt idx="5">
                  <c:v>-21550.3</c:v>
                </c:pt>
                <c:pt idx="6">
                  <c:v>-43574.400000000001</c:v>
                </c:pt>
                <c:pt idx="7">
                  <c:v>3339.4</c:v>
                </c:pt>
                <c:pt idx="8">
                  <c:v>-59498.1</c:v>
                </c:pt>
                <c:pt idx="9">
                  <c:v>-87286.5</c:v>
                </c:pt>
                <c:pt idx="10">
                  <c:v>-47501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3C-DA44-9938-281ADB35C0D7}"/>
            </c:ext>
          </c:extLst>
        </c:ser>
        <c:ser>
          <c:idx val="5"/>
          <c:order val="5"/>
          <c:tx>
            <c:strRef>
              <c:f>'BOP-FinAcct'!$B$3</c:f>
              <c:strCache>
                <c:ptCount val="1"/>
                <c:pt idx="0">
                  <c:v>Total 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'BOP-FinAcct'!$A$3:$A$14</c:f>
              <c:strCache>
                <c:ptCount val="12"/>
                <c:pt idx="0">
                  <c:v>Year 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</c:strCache>
            </c:strRef>
          </c:cat>
          <c:val>
            <c:numRef>
              <c:f>'BOP-FinAcct'!$B$4:$B$14</c:f>
              <c:numCache>
                <c:formatCode>#,##0.00</c:formatCode>
                <c:ptCount val="11"/>
                <c:pt idx="0">
                  <c:v>80673</c:v>
                </c:pt>
                <c:pt idx="1">
                  <c:v>85448.7</c:v>
                </c:pt>
                <c:pt idx="2">
                  <c:v>32580.9</c:v>
                </c:pt>
                <c:pt idx="3">
                  <c:v>27724.7</c:v>
                </c:pt>
                <c:pt idx="4">
                  <c:v>23120.2</c:v>
                </c:pt>
                <c:pt idx="5">
                  <c:v>14715.2</c:v>
                </c:pt>
                <c:pt idx="6">
                  <c:v>47788.4</c:v>
                </c:pt>
                <c:pt idx="7">
                  <c:v>57829.599999999999</c:v>
                </c:pt>
                <c:pt idx="8">
                  <c:v>24667.599999999999</c:v>
                </c:pt>
                <c:pt idx="9">
                  <c:v>-22588.9</c:v>
                </c:pt>
                <c:pt idx="10">
                  <c:v>38430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3C-DA44-9938-281ADB35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670864"/>
        <c:axId val="1036438736"/>
      </c:lineChart>
      <c:catAx>
        <c:axId val="114167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38736"/>
        <c:crosses val="autoZero"/>
        <c:auto val="1"/>
        <c:lblAlgn val="ctr"/>
        <c:lblOffset val="100"/>
        <c:noMultiLvlLbl val="0"/>
      </c:catAx>
      <c:valAx>
        <c:axId val="10364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Unemployment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'Unemp-rate'!$B$4</c:f>
              <c:strCache>
                <c:ptCount val="1"/>
                <c:pt idx="0">
                  <c:v>Total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'Unemp-rate'!$B$5:$B$64</c:f>
              <c:numCache>
                <c:formatCode>General</c:formatCode>
                <c:ptCount val="60"/>
                <c:pt idx="0">
                  <c:v>4.07</c:v>
                </c:pt>
                <c:pt idx="1">
                  <c:v>4.63</c:v>
                </c:pt>
                <c:pt idx="2">
                  <c:v>5</c:v>
                </c:pt>
                <c:pt idx="3">
                  <c:v>4.72</c:v>
                </c:pt>
                <c:pt idx="4">
                  <c:v>4.74</c:v>
                </c:pt>
                <c:pt idx="5">
                  <c:v>5.01</c:v>
                </c:pt>
                <c:pt idx="6">
                  <c:v>5.87</c:v>
                </c:pt>
                <c:pt idx="7">
                  <c:v>6</c:v>
                </c:pt>
                <c:pt idx="8">
                  <c:v>5.57</c:v>
                </c:pt>
                <c:pt idx="9">
                  <c:v>5.14</c:v>
                </c:pt>
                <c:pt idx="10">
                  <c:v>5.75</c:v>
                </c:pt>
                <c:pt idx="11">
                  <c:v>5.66</c:v>
                </c:pt>
                <c:pt idx="12">
                  <c:v>6.27</c:v>
                </c:pt>
                <c:pt idx="13">
                  <c:v>6.47</c:v>
                </c:pt>
                <c:pt idx="14">
                  <c:v>6.83</c:v>
                </c:pt>
                <c:pt idx="15">
                  <c:v>6.65</c:v>
                </c:pt>
                <c:pt idx="16">
                  <c:v>7.02</c:v>
                </c:pt>
                <c:pt idx="17">
                  <c:v>6.86</c:v>
                </c:pt>
                <c:pt idx="18">
                  <c:v>7.2</c:v>
                </c:pt>
                <c:pt idx="19">
                  <c:v>6.65</c:v>
                </c:pt>
                <c:pt idx="20">
                  <c:v>7.35</c:v>
                </c:pt>
                <c:pt idx="21">
                  <c:v>7.03</c:v>
                </c:pt>
                <c:pt idx="22">
                  <c:v>7.87</c:v>
                </c:pt>
                <c:pt idx="23">
                  <c:v>7.34</c:v>
                </c:pt>
                <c:pt idx="24">
                  <c:v>8.19</c:v>
                </c:pt>
                <c:pt idx="25">
                  <c:v>7.14</c:v>
                </c:pt>
                <c:pt idx="26">
                  <c:v>8.1</c:v>
                </c:pt>
                <c:pt idx="27">
                  <c:v>7.23</c:v>
                </c:pt>
                <c:pt idx="28">
                  <c:v>7.6</c:v>
                </c:pt>
                <c:pt idx="29">
                  <c:v>7.22</c:v>
                </c:pt>
                <c:pt idx="30">
                  <c:v>7.76</c:v>
                </c:pt>
                <c:pt idx="31">
                  <c:v>8.75</c:v>
                </c:pt>
                <c:pt idx="32">
                  <c:v>23.52</c:v>
                </c:pt>
                <c:pt idx="33">
                  <c:v>21.73</c:v>
                </c:pt>
                <c:pt idx="34">
                  <c:v>10.18</c:v>
                </c:pt>
                <c:pt idx="35">
                  <c:v>7.4</c:v>
                </c:pt>
                <c:pt idx="36">
                  <c:v>8.35</c:v>
                </c:pt>
                <c:pt idx="37">
                  <c:v>6.68</c:v>
                </c:pt>
                <c:pt idx="38">
                  <c:v>7.02</c:v>
                </c:pt>
                <c:pt idx="39">
                  <c:v>6.5</c:v>
                </c:pt>
                <c:pt idx="40">
                  <c:v>9.06</c:v>
                </c:pt>
                <c:pt idx="41">
                  <c:v>6.52</c:v>
                </c:pt>
                <c:pt idx="42">
                  <c:v>6.89</c:v>
                </c:pt>
                <c:pt idx="43">
                  <c:v>6.5</c:v>
                </c:pt>
                <c:pt idx="44">
                  <c:v>7.97</c:v>
                </c:pt>
                <c:pt idx="45">
                  <c:v>11.84</c:v>
                </c:pt>
                <c:pt idx="46">
                  <c:v>9.17</c:v>
                </c:pt>
                <c:pt idx="47">
                  <c:v>6.96</c:v>
                </c:pt>
                <c:pt idx="48">
                  <c:v>8.32</c:v>
                </c:pt>
                <c:pt idx="49">
                  <c:v>6.86</c:v>
                </c:pt>
                <c:pt idx="50">
                  <c:v>7.74</c:v>
                </c:pt>
                <c:pt idx="51">
                  <c:v>6.97</c:v>
                </c:pt>
                <c:pt idx="52">
                  <c:v>7.91</c:v>
                </c:pt>
                <c:pt idx="53">
                  <c:v>6.56</c:v>
                </c:pt>
                <c:pt idx="54">
                  <c:v>8.11</c:v>
                </c:pt>
                <c:pt idx="55">
                  <c:v>7.57</c:v>
                </c:pt>
                <c:pt idx="56">
                  <c:v>7.83</c:v>
                </c:pt>
                <c:pt idx="57">
                  <c:v>7.12</c:v>
                </c:pt>
                <c:pt idx="58">
                  <c:v>7.8</c:v>
                </c:pt>
                <c:pt idx="5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7-0848-9FFB-E7649DA4C257}"/>
            </c:ext>
          </c:extLst>
        </c:ser>
        <c:ser>
          <c:idx val="1"/>
          <c:order val="1"/>
          <c:tx>
            <c:strRef>
              <c:f>'Unemp-rate'!$C$4</c:f>
              <c:strCache>
                <c:ptCount val="1"/>
                <c:pt idx="0">
                  <c:v>Male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'Unemp-rate'!$C$5:$C$64</c:f>
              <c:numCache>
                <c:formatCode>General</c:formatCode>
                <c:ptCount val="60"/>
                <c:pt idx="0">
                  <c:v>3.33</c:v>
                </c:pt>
                <c:pt idx="1">
                  <c:v>3.59</c:v>
                </c:pt>
                <c:pt idx="2">
                  <c:v>3.8</c:v>
                </c:pt>
                <c:pt idx="3">
                  <c:v>3.78</c:v>
                </c:pt>
                <c:pt idx="4">
                  <c:v>4.03</c:v>
                </c:pt>
                <c:pt idx="5">
                  <c:v>3.86</c:v>
                </c:pt>
                <c:pt idx="6">
                  <c:v>4.5199999999999996</c:v>
                </c:pt>
                <c:pt idx="7">
                  <c:v>4.8499999999999996</c:v>
                </c:pt>
                <c:pt idx="8">
                  <c:v>4.6399999999999997</c:v>
                </c:pt>
                <c:pt idx="9">
                  <c:v>4.08</c:v>
                </c:pt>
                <c:pt idx="10">
                  <c:v>4.55</c:v>
                </c:pt>
                <c:pt idx="11">
                  <c:v>4.57</c:v>
                </c:pt>
                <c:pt idx="12">
                  <c:v>5.15</c:v>
                </c:pt>
                <c:pt idx="13">
                  <c:v>4.97</c:v>
                </c:pt>
                <c:pt idx="14">
                  <c:v>5.5</c:v>
                </c:pt>
                <c:pt idx="15">
                  <c:v>5.43</c:v>
                </c:pt>
                <c:pt idx="16">
                  <c:v>5.75</c:v>
                </c:pt>
                <c:pt idx="17">
                  <c:v>5.34</c:v>
                </c:pt>
                <c:pt idx="18">
                  <c:v>5.88</c:v>
                </c:pt>
                <c:pt idx="19">
                  <c:v>5.6</c:v>
                </c:pt>
                <c:pt idx="20">
                  <c:v>6.09</c:v>
                </c:pt>
                <c:pt idx="21">
                  <c:v>5.59</c:v>
                </c:pt>
                <c:pt idx="22">
                  <c:v>6.44</c:v>
                </c:pt>
                <c:pt idx="23">
                  <c:v>6.05</c:v>
                </c:pt>
                <c:pt idx="24">
                  <c:v>6.75</c:v>
                </c:pt>
                <c:pt idx="25">
                  <c:v>5.92</c:v>
                </c:pt>
                <c:pt idx="26">
                  <c:v>6.43</c:v>
                </c:pt>
                <c:pt idx="27">
                  <c:v>6.07</c:v>
                </c:pt>
                <c:pt idx="28">
                  <c:v>6.25</c:v>
                </c:pt>
                <c:pt idx="29">
                  <c:v>6.03</c:v>
                </c:pt>
                <c:pt idx="30">
                  <c:v>6.36</c:v>
                </c:pt>
                <c:pt idx="31">
                  <c:v>7.61</c:v>
                </c:pt>
                <c:pt idx="32">
                  <c:v>22.89</c:v>
                </c:pt>
                <c:pt idx="33">
                  <c:v>21.28</c:v>
                </c:pt>
                <c:pt idx="34">
                  <c:v>9.5299999999999994</c:v>
                </c:pt>
                <c:pt idx="35">
                  <c:v>6.68</c:v>
                </c:pt>
                <c:pt idx="36">
                  <c:v>7.29</c:v>
                </c:pt>
                <c:pt idx="37">
                  <c:v>6.18</c:v>
                </c:pt>
                <c:pt idx="38">
                  <c:v>6.06</c:v>
                </c:pt>
                <c:pt idx="39">
                  <c:v>5.37</c:v>
                </c:pt>
                <c:pt idx="40">
                  <c:v>7.39</c:v>
                </c:pt>
                <c:pt idx="41">
                  <c:v>5.67</c:v>
                </c:pt>
                <c:pt idx="42">
                  <c:v>6.22</c:v>
                </c:pt>
                <c:pt idx="43">
                  <c:v>5.7</c:v>
                </c:pt>
                <c:pt idx="44">
                  <c:v>6.93</c:v>
                </c:pt>
                <c:pt idx="45">
                  <c:v>11.2</c:v>
                </c:pt>
                <c:pt idx="46">
                  <c:v>8.56</c:v>
                </c:pt>
                <c:pt idx="47">
                  <c:v>6.18</c:v>
                </c:pt>
                <c:pt idx="48">
                  <c:v>7.42</c:v>
                </c:pt>
                <c:pt idx="49">
                  <c:v>6.53</c:v>
                </c:pt>
                <c:pt idx="50">
                  <c:v>7.01</c:v>
                </c:pt>
                <c:pt idx="51">
                  <c:v>6.14</c:v>
                </c:pt>
                <c:pt idx="52">
                  <c:v>6.83</c:v>
                </c:pt>
                <c:pt idx="53">
                  <c:v>6.11</c:v>
                </c:pt>
                <c:pt idx="54">
                  <c:v>6.96</c:v>
                </c:pt>
                <c:pt idx="55">
                  <c:v>6.63</c:v>
                </c:pt>
                <c:pt idx="56">
                  <c:v>6.67</c:v>
                </c:pt>
                <c:pt idx="57">
                  <c:v>6.49</c:v>
                </c:pt>
                <c:pt idx="58">
                  <c:v>6.71</c:v>
                </c:pt>
                <c:pt idx="59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7-0848-9FFB-E7649DA4C257}"/>
            </c:ext>
          </c:extLst>
        </c:ser>
        <c:ser>
          <c:idx val="2"/>
          <c:order val="2"/>
          <c:tx>
            <c:strRef>
              <c:f>'Unemp-rate'!$D$4</c:f>
              <c:strCache>
                <c:ptCount val="1"/>
                <c:pt idx="0">
                  <c:v>Female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2.0293122886133032E-2"/>
                  <c:y val="-0.14579439252336449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7-0848-9FFB-E7649DA4C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'Unemp-rate'!$A$5:$A$64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'Unemp-rate'!$D$5:$D$64</c:f>
              <c:numCache>
                <c:formatCode>General</c:formatCode>
                <c:ptCount val="60"/>
                <c:pt idx="0">
                  <c:v>9.2899999999999991</c:v>
                </c:pt>
                <c:pt idx="1">
                  <c:v>11.96</c:v>
                </c:pt>
                <c:pt idx="2">
                  <c:v>13.44</c:v>
                </c:pt>
                <c:pt idx="3">
                  <c:v>10.95</c:v>
                </c:pt>
                <c:pt idx="4">
                  <c:v>9.48</c:v>
                </c:pt>
                <c:pt idx="5">
                  <c:v>12.93</c:v>
                </c:pt>
                <c:pt idx="6">
                  <c:v>14.96</c:v>
                </c:pt>
                <c:pt idx="7">
                  <c:v>14.02</c:v>
                </c:pt>
                <c:pt idx="8">
                  <c:v>12.62</c:v>
                </c:pt>
                <c:pt idx="9">
                  <c:v>13.03</c:v>
                </c:pt>
                <c:pt idx="10">
                  <c:v>14.73</c:v>
                </c:pt>
                <c:pt idx="11">
                  <c:v>13.39</c:v>
                </c:pt>
                <c:pt idx="12">
                  <c:v>14.83</c:v>
                </c:pt>
                <c:pt idx="13">
                  <c:v>16.59</c:v>
                </c:pt>
                <c:pt idx="14">
                  <c:v>16.989999999999998</c:v>
                </c:pt>
                <c:pt idx="15">
                  <c:v>14.86</c:v>
                </c:pt>
                <c:pt idx="16">
                  <c:v>16.510000000000002</c:v>
                </c:pt>
                <c:pt idx="17">
                  <c:v>17.079999999999998</c:v>
                </c:pt>
                <c:pt idx="18">
                  <c:v>17.04</c:v>
                </c:pt>
                <c:pt idx="19">
                  <c:v>14.12</c:v>
                </c:pt>
                <c:pt idx="20">
                  <c:v>16.98</c:v>
                </c:pt>
                <c:pt idx="21">
                  <c:v>17.399999999999999</c:v>
                </c:pt>
                <c:pt idx="22">
                  <c:v>18.98</c:v>
                </c:pt>
                <c:pt idx="23">
                  <c:v>16.64</c:v>
                </c:pt>
                <c:pt idx="24">
                  <c:v>18.63</c:v>
                </c:pt>
                <c:pt idx="25">
                  <c:v>15.91</c:v>
                </c:pt>
                <c:pt idx="26">
                  <c:v>20.58</c:v>
                </c:pt>
                <c:pt idx="27">
                  <c:v>15.74</c:v>
                </c:pt>
                <c:pt idx="28">
                  <c:v>17.34</c:v>
                </c:pt>
                <c:pt idx="29">
                  <c:v>15.68</c:v>
                </c:pt>
                <c:pt idx="30">
                  <c:v>18.399999999999999</c:v>
                </c:pt>
                <c:pt idx="31">
                  <c:v>17.41</c:v>
                </c:pt>
                <c:pt idx="32">
                  <c:v>29.22</c:v>
                </c:pt>
                <c:pt idx="33">
                  <c:v>25.36</c:v>
                </c:pt>
                <c:pt idx="34">
                  <c:v>15.38</c:v>
                </c:pt>
                <c:pt idx="35">
                  <c:v>12.92</c:v>
                </c:pt>
                <c:pt idx="36">
                  <c:v>16.850000000000001</c:v>
                </c:pt>
                <c:pt idx="37">
                  <c:v>10.61</c:v>
                </c:pt>
                <c:pt idx="38">
                  <c:v>14.89</c:v>
                </c:pt>
                <c:pt idx="39">
                  <c:v>15.82</c:v>
                </c:pt>
                <c:pt idx="40">
                  <c:v>22.85</c:v>
                </c:pt>
                <c:pt idx="41">
                  <c:v>13.06</c:v>
                </c:pt>
                <c:pt idx="42">
                  <c:v>12.45</c:v>
                </c:pt>
                <c:pt idx="43">
                  <c:v>12.8</c:v>
                </c:pt>
                <c:pt idx="44">
                  <c:v>17</c:v>
                </c:pt>
                <c:pt idx="45">
                  <c:v>16.77</c:v>
                </c:pt>
                <c:pt idx="46">
                  <c:v>14.49</c:v>
                </c:pt>
                <c:pt idx="47">
                  <c:v>13.32</c:v>
                </c:pt>
                <c:pt idx="48">
                  <c:v>15.5</c:v>
                </c:pt>
                <c:pt idx="49">
                  <c:v>9.39</c:v>
                </c:pt>
                <c:pt idx="50">
                  <c:v>13.68</c:v>
                </c:pt>
                <c:pt idx="51">
                  <c:v>13.88</c:v>
                </c:pt>
                <c:pt idx="52">
                  <c:v>16.45</c:v>
                </c:pt>
                <c:pt idx="53">
                  <c:v>10.07</c:v>
                </c:pt>
                <c:pt idx="54">
                  <c:v>17.59</c:v>
                </c:pt>
                <c:pt idx="55">
                  <c:v>15.6</c:v>
                </c:pt>
                <c:pt idx="56">
                  <c:v>17.05</c:v>
                </c:pt>
                <c:pt idx="57">
                  <c:v>12.17</c:v>
                </c:pt>
                <c:pt idx="58">
                  <c:v>18.09</c:v>
                </c:pt>
                <c:pt idx="59">
                  <c:v>14.34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7-0848-9FFB-E7649DA4C2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7778288"/>
        <c:axId val="1707886784"/>
      </c:lineChart>
      <c:dateAx>
        <c:axId val="1707778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86784"/>
        <c:crosses val="autoZero"/>
        <c:auto val="1"/>
        <c:lblOffset val="100"/>
        <c:baseTimeUnit val="months"/>
      </c:dateAx>
      <c:valAx>
        <c:axId val="17078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7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Labour</a:t>
            </a:r>
            <a:r>
              <a:rPr lang="en-GB" baseline="0"/>
              <a:t> Force Participation by Gender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LFPR!$B$4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LFPR!$B$25:$B$64</c:f>
              <c:numCache>
                <c:formatCode>General</c:formatCode>
                <c:ptCount val="40"/>
                <c:pt idx="0">
                  <c:v>43.49</c:v>
                </c:pt>
                <c:pt idx="1">
                  <c:v>43.75</c:v>
                </c:pt>
                <c:pt idx="2">
                  <c:v>44.09</c:v>
                </c:pt>
                <c:pt idx="3">
                  <c:v>43.96</c:v>
                </c:pt>
                <c:pt idx="4">
                  <c:v>44.19</c:v>
                </c:pt>
                <c:pt idx="5">
                  <c:v>43.99</c:v>
                </c:pt>
                <c:pt idx="6">
                  <c:v>44.04</c:v>
                </c:pt>
                <c:pt idx="7">
                  <c:v>43.41</c:v>
                </c:pt>
                <c:pt idx="8">
                  <c:v>43.57</c:v>
                </c:pt>
                <c:pt idx="9">
                  <c:v>43.84</c:v>
                </c:pt>
                <c:pt idx="10">
                  <c:v>43.6</c:v>
                </c:pt>
                <c:pt idx="11">
                  <c:v>43.48</c:v>
                </c:pt>
                <c:pt idx="12">
                  <c:v>44.12</c:v>
                </c:pt>
                <c:pt idx="13">
                  <c:v>42.96</c:v>
                </c:pt>
                <c:pt idx="14">
                  <c:v>43.14</c:v>
                </c:pt>
                <c:pt idx="15">
                  <c:v>42.07</c:v>
                </c:pt>
                <c:pt idx="16">
                  <c:v>42.21</c:v>
                </c:pt>
                <c:pt idx="17">
                  <c:v>41.82</c:v>
                </c:pt>
                <c:pt idx="18">
                  <c:v>42.76</c:v>
                </c:pt>
                <c:pt idx="19">
                  <c:v>42.22</c:v>
                </c:pt>
                <c:pt idx="20">
                  <c:v>42.65</c:v>
                </c:pt>
                <c:pt idx="21">
                  <c:v>41.74</c:v>
                </c:pt>
                <c:pt idx="22">
                  <c:v>41.92</c:v>
                </c:pt>
                <c:pt idx="23">
                  <c:v>41.68</c:v>
                </c:pt>
                <c:pt idx="24">
                  <c:v>41.81</c:v>
                </c:pt>
                <c:pt idx="25">
                  <c:v>42.32</c:v>
                </c:pt>
                <c:pt idx="26">
                  <c:v>41.66</c:v>
                </c:pt>
                <c:pt idx="27">
                  <c:v>41.59</c:v>
                </c:pt>
                <c:pt idx="28">
                  <c:v>41.99</c:v>
                </c:pt>
                <c:pt idx="29">
                  <c:v>42.03</c:v>
                </c:pt>
                <c:pt idx="30">
                  <c:v>41.93</c:v>
                </c:pt>
                <c:pt idx="31">
                  <c:v>41.8</c:v>
                </c:pt>
                <c:pt idx="32">
                  <c:v>42.43</c:v>
                </c:pt>
                <c:pt idx="33">
                  <c:v>41.23</c:v>
                </c:pt>
                <c:pt idx="34">
                  <c:v>41.41</c:v>
                </c:pt>
                <c:pt idx="35">
                  <c:v>41.05</c:v>
                </c:pt>
                <c:pt idx="36">
                  <c:v>41.99</c:v>
                </c:pt>
                <c:pt idx="37">
                  <c:v>41.33</c:v>
                </c:pt>
                <c:pt idx="38">
                  <c:v>40.340000000000003</c:v>
                </c:pt>
                <c:pt idx="39">
                  <c:v>41.01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1049-8D72-40F54E09E4BE}"/>
            </c:ext>
          </c:extLst>
        </c:ser>
        <c:ser>
          <c:idx val="1"/>
          <c:order val="1"/>
          <c:tx>
            <c:strRef>
              <c:f>LFPR!$C$4</c:f>
              <c:strCache>
                <c:ptCount val="1"/>
                <c:pt idx="0">
                  <c:v>Male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LFPR!$C$25:$C$64</c:f>
              <c:numCache>
                <c:formatCode>General</c:formatCode>
                <c:ptCount val="40"/>
                <c:pt idx="0">
                  <c:v>72.540000000000006</c:v>
                </c:pt>
                <c:pt idx="1">
                  <c:v>71.81</c:v>
                </c:pt>
                <c:pt idx="2">
                  <c:v>72.430000000000007</c:v>
                </c:pt>
                <c:pt idx="3">
                  <c:v>72.099999999999994</c:v>
                </c:pt>
                <c:pt idx="4">
                  <c:v>72.78</c:v>
                </c:pt>
                <c:pt idx="5">
                  <c:v>72.23</c:v>
                </c:pt>
                <c:pt idx="6">
                  <c:v>72.38</c:v>
                </c:pt>
                <c:pt idx="7">
                  <c:v>71.69</c:v>
                </c:pt>
                <c:pt idx="8">
                  <c:v>71.87</c:v>
                </c:pt>
                <c:pt idx="9">
                  <c:v>71.819999999999993</c:v>
                </c:pt>
                <c:pt idx="10">
                  <c:v>71.739999999999995</c:v>
                </c:pt>
                <c:pt idx="11">
                  <c:v>71.59</c:v>
                </c:pt>
                <c:pt idx="12">
                  <c:v>72.040000000000006</c:v>
                </c:pt>
                <c:pt idx="13">
                  <c:v>70.75</c:v>
                </c:pt>
                <c:pt idx="14">
                  <c:v>69.95</c:v>
                </c:pt>
                <c:pt idx="15">
                  <c:v>68.790000000000006</c:v>
                </c:pt>
                <c:pt idx="16">
                  <c:v>69.88</c:v>
                </c:pt>
                <c:pt idx="17">
                  <c:v>68.930000000000007</c:v>
                </c:pt>
                <c:pt idx="18">
                  <c:v>69.319999999999993</c:v>
                </c:pt>
                <c:pt idx="19">
                  <c:v>69.25</c:v>
                </c:pt>
                <c:pt idx="20">
                  <c:v>69.98</c:v>
                </c:pt>
                <c:pt idx="21">
                  <c:v>68.510000000000005</c:v>
                </c:pt>
                <c:pt idx="22">
                  <c:v>68.95</c:v>
                </c:pt>
                <c:pt idx="23">
                  <c:v>68.3</c:v>
                </c:pt>
                <c:pt idx="24">
                  <c:v>69.34</c:v>
                </c:pt>
                <c:pt idx="25">
                  <c:v>69.260000000000005</c:v>
                </c:pt>
                <c:pt idx="26">
                  <c:v>68.55</c:v>
                </c:pt>
                <c:pt idx="27">
                  <c:v>68.12</c:v>
                </c:pt>
                <c:pt idx="28">
                  <c:v>69.11</c:v>
                </c:pt>
                <c:pt idx="29">
                  <c:v>68.44</c:v>
                </c:pt>
                <c:pt idx="30">
                  <c:v>68.5</c:v>
                </c:pt>
                <c:pt idx="31">
                  <c:v>68.260000000000005</c:v>
                </c:pt>
                <c:pt idx="32">
                  <c:v>69.47</c:v>
                </c:pt>
                <c:pt idx="33">
                  <c:v>67.430000000000007</c:v>
                </c:pt>
                <c:pt idx="34">
                  <c:v>67.56</c:v>
                </c:pt>
                <c:pt idx="35">
                  <c:v>67.19</c:v>
                </c:pt>
                <c:pt idx="36">
                  <c:v>68.69</c:v>
                </c:pt>
                <c:pt idx="37">
                  <c:v>67.3</c:v>
                </c:pt>
                <c:pt idx="38">
                  <c:v>66.89</c:v>
                </c:pt>
                <c:pt idx="39">
                  <c:v>67.010000000000005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1049-8D72-40F54E09E4BE}"/>
            </c:ext>
          </c:extLst>
        </c:ser>
        <c:ser>
          <c:idx val="2"/>
          <c:order val="2"/>
          <c:tx>
            <c:strRef>
              <c:f>LFPR!$D$4</c:f>
              <c:strCache>
                <c:ptCount val="1"/>
                <c:pt idx="0">
                  <c:v>Female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A1-1049-8D72-40F54E09E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LFPR!$A$25:$A$64</c:f>
              <c:numCache>
                <c:formatCode>mmm\-yy</c:formatCode>
                <c:ptCount val="40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</c:numCache>
            </c:numRef>
          </c:cat>
          <c:val>
            <c:numRef>
              <c:f>LFPR!$D$25:$D$64</c:f>
              <c:numCache>
                <c:formatCode>General</c:formatCode>
                <c:ptCount val="40"/>
                <c:pt idx="0">
                  <c:v>11.44</c:v>
                </c:pt>
                <c:pt idx="1">
                  <c:v>12.18</c:v>
                </c:pt>
                <c:pt idx="2">
                  <c:v>12.21</c:v>
                </c:pt>
                <c:pt idx="3">
                  <c:v>12.49</c:v>
                </c:pt>
                <c:pt idx="4">
                  <c:v>12.5</c:v>
                </c:pt>
                <c:pt idx="5">
                  <c:v>12.43</c:v>
                </c:pt>
                <c:pt idx="6">
                  <c:v>12.22</c:v>
                </c:pt>
                <c:pt idx="7">
                  <c:v>11.89</c:v>
                </c:pt>
                <c:pt idx="8">
                  <c:v>12.09</c:v>
                </c:pt>
                <c:pt idx="9">
                  <c:v>12.41</c:v>
                </c:pt>
                <c:pt idx="10">
                  <c:v>11.89</c:v>
                </c:pt>
                <c:pt idx="11">
                  <c:v>11.77</c:v>
                </c:pt>
                <c:pt idx="12">
                  <c:v>13.17</c:v>
                </c:pt>
                <c:pt idx="13">
                  <c:v>12.11</c:v>
                </c:pt>
                <c:pt idx="14">
                  <c:v>12.68</c:v>
                </c:pt>
                <c:pt idx="15">
                  <c:v>11.72</c:v>
                </c:pt>
                <c:pt idx="16">
                  <c:v>10.91</c:v>
                </c:pt>
                <c:pt idx="17">
                  <c:v>11.02</c:v>
                </c:pt>
                <c:pt idx="18">
                  <c:v>12.45</c:v>
                </c:pt>
                <c:pt idx="19">
                  <c:v>11.75</c:v>
                </c:pt>
                <c:pt idx="20">
                  <c:v>11.78</c:v>
                </c:pt>
                <c:pt idx="21">
                  <c:v>11.27</c:v>
                </c:pt>
                <c:pt idx="22">
                  <c:v>11.18</c:v>
                </c:pt>
                <c:pt idx="23">
                  <c:v>11.37</c:v>
                </c:pt>
                <c:pt idx="24">
                  <c:v>10.65</c:v>
                </c:pt>
                <c:pt idx="25">
                  <c:v>11.35</c:v>
                </c:pt>
                <c:pt idx="26">
                  <c:v>11.02</c:v>
                </c:pt>
                <c:pt idx="27">
                  <c:v>11.01</c:v>
                </c:pt>
                <c:pt idx="28">
                  <c:v>11.25</c:v>
                </c:pt>
                <c:pt idx="29">
                  <c:v>11.81</c:v>
                </c:pt>
                <c:pt idx="30">
                  <c:v>11.48</c:v>
                </c:pt>
                <c:pt idx="31">
                  <c:v>11.22</c:v>
                </c:pt>
                <c:pt idx="32">
                  <c:v>11.61</c:v>
                </c:pt>
                <c:pt idx="33">
                  <c:v>11.46</c:v>
                </c:pt>
                <c:pt idx="34">
                  <c:v>11.31</c:v>
                </c:pt>
                <c:pt idx="35">
                  <c:v>10.9</c:v>
                </c:pt>
                <c:pt idx="36">
                  <c:v>11.63</c:v>
                </c:pt>
                <c:pt idx="37">
                  <c:v>11.23</c:v>
                </c:pt>
                <c:pt idx="38">
                  <c:v>9.7899999999999991</c:v>
                </c:pt>
                <c:pt idx="39">
                  <c:v>10.95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1-1049-8D72-40F54E09E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193824"/>
        <c:axId val="1031202768"/>
      </c:lineChart>
      <c:dateAx>
        <c:axId val="14591938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02768"/>
        <c:crosses val="autoZero"/>
        <c:auto val="1"/>
        <c:lblOffset val="100"/>
        <c:baseTimeUnit val="months"/>
      </c:dateAx>
      <c:valAx>
        <c:axId val="10312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9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Profitability</a:t>
            </a:r>
            <a:r>
              <a:rPr lang="en-GB" baseline="0"/>
              <a:t> - GOVT vs PVT Corporates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'Corp-Gov-vs-Pvt'!$A$2</c:f>
              <c:strCache>
                <c:ptCount val="1"/>
                <c:pt idx="0">
                  <c:v>Govt Firm PAT (net)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'Corp-Gov-vs-Pvt'!$B$1:$L$1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'Corp-Gov-vs-Pvt'!$B$2:$L$2</c:f>
              <c:numCache>
                <c:formatCode>#,##0.00</c:formatCode>
                <c:ptCount val="11"/>
                <c:pt idx="0">
                  <c:v>1289891.8999999999</c:v>
                </c:pt>
                <c:pt idx="1">
                  <c:v>1083318.7</c:v>
                </c:pt>
                <c:pt idx="2">
                  <c:v>1048366.5</c:v>
                </c:pt>
                <c:pt idx="3">
                  <c:v>873806.2</c:v>
                </c:pt>
                <c:pt idx="4">
                  <c:v>282115.59999999998</c:v>
                </c:pt>
                <c:pt idx="5">
                  <c:v>829324.4</c:v>
                </c:pt>
                <c:pt idx="6">
                  <c:v>-377222.9</c:v>
                </c:pt>
                <c:pt idx="7">
                  <c:v>-55172.2</c:v>
                </c:pt>
                <c:pt idx="8">
                  <c:v>320314.40000000002</c:v>
                </c:pt>
                <c:pt idx="9">
                  <c:v>1692173.9</c:v>
                </c:pt>
                <c:pt idx="10">
                  <c:v>1724874.5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8-C64F-9669-3D9453054C95}"/>
            </c:ext>
          </c:extLst>
        </c:ser>
        <c:ser>
          <c:idx val="1"/>
          <c:order val="1"/>
          <c:tx>
            <c:strRef>
              <c:f>'Corp-Gov-vs-Pvt'!$A$3</c:f>
              <c:strCache>
                <c:ptCount val="1"/>
                <c:pt idx="0">
                  <c:v>   Pvt  firms PAT net of P&amp;E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'Corp-Gov-vs-Pvt'!$B$1:$L$1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'Corp-Gov-vs-Pvt'!$B$3:$L$3</c:f>
              <c:numCache>
                <c:formatCode>#,##0.00</c:formatCode>
                <c:ptCount val="11"/>
                <c:pt idx="0">
                  <c:v>2276957.1</c:v>
                </c:pt>
                <c:pt idx="1">
                  <c:v>2343778.1</c:v>
                </c:pt>
                <c:pt idx="2">
                  <c:v>2349337.7000000002</c:v>
                </c:pt>
                <c:pt idx="3">
                  <c:v>2654820.6</c:v>
                </c:pt>
                <c:pt idx="4">
                  <c:v>3000827.1</c:v>
                </c:pt>
                <c:pt idx="5">
                  <c:v>3450490.6</c:v>
                </c:pt>
                <c:pt idx="6">
                  <c:v>2842329.2</c:v>
                </c:pt>
                <c:pt idx="7">
                  <c:v>3116938.2</c:v>
                </c:pt>
                <c:pt idx="8">
                  <c:v>2813274.6</c:v>
                </c:pt>
                <c:pt idx="9">
                  <c:v>5056983.5999999996</c:v>
                </c:pt>
                <c:pt idx="10">
                  <c:v>6186000.2000000002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8-C64F-9669-3D945305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3757440"/>
        <c:axId val="1102669136"/>
      </c:barChart>
      <c:lineChart>
        <c:grouping val="standard"/>
        <c:varyColors val="0"/>
        <c:ser>
          <c:idx val="2"/>
          <c:order val="2"/>
          <c:tx>
            <c:strRef>
              <c:f>'Corp-Gov-vs-Pvt'!$A$4</c:f>
              <c:strCache>
                <c:ptCount val="1"/>
                <c:pt idx="0">
                  <c:v>Ratio : Pvt/ Govt Corporates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'Corp-Gov-vs-Pvt'!$B$4:$L$4</c:f>
              <c:numCache>
                <c:formatCode>0.00</c:formatCode>
                <c:ptCount val="11"/>
                <c:pt idx="0">
                  <c:v>1.7652309468723699</c:v>
                </c:pt>
                <c:pt idx="1">
                  <c:v>2.1635167010409773</c:v>
                </c:pt>
                <c:pt idx="2">
                  <c:v>2.2409507552940697</c:v>
                </c:pt>
                <c:pt idx="3">
                  <c:v>3.0382258674749623</c:v>
                </c:pt>
                <c:pt idx="4">
                  <c:v>10.636870488551503</c:v>
                </c:pt>
                <c:pt idx="5">
                  <c:v>4.1606042219425836</c:v>
                </c:pt>
                <c:pt idx="6">
                  <c:v>-7.5348797753264716</c:v>
                </c:pt>
                <c:pt idx="7">
                  <c:v>-56.4947237920547</c:v>
                </c:pt>
                <c:pt idx="8">
                  <c:v>8.7828539709735178</c:v>
                </c:pt>
                <c:pt idx="9">
                  <c:v>2.988453846262491</c:v>
                </c:pt>
                <c:pt idx="10">
                  <c:v>3.5863479922742205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8-C64F-9669-3D9453054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625504"/>
        <c:axId val="732207392"/>
      </c:lineChart>
      <c:catAx>
        <c:axId val="9837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69136"/>
        <c:crosses val="autoZero"/>
        <c:auto val="1"/>
        <c:lblAlgn val="ctr"/>
        <c:lblOffset val="100"/>
        <c:noMultiLvlLbl val="0"/>
      </c:catAx>
      <c:valAx>
        <c:axId val="110266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57440"/>
        <c:crosses val="autoZero"/>
        <c:crossBetween val="between"/>
      </c:valAx>
      <c:valAx>
        <c:axId val="7322073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25504"/>
        <c:crosses val="max"/>
        <c:crossBetween val="between"/>
      </c:valAx>
      <c:catAx>
        <c:axId val="1168625504"/>
        <c:scaling>
          <c:orientation val="minMax"/>
        </c:scaling>
        <c:delete val="1"/>
        <c:axPos val="b"/>
        <c:majorTickMark val="out"/>
        <c:minorTickMark val="none"/>
        <c:tickLblPos val="nextTo"/>
        <c:crossAx val="73220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PVT Corporates - Forex transaction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D2-B84A-A481-58A5C3831B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0D2-B84A-A481-58A5C3831B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'Corporate-Pvt-Perf'!$A$70:$A$71</c:f>
              <c:strCache>
                <c:ptCount val="2"/>
                <c:pt idx="0">
                  <c:v>        Total forex Earnings</c:v>
                </c:pt>
                <c:pt idx="1">
                  <c:v>        Total forex Spending</c:v>
                </c:pt>
              </c:strCache>
            </c:strRef>
          </c:cat>
          <c:val>
            <c:numRef>
              <c:f>'Corporate-Pvt-Perf'!$L$70:$L$71</c:f>
              <c:numCache>
                <c:formatCode>#,##0.00</c:formatCode>
                <c:ptCount val="2"/>
                <c:pt idx="0">
                  <c:v>12882167.199999999</c:v>
                </c:pt>
                <c:pt idx="1">
                  <c:v>10614613.699999999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2-B84A-A481-58A5C3831B6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12-574B-B6AC-ED83B710D8CE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112-574B-B6AC-ED83B710D8CE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12-574B-B6AC-ED83B710D8CE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112-574B-B6AC-ED83B710D8CE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'Corporate-Gov-Perf'!$A$70:$A$71</c:f>
              <c:strCache>
                <c:ptCount val="2"/>
                <c:pt idx="0">
                  <c:v>        Total forex Earnings</c:v>
                </c:pt>
                <c:pt idx="1">
                  <c:v>        Total forex Spending</c:v>
                </c:pt>
              </c:strCache>
            </c:strRef>
          </c:cat>
          <c:val>
            <c:numRef>
              <c:f>'Corporate-Gov-Perf'!$M$70:$M$71</c:f>
              <c:numCache>
                <c:formatCode>#,##0.00</c:formatCode>
                <c:ptCount val="2"/>
                <c:pt idx="0">
                  <c:v>971126.2</c:v>
                </c:pt>
                <c:pt idx="1">
                  <c:v>6348628.5999999996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2-574B-B6AC-ED83B710D8CE}"/>
            </c:ext>
          </c:extLst>
        </c:ser>
        <c:dLbls>
          <c:dLblPos val="inEnd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Corporate</a:t>
            </a:r>
            <a:r>
              <a:rPr lang="en-GB" baseline="0"/>
              <a:t> Fin Performance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'Corp-Fin-Perf'!$A$5</c:f>
              <c:strCache>
                <c:ptCount val="1"/>
                <c:pt idx="0">
                  <c:v>    Total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'Corp-Fin-Perf'!$C$5:$M$5</c:f>
              <c:numCache>
                <c:formatCode>General</c:formatCode>
                <c:ptCount val="11"/>
                <c:pt idx="0">
                  <c:v>19.600000000000001</c:v>
                </c:pt>
                <c:pt idx="1">
                  <c:v>12.4</c:v>
                </c:pt>
                <c:pt idx="2">
                  <c:v>9.8000000000000007</c:v>
                </c:pt>
                <c:pt idx="3">
                  <c:v>5.8</c:v>
                </c:pt>
                <c:pt idx="4">
                  <c:v>2.8</c:v>
                </c:pt>
                <c:pt idx="5">
                  <c:v>6.2</c:v>
                </c:pt>
                <c:pt idx="6">
                  <c:v>9</c:v>
                </c:pt>
                <c:pt idx="7">
                  <c:v>13.4</c:v>
                </c:pt>
                <c:pt idx="8">
                  <c:v>0.3</c:v>
                </c:pt>
                <c:pt idx="9">
                  <c:v>-0.8</c:v>
                </c:pt>
                <c:pt idx="10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9-6C46-BE01-93A20701E17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'Corp-Fin-Perf'!$C$16:$M$16</c:f>
              <c:numCache>
                <c:formatCode>General</c:formatCode>
                <c:ptCount val="11"/>
                <c:pt idx="0">
                  <c:v>21.2</c:v>
                </c:pt>
                <c:pt idx="1">
                  <c:v>12.1</c:v>
                </c:pt>
                <c:pt idx="2">
                  <c:v>9.5</c:v>
                </c:pt>
                <c:pt idx="3">
                  <c:v>5.9</c:v>
                </c:pt>
                <c:pt idx="4">
                  <c:v>3</c:v>
                </c:pt>
                <c:pt idx="5">
                  <c:v>6.5</c:v>
                </c:pt>
                <c:pt idx="6">
                  <c:v>10.4</c:v>
                </c:pt>
                <c:pt idx="7">
                  <c:v>13.2</c:v>
                </c:pt>
                <c:pt idx="8">
                  <c:v>1.2</c:v>
                </c:pt>
                <c:pt idx="9">
                  <c:v>-4.0999999999999996</c:v>
                </c:pt>
                <c:pt idx="10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A9-6C46-BE01-93A20701E1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2029712"/>
        <c:axId val="686652976"/>
      </c:barChart>
      <c:catAx>
        <c:axId val="69202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52976"/>
        <c:crosses val="autoZero"/>
        <c:auto val="1"/>
        <c:lblAlgn val="ctr"/>
        <c:lblOffset val="100"/>
        <c:noMultiLvlLbl val="0"/>
      </c:catAx>
      <c:valAx>
        <c:axId val="6866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Corporate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'Corp-Fin-Perf'!$A$87</c:f>
              <c:strCache>
                <c:ptCount val="1"/>
                <c:pt idx="0">
                  <c:v>            Efficiency in use of total assets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'Corp-Fin-Perf'!$C$88:$M$88</c:f>
              <c:numCache>
                <c:formatCode>General</c:formatCode>
                <c:ptCount val="11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0.3</c:v>
                </c:pt>
                <c:pt idx="1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6-AB45-AED5-B835128974D7}"/>
            </c:ext>
          </c:extLst>
        </c:ser>
        <c:ser>
          <c:idx val="1"/>
          <c:order val="1"/>
          <c:tx>
            <c:strRef>
              <c:f>'Corp-Fin-Perf'!$A$89</c:f>
              <c:strCache>
                <c:ptCount val="1"/>
                <c:pt idx="0">
                  <c:v>            Efficiency in use of employees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'Corp-Fin-Perf'!$C$90:$M$90</c:f>
              <c:numCache>
                <c:formatCode>General</c:formatCode>
                <c:ptCount val="11"/>
                <c:pt idx="0">
                  <c:v>15.1</c:v>
                </c:pt>
                <c:pt idx="1">
                  <c:v>14.9</c:v>
                </c:pt>
                <c:pt idx="2">
                  <c:v>13.4</c:v>
                </c:pt>
                <c:pt idx="3">
                  <c:v>12.5</c:v>
                </c:pt>
                <c:pt idx="4">
                  <c:v>11.4</c:v>
                </c:pt>
                <c:pt idx="5">
                  <c:v>11</c:v>
                </c:pt>
                <c:pt idx="6">
                  <c:v>10.8</c:v>
                </c:pt>
                <c:pt idx="7">
                  <c:v>11</c:v>
                </c:pt>
                <c:pt idx="8">
                  <c:v>10.199999999999999</c:v>
                </c:pt>
                <c:pt idx="9">
                  <c:v>9.8000000000000007</c:v>
                </c:pt>
                <c:pt idx="10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6-AB45-AED5-B835128974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1360448"/>
        <c:axId val="1149440512"/>
      </c:lineChart>
      <c:catAx>
        <c:axId val="6913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40512"/>
        <c:crosses val="autoZero"/>
        <c:auto val="1"/>
        <c:lblAlgn val="ctr"/>
        <c:lblOffset val="100"/>
        <c:noMultiLvlLbl val="0"/>
      </c:catAx>
      <c:valAx>
        <c:axId val="1149440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136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Profitability and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'Corp-Fin-Perf'!$A$72</c:f>
              <c:strCache>
                <c:ptCount val="1"/>
                <c:pt idx="0">
                  <c:v>            Net profit margin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'Corp-Fin-Perf'!$C$73:$M$73</c:f>
              <c:numCache>
                <c:formatCode>General</c:formatCode>
                <c:ptCount val="11"/>
                <c:pt idx="0">
                  <c:v>4.0999999999999996</c:v>
                </c:pt>
                <c:pt idx="1">
                  <c:v>3.7</c:v>
                </c:pt>
                <c:pt idx="2">
                  <c:v>3.5</c:v>
                </c:pt>
                <c:pt idx="3">
                  <c:v>3.3</c:v>
                </c:pt>
                <c:pt idx="4">
                  <c:v>2.8</c:v>
                </c:pt>
                <c:pt idx="5">
                  <c:v>3.1</c:v>
                </c:pt>
                <c:pt idx="6">
                  <c:v>1.6</c:v>
                </c:pt>
                <c:pt idx="7">
                  <c:v>2.2999999999999998</c:v>
                </c:pt>
                <c:pt idx="8">
                  <c:v>1.4</c:v>
                </c:pt>
                <c:pt idx="9">
                  <c:v>4.9000000000000004</c:v>
                </c:pt>
                <c:pt idx="10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6-9A43-851A-5B8868764536}"/>
            </c:ext>
          </c:extLst>
        </c:ser>
        <c:ser>
          <c:idx val="1"/>
          <c:order val="1"/>
          <c:tx>
            <c:strRef>
              <c:f>'Corp-Fin-Perf'!$A$76</c:f>
              <c:strCache>
                <c:ptCount val="1"/>
                <c:pt idx="0">
                  <c:v>            Return on total assests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'Corp-Fin-Perf'!$C$3:$M$3</c:f>
              <c:strCache>
                <c:ptCount val="11"/>
                <c:pt idx="0">
                  <c:v>2011-12</c:v>
                </c:pt>
                <c:pt idx="1">
                  <c:v>2012-13</c:v>
                </c:pt>
                <c:pt idx="2">
                  <c:v>2013-14</c:v>
                </c:pt>
                <c:pt idx="3">
                  <c:v>2014-15</c:v>
                </c:pt>
                <c:pt idx="4">
                  <c:v>2015-16</c:v>
                </c:pt>
                <c:pt idx="5">
                  <c:v>2016-17</c:v>
                </c:pt>
                <c:pt idx="6">
                  <c:v>2017-18</c:v>
                </c:pt>
                <c:pt idx="7">
                  <c:v>2018-19</c:v>
                </c:pt>
                <c:pt idx="8">
                  <c:v>2019-20</c:v>
                </c:pt>
                <c:pt idx="9">
                  <c:v>2020-21</c:v>
                </c:pt>
                <c:pt idx="10">
                  <c:v>2021-22</c:v>
                </c:pt>
              </c:strCache>
            </c:strRef>
          </c:cat>
          <c:val>
            <c:numRef>
              <c:f>'Corp-Fin-Perf'!$C$77:$M$77</c:f>
              <c:numCache>
                <c:formatCode>General</c:formatCode>
                <c:ptCount val="11"/>
                <c:pt idx="0">
                  <c:v>1.8</c:v>
                </c:pt>
                <c:pt idx="1">
                  <c:v>1.5</c:v>
                </c:pt>
                <c:pt idx="2">
                  <c:v>1.3</c:v>
                </c:pt>
                <c:pt idx="3">
                  <c:v>1.2</c:v>
                </c:pt>
                <c:pt idx="4">
                  <c:v>1</c:v>
                </c:pt>
                <c:pt idx="5">
                  <c:v>1.2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1.4</c:v>
                </c:pt>
                <c:pt idx="10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6-9A43-851A-5B88687645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1460288"/>
        <c:axId val="1161313296"/>
      </c:lineChart>
      <c:catAx>
        <c:axId val="11614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13296"/>
        <c:crosses val="autoZero"/>
        <c:auto val="1"/>
        <c:lblAlgn val="ctr"/>
        <c:lblOffset val="100"/>
        <c:noMultiLvlLbl val="0"/>
      </c:catAx>
      <c:valAx>
        <c:axId val="11613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CG - Tax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'CG-Tax-Rev'!$D$4</c:f>
              <c:strCache>
                <c:ptCount val="1"/>
                <c:pt idx="0">
                  <c:v>Income tax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'CG-Tax-Rev'!$D$58:$D$64</c:f>
              <c:numCache>
                <c:formatCode>#,##0.00</c:formatCode>
                <c:ptCount val="7"/>
                <c:pt idx="0">
                  <c:v>2803225</c:v>
                </c:pt>
                <c:pt idx="1">
                  <c:v>3556676.9</c:v>
                </c:pt>
                <c:pt idx="2">
                  <c:v>4189789.6</c:v>
                </c:pt>
                <c:pt idx="3">
                  <c:v>4614875.0999999996</c:v>
                </c:pt>
                <c:pt idx="4">
                  <c:v>4804114</c:v>
                </c:pt>
                <c:pt idx="5">
                  <c:v>4703959.2</c:v>
                </c:pt>
                <c:pt idx="6">
                  <c:v>6150000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F-5944-AAF2-42EC1472EEC9}"/>
            </c:ext>
          </c:extLst>
        </c:ser>
        <c:ser>
          <c:idx val="2"/>
          <c:order val="1"/>
          <c:tx>
            <c:strRef>
              <c:f>'CG-Tax-Rev'!$E$4</c:f>
              <c:strCache>
                <c:ptCount val="1"/>
                <c:pt idx="0">
                  <c:v>Corporate tax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'CG-Tax-Rev'!$E$58:$E$64</c:f>
              <c:numCache>
                <c:formatCode>#,##0.00</c:formatCode>
                <c:ptCount val="7"/>
                <c:pt idx="0">
                  <c:v>4532280</c:v>
                </c:pt>
                <c:pt idx="1">
                  <c:v>4849240</c:v>
                </c:pt>
                <c:pt idx="2">
                  <c:v>5712020</c:v>
                </c:pt>
                <c:pt idx="3">
                  <c:v>6635720</c:v>
                </c:pt>
                <c:pt idx="4">
                  <c:v>5568755.5</c:v>
                </c:pt>
                <c:pt idx="5">
                  <c:v>4577189.7</c:v>
                </c:pt>
                <c:pt idx="6">
                  <c:v>6350000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6F-5944-AAF2-42EC1472EEC9}"/>
            </c:ext>
          </c:extLst>
        </c:ser>
        <c:ser>
          <c:idx val="3"/>
          <c:order val="2"/>
          <c:tx>
            <c:strRef>
              <c:f>'CG-Tax-Rev'!$F$4</c:f>
              <c:strCache>
                <c:ptCount val="1"/>
                <c:pt idx="0">
                  <c:v>Goods and service tax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'CG-Tax-Rev'!$A$58:$A$64</c:f>
              <c:strCache>
                <c:ptCount val="7"/>
                <c:pt idx="0">
                  <c:v>2015-16</c:v>
                </c:pt>
                <c:pt idx="1">
                  <c:v>2016-17</c:v>
                </c:pt>
                <c:pt idx="2">
                  <c:v>2017-18</c:v>
                </c:pt>
                <c:pt idx="3">
                  <c:v>2018-19</c:v>
                </c:pt>
                <c:pt idx="4">
                  <c:v>2019-20</c:v>
                </c:pt>
                <c:pt idx="5">
                  <c:v>2020-21</c:v>
                </c:pt>
                <c:pt idx="6">
                  <c:v>2021-22</c:v>
                </c:pt>
              </c:strCache>
            </c:strRef>
          </c:cat>
          <c:val>
            <c:numRef>
              <c:f>'CG-Tax-Rev'!$F$58:$F$64</c:f>
              <c:numCache>
                <c:formatCode>General</c:formatCode>
                <c:ptCount val="7"/>
                <c:pt idx="2" formatCode="#,##0.00">
                  <c:v>4425610</c:v>
                </c:pt>
                <c:pt idx="3" formatCode="#,##0.00">
                  <c:v>5815593</c:v>
                </c:pt>
                <c:pt idx="4" formatCode="#,##0.00">
                  <c:v>5987490</c:v>
                </c:pt>
                <c:pt idx="5" formatCode="#,##0.00">
                  <c:v>5487773.0999999996</c:v>
                </c:pt>
                <c:pt idx="6" formatCode="#,##0.00">
                  <c:v>6750000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F-5944-AAF2-42EC1472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3912512"/>
        <c:axId val="1026579392"/>
      </c:barChart>
      <c:catAx>
        <c:axId val="9939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79392"/>
        <c:crosses val="autoZero"/>
        <c:auto val="1"/>
        <c:lblAlgn val="ctr"/>
        <c:lblOffset val="100"/>
        <c:noMultiLvlLbl val="0"/>
      </c:catAx>
      <c:valAx>
        <c:axId val="10265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91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Govt Deficit Financing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3.1969498848745025E-2"/>
                  <c:y val="-0.1121855018329455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91-AE45-9DFD-D01D329C3BBD}"/>
                </c:ext>
              </c:extLst>
            </c:dLbl>
            <c:dLbl>
              <c:idx val="1"/>
              <c:layout>
                <c:manualLayout>
                  <c:x val="-0.27266491688538935"/>
                  <c:y val="-0.16772856517935267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91-AE45-9DFD-D01D329C3BBD}"/>
                </c:ext>
              </c:extLst>
            </c:dLbl>
            <c:dLbl>
              <c:idx val="2"/>
              <c:layout>
                <c:manualLayout>
                  <c:x val="-0.20815344381591294"/>
                  <c:y val="-0.28191778921190364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91-AE45-9DFD-D01D329C3BBD}"/>
                </c:ext>
              </c:extLst>
            </c:dLbl>
            <c:dLbl>
              <c:idx val="3"/>
              <c:layout>
                <c:manualLayout>
                  <c:x val="-4.0435914260717409E-2"/>
                  <c:y val="-0.29726560221638959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1-AE45-9DFD-D01D329C3BBD}"/>
                </c:ext>
              </c:extLst>
            </c:dLbl>
            <c:dLbl>
              <c:idx val="4"/>
              <c:layout>
                <c:manualLayout>
                  <c:x val="-0.10701583330964502"/>
                  <c:y val="-0.3625146148303233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1-AE45-9DFD-D01D329C3BBD}"/>
                </c:ext>
              </c:extLst>
            </c:dLbl>
            <c:dLbl>
              <c:idx val="6"/>
              <c:layout>
                <c:manualLayout>
                  <c:x val="-3.5526465441819872E-2"/>
                  <c:y val="-0.27184893554972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1-AE45-9DFD-D01D329C3B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('CG-Deficit-Financing'!$F$4,'CG-Deficit-Financing'!$I$4,'CG-Deficit-Financing'!$J$4,'CG-Deficit-Financing'!$K$4,'CG-Deficit-Financing'!$L$4,'CG-Deficit-Financing'!$N$4,'CG-Deficit-Financing'!$O$4)</c:f>
              <c:strCache>
                <c:ptCount val="7"/>
                <c:pt idx="0">
                  <c:v>Net market borrowings </c:v>
                </c:pt>
                <c:pt idx="1">
                  <c:v>Short term  borrowings </c:v>
                </c:pt>
                <c:pt idx="2">
                  <c:v>Net external  assistance </c:v>
                </c:pt>
                <c:pt idx="3">
                  <c:v>Receipts from small  savings, PPF and  deposit scheme </c:v>
                </c:pt>
                <c:pt idx="4">
                  <c:v>Receipts from state  providend fund </c:v>
                </c:pt>
                <c:pt idx="5">
                  <c:v>Other capital  receipt </c:v>
                </c:pt>
                <c:pt idx="6">
                  <c:v>Cash balance  decrease(+)/increase(- ) </c:v>
                </c:pt>
              </c:strCache>
            </c:strRef>
          </c:xVal>
          <c:yVal>
            <c:numRef>
              <c:f>('CG-Deficit-Financing'!$F$57,'CG-Deficit-Financing'!$I$57,'CG-Deficit-Financing'!$J$57,'CG-Deficit-Financing'!$K$57,'CG-Deficit-Financing'!$L$57,'CG-Deficit-Financing'!$N$57,'CG-Deficit-Financing'!$O$57)</c:f>
              <c:numCache>
                <c:formatCode>#,##0.00</c:formatCode>
                <c:ptCount val="7"/>
                <c:pt idx="0">
                  <c:v>9347710</c:v>
                </c:pt>
                <c:pt idx="1">
                  <c:v>1000000</c:v>
                </c:pt>
                <c:pt idx="2">
                  <c:v>197460</c:v>
                </c:pt>
                <c:pt idx="3">
                  <c:v>5915240</c:v>
                </c:pt>
                <c:pt idx="4">
                  <c:v>200000</c:v>
                </c:pt>
                <c:pt idx="5">
                  <c:v>-901400</c:v>
                </c:pt>
                <c:pt idx="6">
                  <c:v>1741870</c:v>
                </c:pt>
              </c:numCache>
            </c:numRef>
          </c:yVal>
          <c:bubbleSize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BF91-AE45-9DFD-D01D329C3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1"/>
        <c:axId val="1141057488"/>
        <c:axId val="1140935280"/>
      </c:bubbleChart>
      <c:valAx>
        <c:axId val="114105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35280"/>
        <c:crosses val="autoZero"/>
        <c:crossBetween val="midCat"/>
      </c:valAx>
      <c:valAx>
        <c:axId val="11409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574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Sources</a:t>
            </a:r>
            <a:r>
              <a:rPr lang="en-GB" baseline="0"/>
              <a:t> for Power Generation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B5-594C-B15D-1457376D13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B5-594C-B15D-1457376D13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B5-594C-B15D-1457376D13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B5-594C-B15D-1457376D13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B5-594C-B15D-1457376D13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1B5-594C-B15D-1457376D13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1B5-594C-B15D-1457376D13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1B5-594C-B15D-1457376D13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1B5-594C-B15D-1457376D134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1B5-594C-B15D-1457376D134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1B5-594C-B15D-1457376D134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1B5-594C-B15D-1457376D134D}"/>
              </c:ext>
            </c:extLst>
          </c:dPt>
          <c:cat>
            <c:strRef>
              <c:f>'Power SourcesCoal
203,775
49.'!$A$1:$A$12</c:f>
              <c:strCache>
                <c:ptCount val="12"/>
                <c:pt idx="0">
                  <c:v>Coal</c:v>
                </c:pt>
                <c:pt idx="1">
                  <c:v>Lignite</c:v>
                </c:pt>
                <c:pt idx="2">
                  <c:v>Gas</c:v>
                </c:pt>
                <c:pt idx="3">
                  <c:v>Diesel</c:v>
                </c:pt>
                <c:pt idx="4">
                  <c:v>Hydro</c:v>
                </c:pt>
                <c:pt idx="5">
                  <c:v>Wind, Solar &amp; Other RE</c:v>
                </c:pt>
                <c:pt idx="6">
                  <c:v>Wind</c:v>
                </c:pt>
                <c:pt idx="7">
                  <c:v>Solar</c:v>
                </c:pt>
                <c:pt idx="8">
                  <c:v>BM Power/Cogen</c:v>
                </c:pt>
                <c:pt idx="9">
                  <c:v>Waste to Energy</c:v>
                </c:pt>
                <c:pt idx="10">
                  <c:v>Small Hydro Power</c:v>
                </c:pt>
                <c:pt idx="11">
                  <c:v>Nuclear</c:v>
                </c:pt>
              </c:strCache>
            </c:strRef>
          </c:cat>
          <c:val>
            <c:numRef>
              <c:f>'Power SourcesCoal
203,775
49.'!$B$1:$B$12</c:f>
              <c:numCache>
                <c:formatCode>#,##0</c:formatCode>
                <c:ptCount val="12"/>
                <c:pt idx="0">
                  <c:v>203775</c:v>
                </c:pt>
                <c:pt idx="1">
                  <c:v>6620</c:v>
                </c:pt>
                <c:pt idx="2">
                  <c:v>24824</c:v>
                </c:pt>
                <c:pt idx="3" formatCode="General">
                  <c:v>589</c:v>
                </c:pt>
                <c:pt idx="4">
                  <c:v>46850</c:v>
                </c:pt>
                <c:pt idx="5">
                  <c:v>120900</c:v>
                </c:pt>
                <c:pt idx="6">
                  <c:v>41930</c:v>
                </c:pt>
                <c:pt idx="7">
                  <c:v>63302</c:v>
                </c:pt>
                <c:pt idx="8">
                  <c:v>10210</c:v>
                </c:pt>
                <c:pt idx="9" formatCode="General">
                  <c:v>522</c:v>
                </c:pt>
                <c:pt idx="10">
                  <c:v>4936</c:v>
                </c:pt>
                <c:pt idx="11">
                  <c:v>6780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0-974C-A70B-C34CDE910ECF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1B5-594C-B15D-1457376D13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1B5-594C-B15D-1457376D13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1B5-594C-B15D-1457376D13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1B5-594C-B15D-1457376D13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1B5-594C-B15D-1457376D13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1B5-594C-B15D-1457376D13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1B5-594C-B15D-1457376D13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1B5-594C-B15D-1457376D13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1B5-594C-B15D-1457376D134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1B5-594C-B15D-1457376D134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1B5-594C-B15D-1457376D134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1B5-594C-B15D-1457376D134D}"/>
              </c:ext>
            </c:extLst>
          </c:dPt>
          <c:cat>
            <c:strRef>
              <c:f>'Power SourcesCoal
203,775
49.'!$A$1:$A$12</c:f>
              <c:strCache>
                <c:ptCount val="12"/>
                <c:pt idx="0">
                  <c:v>Coal</c:v>
                </c:pt>
                <c:pt idx="1">
                  <c:v>Lignite</c:v>
                </c:pt>
                <c:pt idx="2">
                  <c:v>Gas</c:v>
                </c:pt>
                <c:pt idx="3">
                  <c:v>Diesel</c:v>
                </c:pt>
                <c:pt idx="4">
                  <c:v>Hydro</c:v>
                </c:pt>
                <c:pt idx="5">
                  <c:v>Wind, Solar &amp; Other RE</c:v>
                </c:pt>
                <c:pt idx="6">
                  <c:v>Wind</c:v>
                </c:pt>
                <c:pt idx="7">
                  <c:v>Solar</c:v>
                </c:pt>
                <c:pt idx="8">
                  <c:v>BM Power/Cogen</c:v>
                </c:pt>
                <c:pt idx="9">
                  <c:v>Waste to Energy</c:v>
                </c:pt>
                <c:pt idx="10">
                  <c:v>Small Hydro Power</c:v>
                </c:pt>
                <c:pt idx="11">
                  <c:v>Nuclear</c:v>
                </c:pt>
              </c:strCache>
            </c:strRef>
          </c:cat>
          <c:val>
            <c:numRef>
              <c:f>'Power SourcesCoal
203,775
49.'!$C$1:$C$12</c:f>
              <c:numCache>
                <c:formatCode>0.00%</c:formatCode>
                <c:ptCount val="12"/>
                <c:pt idx="0">
                  <c:v>0.497</c:v>
                </c:pt>
                <c:pt idx="1">
                  <c:v>1.6E-2</c:v>
                </c:pt>
                <c:pt idx="2">
                  <c:v>6.0999999999999999E-2</c:v>
                </c:pt>
                <c:pt idx="3">
                  <c:v>1E-3</c:v>
                </c:pt>
                <c:pt idx="4">
                  <c:v>0.114</c:v>
                </c:pt>
                <c:pt idx="5">
                  <c:v>0.29499999999999998</c:v>
                </c:pt>
                <c:pt idx="6">
                  <c:v>0.10199999999999999</c:v>
                </c:pt>
                <c:pt idx="7">
                  <c:v>0.151</c:v>
                </c:pt>
                <c:pt idx="8">
                  <c:v>2.5000000000000001E-2</c:v>
                </c:pt>
                <c:pt idx="9">
                  <c:v>1E-3</c:v>
                </c:pt>
                <c:pt idx="10">
                  <c:v>1.2E-2</c:v>
                </c:pt>
                <c:pt idx="11">
                  <c:v>1.7000000000000001E-2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0-974C-A70B-C34CDE910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'C-GOVT-FINANCES'!$B$3</c:f>
              <c:strCache>
                <c:ptCount val="1"/>
                <c:pt idx="0">
                  <c:v>Gross fiscal deficit  (Crores)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-1.3430008748906489E-2"/>
                  <c:y val="-9.7222039953339168E-2"/>
                </c:manualLayout>
              </c:layout>
              <c:numFmt formatCode="#,##0.00;[Red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944444444444444"/>
                      <c:h val="0.115648148148148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004-0B48-93E6-44FF96F67C3B}"/>
                </c:ext>
              </c:extLst>
            </c:dLbl>
            <c:numFmt formatCode="#,##0.00;[Red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'C-GOVT-FINANCES'!$A$35:$A$45</c:f>
              <c:strCache>
                <c:ptCount val="11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</c:strCache>
            </c:strRef>
          </c:cat>
          <c:val>
            <c:numRef>
              <c:f>'C-GOVT-FINANCES'!$B$35:$B$45</c:f>
              <c:numCache>
                <c:formatCode>General</c:formatCode>
                <c:ptCount val="11"/>
                <c:pt idx="0">
                  <c:v>534032</c:v>
                </c:pt>
                <c:pt idx="1">
                  <c:v>684966</c:v>
                </c:pt>
                <c:pt idx="2">
                  <c:v>684395</c:v>
                </c:pt>
                <c:pt idx="3">
                  <c:v>749711</c:v>
                </c:pt>
                <c:pt idx="4">
                  <c:v>836563</c:v>
                </c:pt>
                <c:pt idx="5">
                  <c:v>952410</c:v>
                </c:pt>
                <c:pt idx="6">
                  <c:v>1064704</c:v>
                </c:pt>
                <c:pt idx="7">
                  <c:v>997097</c:v>
                </c:pt>
                <c:pt idx="8">
                  <c:v>1102729</c:v>
                </c:pt>
                <c:pt idx="9">
                  <c:v>1408183</c:v>
                </c:pt>
                <c:pt idx="10">
                  <c:v>1409995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4-0B48-93E6-44FF96F6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0384368"/>
        <c:axId val="1343098816"/>
      </c:barChart>
      <c:catAx>
        <c:axId val="96038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98816"/>
        <c:crosses val="autoZero"/>
        <c:auto val="1"/>
        <c:lblAlgn val="ctr"/>
        <c:lblOffset val="100"/>
        <c:noMultiLvlLbl val="0"/>
      </c:catAx>
      <c:valAx>
        <c:axId val="134309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8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Housing Price Index - RBI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'House-Price-Index'!$B$3</c:f>
              <c:strCache>
                <c:ptCount val="1"/>
                <c:pt idx="0">
                  <c:v>India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'House-Price-Index'!$A$4:$A$51</c:f>
              <c:numCache>
                <c:formatCode>mmm\-yy</c:formatCode>
                <c:ptCount val="48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  <c:pt idx="21">
                  <c:v>42248</c:v>
                </c:pt>
                <c:pt idx="22">
                  <c:v>42339</c:v>
                </c:pt>
                <c:pt idx="23">
                  <c:v>42430</c:v>
                </c:pt>
                <c:pt idx="24">
                  <c:v>42522</c:v>
                </c:pt>
                <c:pt idx="25">
                  <c:v>42614</c:v>
                </c:pt>
                <c:pt idx="26">
                  <c:v>42705</c:v>
                </c:pt>
                <c:pt idx="27">
                  <c:v>42795</c:v>
                </c:pt>
                <c:pt idx="28">
                  <c:v>42887</c:v>
                </c:pt>
                <c:pt idx="29">
                  <c:v>42979</c:v>
                </c:pt>
                <c:pt idx="30">
                  <c:v>43070</c:v>
                </c:pt>
                <c:pt idx="31">
                  <c:v>43160</c:v>
                </c:pt>
                <c:pt idx="32">
                  <c:v>43252</c:v>
                </c:pt>
                <c:pt idx="33">
                  <c:v>43344</c:v>
                </c:pt>
                <c:pt idx="34">
                  <c:v>43435</c:v>
                </c:pt>
                <c:pt idx="35">
                  <c:v>43525</c:v>
                </c:pt>
                <c:pt idx="36">
                  <c:v>43617</c:v>
                </c:pt>
                <c:pt idx="37">
                  <c:v>43709</c:v>
                </c:pt>
                <c:pt idx="38">
                  <c:v>43800</c:v>
                </c:pt>
                <c:pt idx="39">
                  <c:v>43891</c:v>
                </c:pt>
                <c:pt idx="40">
                  <c:v>43983</c:v>
                </c:pt>
                <c:pt idx="41">
                  <c:v>44075</c:v>
                </c:pt>
                <c:pt idx="42">
                  <c:v>44166</c:v>
                </c:pt>
                <c:pt idx="43">
                  <c:v>44256</c:v>
                </c:pt>
                <c:pt idx="44">
                  <c:v>44348</c:v>
                </c:pt>
                <c:pt idx="45">
                  <c:v>44440</c:v>
                </c:pt>
                <c:pt idx="46">
                  <c:v>44531</c:v>
                </c:pt>
                <c:pt idx="47">
                  <c:v>44621</c:v>
                </c:pt>
              </c:numCache>
            </c:numRef>
          </c:cat>
          <c:val>
            <c:numRef>
              <c:f>'House-Price-Index'!$B$4:$B$51</c:f>
              <c:numCache>
                <c:formatCode>General</c:formatCode>
                <c:ptCount val="48"/>
                <c:pt idx="0">
                  <c:v>94.2</c:v>
                </c:pt>
                <c:pt idx="1">
                  <c:v>99.8</c:v>
                </c:pt>
                <c:pt idx="2">
                  <c:v>99.4</c:v>
                </c:pt>
                <c:pt idx="3">
                  <c:v>106.6</c:v>
                </c:pt>
                <c:pt idx="4">
                  <c:v>116</c:v>
                </c:pt>
                <c:pt idx="5">
                  <c:v>119.4</c:v>
                </c:pt>
                <c:pt idx="6">
                  <c:v>125.5</c:v>
                </c:pt>
                <c:pt idx="7">
                  <c:v>134.1</c:v>
                </c:pt>
                <c:pt idx="8">
                  <c:v>142.6</c:v>
                </c:pt>
                <c:pt idx="9">
                  <c:v>147.1</c:v>
                </c:pt>
                <c:pt idx="10">
                  <c:v>157</c:v>
                </c:pt>
                <c:pt idx="11">
                  <c:v>160.80000000000001</c:v>
                </c:pt>
                <c:pt idx="12">
                  <c:v>162.30000000000001</c:v>
                </c:pt>
                <c:pt idx="13">
                  <c:v>169.2</c:v>
                </c:pt>
                <c:pt idx="14">
                  <c:v>172.8</c:v>
                </c:pt>
                <c:pt idx="15">
                  <c:v>180.5</c:v>
                </c:pt>
                <c:pt idx="16">
                  <c:v>188</c:v>
                </c:pt>
                <c:pt idx="17">
                  <c:v>193</c:v>
                </c:pt>
                <c:pt idx="18">
                  <c:v>202</c:v>
                </c:pt>
                <c:pt idx="19">
                  <c:v>212.1</c:v>
                </c:pt>
                <c:pt idx="20">
                  <c:v>215.3</c:v>
                </c:pt>
                <c:pt idx="21">
                  <c:v>218.2</c:v>
                </c:pt>
                <c:pt idx="22">
                  <c:v>221.7</c:v>
                </c:pt>
                <c:pt idx="23">
                  <c:v>219.1</c:v>
                </c:pt>
                <c:pt idx="24">
                  <c:v>231.1</c:v>
                </c:pt>
                <c:pt idx="25">
                  <c:v>234.9</c:v>
                </c:pt>
                <c:pt idx="26">
                  <c:v>240.2</c:v>
                </c:pt>
                <c:pt idx="27">
                  <c:v>242</c:v>
                </c:pt>
                <c:pt idx="28">
                  <c:v>251.2</c:v>
                </c:pt>
                <c:pt idx="29">
                  <c:v>252.4</c:v>
                </c:pt>
                <c:pt idx="30">
                  <c:v>257.5</c:v>
                </c:pt>
                <c:pt idx="31">
                  <c:v>258.2</c:v>
                </c:pt>
                <c:pt idx="32">
                  <c:v>264.60000000000002</c:v>
                </c:pt>
                <c:pt idx="33">
                  <c:v>266.7</c:v>
                </c:pt>
                <c:pt idx="34">
                  <c:v>270.7</c:v>
                </c:pt>
                <c:pt idx="35">
                  <c:v>267.60000000000002</c:v>
                </c:pt>
                <c:pt idx="36">
                  <c:v>273.7</c:v>
                </c:pt>
                <c:pt idx="37">
                  <c:v>275.39999999999998</c:v>
                </c:pt>
                <c:pt idx="38">
                  <c:v>278.8</c:v>
                </c:pt>
                <c:pt idx="39">
                  <c:v>278.10000000000002</c:v>
                </c:pt>
                <c:pt idx="40">
                  <c:v>281.39999999999998</c:v>
                </c:pt>
                <c:pt idx="41">
                  <c:v>278.5</c:v>
                </c:pt>
                <c:pt idx="42">
                  <c:v>284.89999999999998</c:v>
                </c:pt>
                <c:pt idx="43">
                  <c:v>285.5</c:v>
                </c:pt>
                <c:pt idx="44">
                  <c:v>287</c:v>
                </c:pt>
                <c:pt idx="45">
                  <c:v>285.10000000000002</c:v>
                </c:pt>
                <c:pt idx="46">
                  <c:v>293.8</c:v>
                </c:pt>
                <c:pt idx="47">
                  <c:v>290.60000000000002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C-CC4D-93CE-82473C51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829168"/>
        <c:axId val="1084224896"/>
      </c:barChart>
      <c:lineChart>
        <c:grouping val="standard"/>
        <c:varyColors val="0"/>
        <c:ser>
          <c:idx val="1"/>
          <c:order val="1"/>
          <c:tx>
            <c:strRef>
              <c:f>'House-Price-Index'!$C$3</c:f>
              <c:strCache>
                <c:ptCount val="1"/>
                <c:pt idx="0">
                  <c:v>Mumbai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'House-Price-Index'!$C$4:$C$51</c:f>
              <c:numCache>
                <c:formatCode>General</c:formatCode>
                <c:ptCount val="48"/>
                <c:pt idx="0">
                  <c:v>90.6</c:v>
                </c:pt>
                <c:pt idx="1">
                  <c:v>99.7</c:v>
                </c:pt>
                <c:pt idx="2">
                  <c:v>100.9</c:v>
                </c:pt>
                <c:pt idx="3">
                  <c:v>108.8</c:v>
                </c:pt>
                <c:pt idx="4">
                  <c:v>122.1</c:v>
                </c:pt>
                <c:pt idx="5">
                  <c:v>131.4</c:v>
                </c:pt>
                <c:pt idx="6">
                  <c:v>122.8</c:v>
                </c:pt>
                <c:pt idx="7">
                  <c:v>143.5</c:v>
                </c:pt>
                <c:pt idx="8">
                  <c:v>147.6</c:v>
                </c:pt>
                <c:pt idx="9">
                  <c:v>148.1</c:v>
                </c:pt>
                <c:pt idx="10">
                  <c:v>158.9</c:v>
                </c:pt>
                <c:pt idx="11">
                  <c:v>159.5</c:v>
                </c:pt>
                <c:pt idx="12">
                  <c:v>160</c:v>
                </c:pt>
                <c:pt idx="13">
                  <c:v>169.2</c:v>
                </c:pt>
                <c:pt idx="14">
                  <c:v>166.5</c:v>
                </c:pt>
                <c:pt idx="15">
                  <c:v>175.4</c:v>
                </c:pt>
                <c:pt idx="16">
                  <c:v>183.2</c:v>
                </c:pt>
                <c:pt idx="17">
                  <c:v>185.9</c:v>
                </c:pt>
                <c:pt idx="18">
                  <c:v>188</c:v>
                </c:pt>
                <c:pt idx="19">
                  <c:v>194.7</c:v>
                </c:pt>
                <c:pt idx="20">
                  <c:v>203.5</c:v>
                </c:pt>
                <c:pt idx="21">
                  <c:v>205.9</c:v>
                </c:pt>
                <c:pt idx="22">
                  <c:v>208.9</c:v>
                </c:pt>
                <c:pt idx="23">
                  <c:v>208</c:v>
                </c:pt>
                <c:pt idx="24">
                  <c:v>219.2</c:v>
                </c:pt>
                <c:pt idx="25">
                  <c:v>226.5</c:v>
                </c:pt>
                <c:pt idx="26">
                  <c:v>235.8</c:v>
                </c:pt>
                <c:pt idx="27">
                  <c:v>243.9</c:v>
                </c:pt>
                <c:pt idx="28">
                  <c:v>246</c:v>
                </c:pt>
                <c:pt idx="29">
                  <c:v>254.7</c:v>
                </c:pt>
                <c:pt idx="30">
                  <c:v>257.39999999999998</c:v>
                </c:pt>
                <c:pt idx="31">
                  <c:v>257.3</c:v>
                </c:pt>
                <c:pt idx="32">
                  <c:v>264.2</c:v>
                </c:pt>
                <c:pt idx="33">
                  <c:v>263.89999999999998</c:v>
                </c:pt>
                <c:pt idx="34">
                  <c:v>266</c:v>
                </c:pt>
                <c:pt idx="35">
                  <c:v>261.39999999999998</c:v>
                </c:pt>
                <c:pt idx="36">
                  <c:v>260.60000000000002</c:v>
                </c:pt>
                <c:pt idx="37">
                  <c:v>265</c:v>
                </c:pt>
                <c:pt idx="38">
                  <c:v>256.8</c:v>
                </c:pt>
                <c:pt idx="39">
                  <c:v>264.39999999999998</c:v>
                </c:pt>
                <c:pt idx="40">
                  <c:v>263</c:v>
                </c:pt>
                <c:pt idx="41">
                  <c:v>263</c:v>
                </c:pt>
                <c:pt idx="42">
                  <c:v>261.3</c:v>
                </c:pt>
                <c:pt idx="43">
                  <c:v>266.5</c:v>
                </c:pt>
                <c:pt idx="44">
                  <c:v>265.89999999999998</c:v>
                </c:pt>
                <c:pt idx="45">
                  <c:v>279.8</c:v>
                </c:pt>
                <c:pt idx="46">
                  <c:v>286</c:v>
                </c:pt>
                <c:pt idx="47">
                  <c:v>281.3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C-CC4D-93CE-82473C519A46}"/>
            </c:ext>
          </c:extLst>
        </c:ser>
        <c:ser>
          <c:idx val="2"/>
          <c:order val="2"/>
          <c:tx>
            <c:strRef>
              <c:f>'House-Price-Index'!$D$3</c:f>
              <c:strCache>
                <c:ptCount val="1"/>
                <c:pt idx="0">
                  <c:v>Delhi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'House-Price-Index'!$D$4:$D$51</c:f>
              <c:numCache>
                <c:formatCode>General</c:formatCode>
                <c:ptCount val="48"/>
                <c:pt idx="0">
                  <c:v>100.7</c:v>
                </c:pt>
                <c:pt idx="1">
                  <c:v>95.6</c:v>
                </c:pt>
                <c:pt idx="2">
                  <c:v>92.1</c:v>
                </c:pt>
                <c:pt idx="3">
                  <c:v>112.1</c:v>
                </c:pt>
                <c:pt idx="4">
                  <c:v>126.8</c:v>
                </c:pt>
                <c:pt idx="5">
                  <c:v>124.8</c:v>
                </c:pt>
                <c:pt idx="6">
                  <c:v>136.69999999999999</c:v>
                </c:pt>
                <c:pt idx="7">
                  <c:v>158.19999999999999</c:v>
                </c:pt>
                <c:pt idx="8">
                  <c:v>177.3</c:v>
                </c:pt>
                <c:pt idx="9">
                  <c:v>183.2</c:v>
                </c:pt>
                <c:pt idx="10">
                  <c:v>200.7</c:v>
                </c:pt>
                <c:pt idx="11">
                  <c:v>213.1</c:v>
                </c:pt>
                <c:pt idx="12">
                  <c:v>214.8</c:v>
                </c:pt>
                <c:pt idx="13">
                  <c:v>215.7</c:v>
                </c:pt>
                <c:pt idx="14">
                  <c:v>211.1</c:v>
                </c:pt>
                <c:pt idx="15">
                  <c:v>229.3</c:v>
                </c:pt>
                <c:pt idx="16">
                  <c:v>241.7</c:v>
                </c:pt>
                <c:pt idx="17">
                  <c:v>251</c:v>
                </c:pt>
                <c:pt idx="18">
                  <c:v>273.2</c:v>
                </c:pt>
                <c:pt idx="19">
                  <c:v>290.10000000000002</c:v>
                </c:pt>
                <c:pt idx="20">
                  <c:v>296.5</c:v>
                </c:pt>
                <c:pt idx="21">
                  <c:v>299.3</c:v>
                </c:pt>
                <c:pt idx="22">
                  <c:v>300</c:v>
                </c:pt>
                <c:pt idx="23">
                  <c:v>302.10000000000002</c:v>
                </c:pt>
                <c:pt idx="24">
                  <c:v>305.7</c:v>
                </c:pt>
                <c:pt idx="25">
                  <c:v>314.89999999999998</c:v>
                </c:pt>
                <c:pt idx="26">
                  <c:v>314.60000000000002</c:v>
                </c:pt>
                <c:pt idx="27">
                  <c:v>312.60000000000002</c:v>
                </c:pt>
                <c:pt idx="28">
                  <c:v>341.9</c:v>
                </c:pt>
                <c:pt idx="29">
                  <c:v>335.3</c:v>
                </c:pt>
                <c:pt idx="30">
                  <c:v>335.6</c:v>
                </c:pt>
                <c:pt idx="31">
                  <c:v>324.3</c:v>
                </c:pt>
                <c:pt idx="32">
                  <c:v>341.6</c:v>
                </c:pt>
                <c:pt idx="33">
                  <c:v>342.1</c:v>
                </c:pt>
                <c:pt idx="34">
                  <c:v>346.7</c:v>
                </c:pt>
                <c:pt idx="35">
                  <c:v>328.6</c:v>
                </c:pt>
                <c:pt idx="36">
                  <c:v>342.8</c:v>
                </c:pt>
                <c:pt idx="37">
                  <c:v>333.1</c:v>
                </c:pt>
                <c:pt idx="38">
                  <c:v>329.4</c:v>
                </c:pt>
                <c:pt idx="39">
                  <c:v>325.7</c:v>
                </c:pt>
                <c:pt idx="40">
                  <c:v>319.8</c:v>
                </c:pt>
                <c:pt idx="41">
                  <c:v>314.89999999999998</c:v>
                </c:pt>
                <c:pt idx="42">
                  <c:v>329.4</c:v>
                </c:pt>
                <c:pt idx="43">
                  <c:v>323.2</c:v>
                </c:pt>
                <c:pt idx="44">
                  <c:v>315</c:v>
                </c:pt>
                <c:pt idx="45">
                  <c:v>299.3</c:v>
                </c:pt>
                <c:pt idx="46">
                  <c:v>327.7</c:v>
                </c:pt>
                <c:pt idx="47">
                  <c:v>326.2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1C-CC4D-93CE-82473C519A46}"/>
            </c:ext>
          </c:extLst>
        </c:ser>
        <c:ser>
          <c:idx val="3"/>
          <c:order val="3"/>
          <c:tx>
            <c:strRef>
              <c:f>'House-Price-Index'!$E$3</c:f>
              <c:strCache>
                <c:ptCount val="1"/>
                <c:pt idx="0">
                  <c:v>Bangalore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'House-Price-Index'!$E$4:$E$51</c:f>
              <c:numCache>
                <c:formatCode>General</c:formatCode>
                <c:ptCount val="48"/>
                <c:pt idx="0">
                  <c:v>98.6</c:v>
                </c:pt>
                <c:pt idx="1">
                  <c:v>97.9</c:v>
                </c:pt>
                <c:pt idx="2">
                  <c:v>97.9</c:v>
                </c:pt>
                <c:pt idx="3">
                  <c:v>105.5</c:v>
                </c:pt>
                <c:pt idx="4">
                  <c:v>110.7</c:v>
                </c:pt>
                <c:pt idx="5">
                  <c:v>107.8</c:v>
                </c:pt>
                <c:pt idx="6">
                  <c:v>138.6</c:v>
                </c:pt>
                <c:pt idx="7">
                  <c:v>133.30000000000001</c:v>
                </c:pt>
                <c:pt idx="8">
                  <c:v>133.30000000000001</c:v>
                </c:pt>
                <c:pt idx="9">
                  <c:v>136.6</c:v>
                </c:pt>
                <c:pt idx="10">
                  <c:v>141.19999999999999</c:v>
                </c:pt>
                <c:pt idx="11">
                  <c:v>141.9</c:v>
                </c:pt>
                <c:pt idx="12">
                  <c:v>142.30000000000001</c:v>
                </c:pt>
                <c:pt idx="13">
                  <c:v>150.4</c:v>
                </c:pt>
                <c:pt idx="14">
                  <c:v>169.3</c:v>
                </c:pt>
                <c:pt idx="15">
                  <c:v>184.3</c:v>
                </c:pt>
                <c:pt idx="16">
                  <c:v>180.4</c:v>
                </c:pt>
                <c:pt idx="17">
                  <c:v>174.6</c:v>
                </c:pt>
                <c:pt idx="18">
                  <c:v>183.1</c:v>
                </c:pt>
                <c:pt idx="19">
                  <c:v>202.7</c:v>
                </c:pt>
                <c:pt idx="20">
                  <c:v>208.4</c:v>
                </c:pt>
                <c:pt idx="21">
                  <c:v>208</c:v>
                </c:pt>
                <c:pt idx="22">
                  <c:v>205.9</c:v>
                </c:pt>
                <c:pt idx="23">
                  <c:v>190</c:v>
                </c:pt>
                <c:pt idx="24">
                  <c:v>220.6</c:v>
                </c:pt>
                <c:pt idx="25">
                  <c:v>220.1</c:v>
                </c:pt>
                <c:pt idx="26">
                  <c:v>225.1</c:v>
                </c:pt>
                <c:pt idx="27">
                  <c:v>218.3</c:v>
                </c:pt>
                <c:pt idx="28">
                  <c:v>227.7</c:v>
                </c:pt>
                <c:pt idx="29">
                  <c:v>221</c:v>
                </c:pt>
                <c:pt idx="30">
                  <c:v>225.6</c:v>
                </c:pt>
                <c:pt idx="31">
                  <c:v>232.9</c:v>
                </c:pt>
                <c:pt idx="32">
                  <c:v>244.8</c:v>
                </c:pt>
                <c:pt idx="33">
                  <c:v>245.8</c:v>
                </c:pt>
                <c:pt idx="34">
                  <c:v>243.2</c:v>
                </c:pt>
                <c:pt idx="35">
                  <c:v>256.10000000000002</c:v>
                </c:pt>
                <c:pt idx="36">
                  <c:v>266</c:v>
                </c:pt>
                <c:pt idx="37">
                  <c:v>273.60000000000002</c:v>
                </c:pt>
                <c:pt idx="38">
                  <c:v>283.8</c:v>
                </c:pt>
                <c:pt idx="39">
                  <c:v>273.8</c:v>
                </c:pt>
                <c:pt idx="40">
                  <c:v>308.8</c:v>
                </c:pt>
                <c:pt idx="41">
                  <c:v>297.7</c:v>
                </c:pt>
                <c:pt idx="42">
                  <c:v>319.10000000000002</c:v>
                </c:pt>
                <c:pt idx="43">
                  <c:v>316.8</c:v>
                </c:pt>
                <c:pt idx="44">
                  <c:v>333.7</c:v>
                </c:pt>
                <c:pt idx="45">
                  <c:v>313.2</c:v>
                </c:pt>
                <c:pt idx="46">
                  <c:v>315.89999999999998</c:v>
                </c:pt>
                <c:pt idx="47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1C-CC4D-93CE-82473C519A46}"/>
            </c:ext>
          </c:extLst>
        </c:ser>
        <c:ser>
          <c:idx val="4"/>
          <c:order val="4"/>
          <c:tx>
            <c:strRef>
              <c:f>'House-Price-Index'!$F$3</c:f>
              <c:strCache>
                <c:ptCount val="1"/>
                <c:pt idx="0">
                  <c:v>Ahmadabad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'House-Price-Index'!$F$4:$F$51</c:f>
              <c:numCache>
                <c:formatCode>General</c:formatCode>
                <c:ptCount val="48"/>
                <c:pt idx="0">
                  <c:v>93.2</c:v>
                </c:pt>
                <c:pt idx="1">
                  <c:v>102.5</c:v>
                </c:pt>
                <c:pt idx="2">
                  <c:v>102</c:v>
                </c:pt>
                <c:pt idx="3">
                  <c:v>102.2</c:v>
                </c:pt>
                <c:pt idx="4">
                  <c:v>121.3</c:v>
                </c:pt>
                <c:pt idx="5">
                  <c:v>130.4</c:v>
                </c:pt>
                <c:pt idx="6">
                  <c:v>137.1</c:v>
                </c:pt>
                <c:pt idx="7">
                  <c:v>141</c:v>
                </c:pt>
                <c:pt idx="8">
                  <c:v>140.80000000000001</c:v>
                </c:pt>
                <c:pt idx="9">
                  <c:v>146.4</c:v>
                </c:pt>
                <c:pt idx="10">
                  <c:v>150.6</c:v>
                </c:pt>
                <c:pt idx="11">
                  <c:v>155</c:v>
                </c:pt>
                <c:pt idx="12">
                  <c:v>161.9</c:v>
                </c:pt>
                <c:pt idx="13">
                  <c:v>171.7</c:v>
                </c:pt>
                <c:pt idx="14">
                  <c:v>172.6</c:v>
                </c:pt>
                <c:pt idx="15">
                  <c:v>169.4</c:v>
                </c:pt>
                <c:pt idx="16">
                  <c:v>173</c:v>
                </c:pt>
                <c:pt idx="17">
                  <c:v>183.2</c:v>
                </c:pt>
                <c:pt idx="18">
                  <c:v>187.7</c:v>
                </c:pt>
                <c:pt idx="19">
                  <c:v>185</c:v>
                </c:pt>
                <c:pt idx="20">
                  <c:v>186.6</c:v>
                </c:pt>
                <c:pt idx="21">
                  <c:v>196.8</c:v>
                </c:pt>
                <c:pt idx="22">
                  <c:v>207.3</c:v>
                </c:pt>
                <c:pt idx="23">
                  <c:v>204.1</c:v>
                </c:pt>
                <c:pt idx="24">
                  <c:v>207.6</c:v>
                </c:pt>
                <c:pt idx="25">
                  <c:v>214.1</c:v>
                </c:pt>
                <c:pt idx="26">
                  <c:v>217.8</c:v>
                </c:pt>
                <c:pt idx="27">
                  <c:v>235.4</c:v>
                </c:pt>
                <c:pt idx="28">
                  <c:v>243.1</c:v>
                </c:pt>
                <c:pt idx="29">
                  <c:v>236.1</c:v>
                </c:pt>
                <c:pt idx="30">
                  <c:v>256.8</c:v>
                </c:pt>
                <c:pt idx="31">
                  <c:v>252</c:v>
                </c:pt>
                <c:pt idx="32">
                  <c:v>254</c:v>
                </c:pt>
                <c:pt idx="33">
                  <c:v>258.60000000000002</c:v>
                </c:pt>
                <c:pt idx="34">
                  <c:v>261.39999999999998</c:v>
                </c:pt>
                <c:pt idx="35">
                  <c:v>262.39999999999998</c:v>
                </c:pt>
                <c:pt idx="36">
                  <c:v>264.10000000000002</c:v>
                </c:pt>
                <c:pt idx="37">
                  <c:v>262.8</c:v>
                </c:pt>
                <c:pt idx="38">
                  <c:v>282.3</c:v>
                </c:pt>
                <c:pt idx="39">
                  <c:v>276.10000000000002</c:v>
                </c:pt>
                <c:pt idx="40">
                  <c:v>278.39999999999998</c:v>
                </c:pt>
                <c:pt idx="41">
                  <c:v>286.5</c:v>
                </c:pt>
                <c:pt idx="42">
                  <c:v>273</c:v>
                </c:pt>
                <c:pt idx="43">
                  <c:v>284.10000000000002</c:v>
                </c:pt>
                <c:pt idx="44">
                  <c:v>302.8</c:v>
                </c:pt>
                <c:pt idx="45">
                  <c:v>302.60000000000002</c:v>
                </c:pt>
                <c:pt idx="46">
                  <c:v>302.8</c:v>
                </c:pt>
                <c:pt idx="47">
                  <c:v>295.7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1C-CC4D-93CE-82473C519A46}"/>
            </c:ext>
          </c:extLst>
        </c:ser>
        <c:ser>
          <c:idx val="5"/>
          <c:order val="5"/>
          <c:tx>
            <c:strRef>
              <c:f>'House-Price-Index'!$G$3</c:f>
              <c:strCache>
                <c:ptCount val="1"/>
                <c:pt idx="0">
                  <c:v>Lucknow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'House-Price-Index'!$G$4:$G$51</c:f>
              <c:numCache>
                <c:formatCode>General</c:formatCode>
                <c:ptCount val="48"/>
                <c:pt idx="0">
                  <c:v>88.8</c:v>
                </c:pt>
                <c:pt idx="1">
                  <c:v>98.7</c:v>
                </c:pt>
                <c:pt idx="2">
                  <c:v>104.7</c:v>
                </c:pt>
                <c:pt idx="3">
                  <c:v>107.8</c:v>
                </c:pt>
                <c:pt idx="4">
                  <c:v>118</c:v>
                </c:pt>
                <c:pt idx="5">
                  <c:v>123.1</c:v>
                </c:pt>
                <c:pt idx="6">
                  <c:v>131.9</c:v>
                </c:pt>
                <c:pt idx="7">
                  <c:v>129.4</c:v>
                </c:pt>
                <c:pt idx="8">
                  <c:v>136.4</c:v>
                </c:pt>
                <c:pt idx="9">
                  <c:v>156.6</c:v>
                </c:pt>
                <c:pt idx="10">
                  <c:v>169.3</c:v>
                </c:pt>
                <c:pt idx="11">
                  <c:v>166.2</c:v>
                </c:pt>
                <c:pt idx="12">
                  <c:v>173.9</c:v>
                </c:pt>
                <c:pt idx="13">
                  <c:v>186.7</c:v>
                </c:pt>
                <c:pt idx="14">
                  <c:v>203.6</c:v>
                </c:pt>
                <c:pt idx="15">
                  <c:v>212.5</c:v>
                </c:pt>
                <c:pt idx="16">
                  <c:v>223.3</c:v>
                </c:pt>
                <c:pt idx="17">
                  <c:v>238.7</c:v>
                </c:pt>
                <c:pt idx="18">
                  <c:v>243.4</c:v>
                </c:pt>
                <c:pt idx="19">
                  <c:v>267.3</c:v>
                </c:pt>
                <c:pt idx="20">
                  <c:v>259.8</c:v>
                </c:pt>
                <c:pt idx="21">
                  <c:v>264.7</c:v>
                </c:pt>
                <c:pt idx="22">
                  <c:v>282.5</c:v>
                </c:pt>
                <c:pt idx="23">
                  <c:v>288.89999999999998</c:v>
                </c:pt>
                <c:pt idx="24">
                  <c:v>302.60000000000002</c:v>
                </c:pt>
                <c:pt idx="25">
                  <c:v>311.60000000000002</c:v>
                </c:pt>
                <c:pt idx="26">
                  <c:v>337.1</c:v>
                </c:pt>
                <c:pt idx="27">
                  <c:v>335.8</c:v>
                </c:pt>
                <c:pt idx="28">
                  <c:v>341.3</c:v>
                </c:pt>
                <c:pt idx="29">
                  <c:v>344.4</c:v>
                </c:pt>
                <c:pt idx="30">
                  <c:v>354</c:v>
                </c:pt>
                <c:pt idx="31">
                  <c:v>362.2</c:v>
                </c:pt>
                <c:pt idx="32">
                  <c:v>360.6</c:v>
                </c:pt>
                <c:pt idx="33">
                  <c:v>370</c:v>
                </c:pt>
                <c:pt idx="34">
                  <c:v>386.3</c:v>
                </c:pt>
                <c:pt idx="35">
                  <c:v>370.3</c:v>
                </c:pt>
                <c:pt idx="36">
                  <c:v>370.7</c:v>
                </c:pt>
                <c:pt idx="37">
                  <c:v>371.9</c:v>
                </c:pt>
                <c:pt idx="38">
                  <c:v>392</c:v>
                </c:pt>
                <c:pt idx="39">
                  <c:v>395.5</c:v>
                </c:pt>
                <c:pt idx="40">
                  <c:v>396.2</c:v>
                </c:pt>
                <c:pt idx="41">
                  <c:v>397.5</c:v>
                </c:pt>
                <c:pt idx="42">
                  <c:v>398.1</c:v>
                </c:pt>
                <c:pt idx="43">
                  <c:v>398.4</c:v>
                </c:pt>
                <c:pt idx="44">
                  <c:v>394.9</c:v>
                </c:pt>
                <c:pt idx="45">
                  <c:v>395.5</c:v>
                </c:pt>
                <c:pt idx="46">
                  <c:v>397.2</c:v>
                </c:pt>
                <c:pt idx="47">
                  <c:v>396.8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1C-CC4D-93CE-82473C519A46}"/>
            </c:ext>
          </c:extLst>
        </c:ser>
        <c:ser>
          <c:idx val="6"/>
          <c:order val="6"/>
          <c:tx>
            <c:strRef>
              <c:f>'House-Price-Index'!$H$3</c:f>
              <c:strCache>
                <c:ptCount val="1"/>
                <c:pt idx="0">
                  <c:v>Kolkata 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'House-Price-Index'!$H$4:$H$51</c:f>
              <c:numCache>
                <c:formatCode>General</c:formatCode>
                <c:ptCount val="48"/>
                <c:pt idx="0">
                  <c:v>77.900000000000006</c:v>
                </c:pt>
                <c:pt idx="1">
                  <c:v>103.2</c:v>
                </c:pt>
                <c:pt idx="2">
                  <c:v>106.6</c:v>
                </c:pt>
                <c:pt idx="3">
                  <c:v>112.3</c:v>
                </c:pt>
                <c:pt idx="4">
                  <c:v>103</c:v>
                </c:pt>
                <c:pt idx="5">
                  <c:v>105</c:v>
                </c:pt>
                <c:pt idx="6">
                  <c:v>103.2</c:v>
                </c:pt>
                <c:pt idx="7">
                  <c:v>106.1</c:v>
                </c:pt>
                <c:pt idx="8">
                  <c:v>135.19999999999999</c:v>
                </c:pt>
                <c:pt idx="9">
                  <c:v>149.1</c:v>
                </c:pt>
                <c:pt idx="10">
                  <c:v>162.5</c:v>
                </c:pt>
                <c:pt idx="11">
                  <c:v>169.4</c:v>
                </c:pt>
                <c:pt idx="12">
                  <c:v>171.8</c:v>
                </c:pt>
                <c:pt idx="13">
                  <c:v>173.5</c:v>
                </c:pt>
                <c:pt idx="14">
                  <c:v>168.2</c:v>
                </c:pt>
                <c:pt idx="15">
                  <c:v>169.8</c:v>
                </c:pt>
                <c:pt idx="16">
                  <c:v>194</c:v>
                </c:pt>
                <c:pt idx="17">
                  <c:v>209.3</c:v>
                </c:pt>
                <c:pt idx="18">
                  <c:v>210.8</c:v>
                </c:pt>
                <c:pt idx="19">
                  <c:v>224.9</c:v>
                </c:pt>
                <c:pt idx="20">
                  <c:v>231.1</c:v>
                </c:pt>
                <c:pt idx="21">
                  <c:v>224.1</c:v>
                </c:pt>
                <c:pt idx="22">
                  <c:v>224.1</c:v>
                </c:pt>
                <c:pt idx="23">
                  <c:v>222.3</c:v>
                </c:pt>
                <c:pt idx="24">
                  <c:v>234.9</c:v>
                </c:pt>
                <c:pt idx="25">
                  <c:v>231.9</c:v>
                </c:pt>
                <c:pt idx="26">
                  <c:v>240.2</c:v>
                </c:pt>
                <c:pt idx="27">
                  <c:v>242.3</c:v>
                </c:pt>
                <c:pt idx="28">
                  <c:v>251.4</c:v>
                </c:pt>
                <c:pt idx="29">
                  <c:v>248.2</c:v>
                </c:pt>
                <c:pt idx="30">
                  <c:v>253.4</c:v>
                </c:pt>
                <c:pt idx="31">
                  <c:v>254.7</c:v>
                </c:pt>
                <c:pt idx="32">
                  <c:v>254.5</c:v>
                </c:pt>
                <c:pt idx="33">
                  <c:v>255.9</c:v>
                </c:pt>
                <c:pt idx="34">
                  <c:v>262</c:v>
                </c:pt>
                <c:pt idx="35">
                  <c:v>265.5</c:v>
                </c:pt>
                <c:pt idx="36">
                  <c:v>266.5</c:v>
                </c:pt>
                <c:pt idx="37">
                  <c:v>275.10000000000002</c:v>
                </c:pt>
                <c:pt idx="38">
                  <c:v>266.5</c:v>
                </c:pt>
                <c:pt idx="39">
                  <c:v>272.39999999999998</c:v>
                </c:pt>
                <c:pt idx="40">
                  <c:v>270.89999999999998</c:v>
                </c:pt>
                <c:pt idx="41">
                  <c:v>268.10000000000002</c:v>
                </c:pt>
                <c:pt idx="42">
                  <c:v>280</c:v>
                </c:pt>
                <c:pt idx="43">
                  <c:v>276.8</c:v>
                </c:pt>
                <c:pt idx="44">
                  <c:v>284</c:v>
                </c:pt>
                <c:pt idx="45">
                  <c:v>278.7</c:v>
                </c:pt>
                <c:pt idx="46">
                  <c:v>288.5</c:v>
                </c:pt>
                <c:pt idx="47">
                  <c:v>329.9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1C-CC4D-93CE-82473C519A46}"/>
            </c:ext>
          </c:extLst>
        </c:ser>
        <c:ser>
          <c:idx val="7"/>
          <c:order val="7"/>
          <c:tx>
            <c:strRef>
              <c:f>'House-Price-Index'!$I$3</c:f>
              <c:strCache>
                <c:ptCount val="1"/>
                <c:pt idx="0">
                  <c:v>Chennai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'House-Price-Index'!$I$4:$I$51</c:f>
              <c:numCache>
                <c:formatCode>General</c:formatCode>
                <c:ptCount val="48"/>
                <c:pt idx="0">
                  <c:v>102.7</c:v>
                </c:pt>
                <c:pt idx="1">
                  <c:v>109.5</c:v>
                </c:pt>
                <c:pt idx="2">
                  <c:v>94.6</c:v>
                </c:pt>
                <c:pt idx="3">
                  <c:v>93.1</c:v>
                </c:pt>
                <c:pt idx="4">
                  <c:v>101.2</c:v>
                </c:pt>
                <c:pt idx="5">
                  <c:v>110.4</c:v>
                </c:pt>
                <c:pt idx="6">
                  <c:v>110.7</c:v>
                </c:pt>
                <c:pt idx="7">
                  <c:v>108.2</c:v>
                </c:pt>
                <c:pt idx="8">
                  <c:v>119.2</c:v>
                </c:pt>
                <c:pt idx="9">
                  <c:v>117.8</c:v>
                </c:pt>
                <c:pt idx="10">
                  <c:v>137.6</c:v>
                </c:pt>
                <c:pt idx="11">
                  <c:v>137.4</c:v>
                </c:pt>
                <c:pt idx="12">
                  <c:v>138.30000000000001</c:v>
                </c:pt>
                <c:pt idx="13">
                  <c:v>150</c:v>
                </c:pt>
                <c:pt idx="14">
                  <c:v>174.3</c:v>
                </c:pt>
                <c:pt idx="15">
                  <c:v>179.3</c:v>
                </c:pt>
                <c:pt idx="16">
                  <c:v>179.2</c:v>
                </c:pt>
                <c:pt idx="17">
                  <c:v>172.8</c:v>
                </c:pt>
                <c:pt idx="18">
                  <c:v>187.3</c:v>
                </c:pt>
                <c:pt idx="19">
                  <c:v>188</c:v>
                </c:pt>
                <c:pt idx="20">
                  <c:v>186</c:v>
                </c:pt>
                <c:pt idx="21">
                  <c:v>194.2</c:v>
                </c:pt>
                <c:pt idx="22">
                  <c:v>202.7</c:v>
                </c:pt>
                <c:pt idx="23">
                  <c:v>210.7</c:v>
                </c:pt>
                <c:pt idx="24">
                  <c:v>230.6</c:v>
                </c:pt>
                <c:pt idx="25">
                  <c:v>229.3</c:v>
                </c:pt>
                <c:pt idx="26">
                  <c:v>224</c:v>
                </c:pt>
                <c:pt idx="27">
                  <c:v>208.9</c:v>
                </c:pt>
                <c:pt idx="28">
                  <c:v>204.8</c:v>
                </c:pt>
                <c:pt idx="29">
                  <c:v>213.3</c:v>
                </c:pt>
                <c:pt idx="30">
                  <c:v>217</c:v>
                </c:pt>
                <c:pt idx="31">
                  <c:v>227.2</c:v>
                </c:pt>
                <c:pt idx="32">
                  <c:v>224.5</c:v>
                </c:pt>
                <c:pt idx="33">
                  <c:v>238.5</c:v>
                </c:pt>
                <c:pt idx="34">
                  <c:v>246.9</c:v>
                </c:pt>
                <c:pt idx="35">
                  <c:v>255.3</c:v>
                </c:pt>
                <c:pt idx="36">
                  <c:v>256.60000000000002</c:v>
                </c:pt>
                <c:pt idx="37">
                  <c:v>257.10000000000002</c:v>
                </c:pt>
                <c:pt idx="38">
                  <c:v>280.89999999999998</c:v>
                </c:pt>
                <c:pt idx="39">
                  <c:v>281.5</c:v>
                </c:pt>
                <c:pt idx="40">
                  <c:v>275.2</c:v>
                </c:pt>
                <c:pt idx="41">
                  <c:v>262.8</c:v>
                </c:pt>
                <c:pt idx="42">
                  <c:v>278.8</c:v>
                </c:pt>
                <c:pt idx="43">
                  <c:v>279.3</c:v>
                </c:pt>
                <c:pt idx="44">
                  <c:v>261.2</c:v>
                </c:pt>
                <c:pt idx="45">
                  <c:v>268.7</c:v>
                </c:pt>
                <c:pt idx="46">
                  <c:v>267.5</c:v>
                </c:pt>
                <c:pt idx="47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1C-CC4D-93CE-82473C519A46}"/>
            </c:ext>
          </c:extLst>
        </c:ser>
        <c:ser>
          <c:idx val="8"/>
          <c:order val="8"/>
          <c:tx>
            <c:strRef>
              <c:f>'House-Price-Index'!$J$3</c:f>
              <c:strCache>
                <c:ptCount val="1"/>
                <c:pt idx="0">
                  <c:v>Jaipur 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'House-Price-Index'!$J$4:$J$51</c:f>
              <c:numCache>
                <c:formatCode>General</c:formatCode>
                <c:ptCount val="48"/>
                <c:pt idx="0">
                  <c:v>95.3</c:v>
                </c:pt>
                <c:pt idx="1">
                  <c:v>99</c:v>
                </c:pt>
                <c:pt idx="2">
                  <c:v>103.6</c:v>
                </c:pt>
                <c:pt idx="3">
                  <c:v>102.1</c:v>
                </c:pt>
                <c:pt idx="4">
                  <c:v>106.3</c:v>
                </c:pt>
                <c:pt idx="5">
                  <c:v>109.6</c:v>
                </c:pt>
                <c:pt idx="6">
                  <c:v>108.3</c:v>
                </c:pt>
                <c:pt idx="7">
                  <c:v>108.6</c:v>
                </c:pt>
                <c:pt idx="8">
                  <c:v>113.4</c:v>
                </c:pt>
                <c:pt idx="9">
                  <c:v>117.4</c:v>
                </c:pt>
                <c:pt idx="10">
                  <c:v>118.9</c:v>
                </c:pt>
                <c:pt idx="11">
                  <c:v>129.4</c:v>
                </c:pt>
                <c:pt idx="12">
                  <c:v>129.4</c:v>
                </c:pt>
                <c:pt idx="13">
                  <c:v>128</c:v>
                </c:pt>
                <c:pt idx="14">
                  <c:v>127.3</c:v>
                </c:pt>
                <c:pt idx="15">
                  <c:v>120</c:v>
                </c:pt>
                <c:pt idx="16">
                  <c:v>120.6</c:v>
                </c:pt>
                <c:pt idx="17">
                  <c:v>131.69999999999999</c:v>
                </c:pt>
                <c:pt idx="18">
                  <c:v>143.6</c:v>
                </c:pt>
                <c:pt idx="19">
                  <c:v>140.6</c:v>
                </c:pt>
                <c:pt idx="20">
                  <c:v>132.69999999999999</c:v>
                </c:pt>
                <c:pt idx="21">
                  <c:v>136</c:v>
                </c:pt>
                <c:pt idx="22">
                  <c:v>136.1</c:v>
                </c:pt>
                <c:pt idx="23">
                  <c:v>126.1</c:v>
                </c:pt>
                <c:pt idx="24">
                  <c:v>126.8</c:v>
                </c:pt>
                <c:pt idx="25">
                  <c:v>127.5</c:v>
                </c:pt>
                <c:pt idx="26">
                  <c:v>128.69999999999999</c:v>
                </c:pt>
                <c:pt idx="27">
                  <c:v>129.4</c:v>
                </c:pt>
                <c:pt idx="28">
                  <c:v>132.69999999999999</c:v>
                </c:pt>
                <c:pt idx="29">
                  <c:v>144.5</c:v>
                </c:pt>
                <c:pt idx="30">
                  <c:v>149.4</c:v>
                </c:pt>
                <c:pt idx="31">
                  <c:v>159.19999999999999</c:v>
                </c:pt>
                <c:pt idx="32">
                  <c:v>155.6</c:v>
                </c:pt>
                <c:pt idx="33">
                  <c:v>157.6</c:v>
                </c:pt>
                <c:pt idx="34">
                  <c:v>152.80000000000001</c:v>
                </c:pt>
                <c:pt idx="35">
                  <c:v>141</c:v>
                </c:pt>
                <c:pt idx="36">
                  <c:v>161.5</c:v>
                </c:pt>
                <c:pt idx="37">
                  <c:v>177.3</c:v>
                </c:pt>
                <c:pt idx="38">
                  <c:v>175.5</c:v>
                </c:pt>
                <c:pt idx="39">
                  <c:v>172.8</c:v>
                </c:pt>
                <c:pt idx="40">
                  <c:v>172.6</c:v>
                </c:pt>
                <c:pt idx="41">
                  <c:v>172.6</c:v>
                </c:pt>
                <c:pt idx="42">
                  <c:v>171</c:v>
                </c:pt>
                <c:pt idx="43">
                  <c:v>166.7</c:v>
                </c:pt>
                <c:pt idx="44">
                  <c:v>167.1</c:v>
                </c:pt>
                <c:pt idx="45">
                  <c:v>181.2</c:v>
                </c:pt>
                <c:pt idx="46">
                  <c:v>188.5</c:v>
                </c:pt>
                <c:pt idx="47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1C-CC4D-93CE-82473C519A46}"/>
            </c:ext>
          </c:extLst>
        </c:ser>
        <c:ser>
          <c:idx val="9"/>
          <c:order val="9"/>
          <c:tx>
            <c:strRef>
              <c:f>'House-Price-Index'!$K$3</c:f>
              <c:strCache>
                <c:ptCount val="1"/>
                <c:pt idx="0">
                  <c:v>Kanpur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'House-Price-Index'!$K$4:$K$51</c:f>
              <c:numCache>
                <c:formatCode>General</c:formatCode>
                <c:ptCount val="48"/>
                <c:pt idx="0">
                  <c:v>91.7</c:v>
                </c:pt>
                <c:pt idx="1">
                  <c:v>99.4</c:v>
                </c:pt>
                <c:pt idx="2">
                  <c:v>103.7</c:v>
                </c:pt>
                <c:pt idx="3">
                  <c:v>105.1</c:v>
                </c:pt>
                <c:pt idx="4">
                  <c:v>104.7</c:v>
                </c:pt>
                <c:pt idx="5">
                  <c:v>106.8</c:v>
                </c:pt>
                <c:pt idx="6">
                  <c:v>108.5</c:v>
                </c:pt>
                <c:pt idx="7">
                  <c:v>114.9</c:v>
                </c:pt>
                <c:pt idx="8">
                  <c:v>114.4</c:v>
                </c:pt>
                <c:pt idx="9">
                  <c:v>106</c:v>
                </c:pt>
                <c:pt idx="10">
                  <c:v>92.8</c:v>
                </c:pt>
                <c:pt idx="11">
                  <c:v>90.9</c:v>
                </c:pt>
                <c:pt idx="12">
                  <c:v>82.4</c:v>
                </c:pt>
                <c:pt idx="13">
                  <c:v>92</c:v>
                </c:pt>
                <c:pt idx="14">
                  <c:v>81.599999999999994</c:v>
                </c:pt>
                <c:pt idx="15">
                  <c:v>78.400000000000006</c:v>
                </c:pt>
                <c:pt idx="16">
                  <c:v>99.4</c:v>
                </c:pt>
                <c:pt idx="17">
                  <c:v>101.8</c:v>
                </c:pt>
                <c:pt idx="18">
                  <c:v>107</c:v>
                </c:pt>
                <c:pt idx="19">
                  <c:v>113.5</c:v>
                </c:pt>
                <c:pt idx="20">
                  <c:v>104.3</c:v>
                </c:pt>
                <c:pt idx="21">
                  <c:v>110.4</c:v>
                </c:pt>
                <c:pt idx="22">
                  <c:v>115.1</c:v>
                </c:pt>
                <c:pt idx="23">
                  <c:v>111.6</c:v>
                </c:pt>
                <c:pt idx="24">
                  <c:v>113</c:v>
                </c:pt>
                <c:pt idx="25">
                  <c:v>107.8</c:v>
                </c:pt>
                <c:pt idx="26">
                  <c:v>120.9</c:v>
                </c:pt>
                <c:pt idx="27">
                  <c:v>130.80000000000001</c:v>
                </c:pt>
                <c:pt idx="28">
                  <c:v>133.5</c:v>
                </c:pt>
                <c:pt idx="29">
                  <c:v>144.69999999999999</c:v>
                </c:pt>
                <c:pt idx="30">
                  <c:v>149.1</c:v>
                </c:pt>
                <c:pt idx="31">
                  <c:v>152.30000000000001</c:v>
                </c:pt>
                <c:pt idx="32">
                  <c:v>148.69999999999999</c:v>
                </c:pt>
                <c:pt idx="33">
                  <c:v>140.30000000000001</c:v>
                </c:pt>
                <c:pt idx="34">
                  <c:v>154.9</c:v>
                </c:pt>
                <c:pt idx="35">
                  <c:v>150.1</c:v>
                </c:pt>
                <c:pt idx="36">
                  <c:v>164.9</c:v>
                </c:pt>
                <c:pt idx="37">
                  <c:v>166</c:v>
                </c:pt>
                <c:pt idx="38">
                  <c:v>171.4</c:v>
                </c:pt>
                <c:pt idx="39">
                  <c:v>172.5</c:v>
                </c:pt>
                <c:pt idx="40">
                  <c:v>170.4</c:v>
                </c:pt>
                <c:pt idx="41">
                  <c:v>171.1</c:v>
                </c:pt>
                <c:pt idx="42">
                  <c:v>170.5</c:v>
                </c:pt>
                <c:pt idx="43">
                  <c:v>171.3</c:v>
                </c:pt>
                <c:pt idx="44">
                  <c:v>169.2</c:v>
                </c:pt>
                <c:pt idx="45">
                  <c:v>171</c:v>
                </c:pt>
                <c:pt idx="46">
                  <c:v>170.2</c:v>
                </c:pt>
                <c:pt idx="47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41C-CC4D-93CE-82473C519A46}"/>
            </c:ext>
          </c:extLst>
        </c:ser>
        <c:ser>
          <c:idx val="10"/>
          <c:order val="10"/>
          <c:tx>
            <c:strRef>
              <c:f>'House-Price-Index'!$L$3</c:f>
              <c:strCache>
                <c:ptCount val="1"/>
                <c:pt idx="0">
                  <c:v>Kochi 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7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41C-CC4D-93CE-82473C519A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'House-Price-Index'!$L$4:$L$51</c:f>
              <c:numCache>
                <c:formatCode>General</c:formatCode>
                <c:ptCount val="48"/>
                <c:pt idx="0">
                  <c:v>89.6</c:v>
                </c:pt>
                <c:pt idx="1">
                  <c:v>92.4</c:v>
                </c:pt>
                <c:pt idx="2">
                  <c:v>113.8</c:v>
                </c:pt>
                <c:pt idx="3">
                  <c:v>104.2</c:v>
                </c:pt>
                <c:pt idx="4">
                  <c:v>120.9</c:v>
                </c:pt>
                <c:pt idx="5">
                  <c:v>105</c:v>
                </c:pt>
                <c:pt idx="6">
                  <c:v>103.1</c:v>
                </c:pt>
                <c:pt idx="7">
                  <c:v>97.8</c:v>
                </c:pt>
                <c:pt idx="8">
                  <c:v>98.8</c:v>
                </c:pt>
                <c:pt idx="9">
                  <c:v>127.5</c:v>
                </c:pt>
                <c:pt idx="10">
                  <c:v>136.5</c:v>
                </c:pt>
                <c:pt idx="11">
                  <c:v>124.2</c:v>
                </c:pt>
                <c:pt idx="12">
                  <c:v>127</c:v>
                </c:pt>
                <c:pt idx="13">
                  <c:v>161.6</c:v>
                </c:pt>
                <c:pt idx="14">
                  <c:v>189.4</c:v>
                </c:pt>
                <c:pt idx="15">
                  <c:v>166.2</c:v>
                </c:pt>
                <c:pt idx="16">
                  <c:v>166.9</c:v>
                </c:pt>
                <c:pt idx="17">
                  <c:v>184.2</c:v>
                </c:pt>
                <c:pt idx="18">
                  <c:v>180.9</c:v>
                </c:pt>
                <c:pt idx="19">
                  <c:v>179.7</c:v>
                </c:pt>
                <c:pt idx="20">
                  <c:v>172.6</c:v>
                </c:pt>
                <c:pt idx="21">
                  <c:v>171</c:v>
                </c:pt>
                <c:pt idx="22">
                  <c:v>184.6</c:v>
                </c:pt>
                <c:pt idx="23">
                  <c:v>169.8</c:v>
                </c:pt>
                <c:pt idx="24">
                  <c:v>199.7</c:v>
                </c:pt>
                <c:pt idx="25">
                  <c:v>191.7</c:v>
                </c:pt>
                <c:pt idx="26">
                  <c:v>182.6</c:v>
                </c:pt>
                <c:pt idx="27">
                  <c:v>208.2</c:v>
                </c:pt>
                <c:pt idx="28">
                  <c:v>189.1</c:v>
                </c:pt>
                <c:pt idx="29">
                  <c:v>227.4</c:v>
                </c:pt>
                <c:pt idx="30">
                  <c:v>231.3</c:v>
                </c:pt>
                <c:pt idx="31">
                  <c:v>257.10000000000002</c:v>
                </c:pt>
                <c:pt idx="32">
                  <c:v>267</c:v>
                </c:pt>
                <c:pt idx="33">
                  <c:v>274.7</c:v>
                </c:pt>
                <c:pt idx="34">
                  <c:v>298</c:v>
                </c:pt>
                <c:pt idx="35">
                  <c:v>307.3</c:v>
                </c:pt>
                <c:pt idx="36">
                  <c:v>287.7</c:v>
                </c:pt>
                <c:pt idx="37">
                  <c:v>279</c:v>
                </c:pt>
                <c:pt idx="38">
                  <c:v>280.60000000000002</c:v>
                </c:pt>
                <c:pt idx="39">
                  <c:v>265</c:v>
                </c:pt>
                <c:pt idx="40">
                  <c:v>271.5</c:v>
                </c:pt>
                <c:pt idx="41">
                  <c:v>270.10000000000002</c:v>
                </c:pt>
                <c:pt idx="42">
                  <c:v>258.89999999999998</c:v>
                </c:pt>
                <c:pt idx="43">
                  <c:v>286.2</c:v>
                </c:pt>
                <c:pt idx="44">
                  <c:v>287.3</c:v>
                </c:pt>
                <c:pt idx="45">
                  <c:v>297.2</c:v>
                </c:pt>
                <c:pt idx="46">
                  <c:v>310.10000000000002</c:v>
                </c:pt>
                <c:pt idx="47">
                  <c:v>307.39999999999998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41C-CC4D-93CE-82473C519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829168"/>
        <c:axId val="1084224896"/>
      </c:lineChart>
      <c:dateAx>
        <c:axId val="1083829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24896"/>
        <c:crosses val="autoZero"/>
        <c:auto val="1"/>
        <c:lblOffset val="100"/>
        <c:baseTimeUnit val="months"/>
      </c:dateAx>
      <c:valAx>
        <c:axId val="10842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WPI - Components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WPI!$B$3</c:f>
              <c:strCache>
                <c:ptCount val="1"/>
                <c:pt idx="0">
                  <c:v>All commodities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0.37875559407180731"/>
                  <c:y val="-9.1954022988505746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WPI!$B$6:$B$65</c:f>
              <c:numCache>
                <c:formatCode>General</c:formatCode>
                <c:ptCount val="60"/>
                <c:pt idx="0">
                  <c:v>114.8</c:v>
                </c:pt>
                <c:pt idx="1">
                  <c:v>114.9</c:v>
                </c:pt>
                <c:pt idx="2">
                  <c:v>115.6</c:v>
                </c:pt>
                <c:pt idx="3">
                  <c:v>116.4</c:v>
                </c:pt>
                <c:pt idx="4">
                  <c:v>115.7</c:v>
                </c:pt>
                <c:pt idx="5">
                  <c:v>116</c:v>
                </c:pt>
                <c:pt idx="6">
                  <c:v>116.1</c:v>
                </c:pt>
                <c:pt idx="7">
                  <c:v>116.3</c:v>
                </c:pt>
                <c:pt idx="8">
                  <c:v>117.3</c:v>
                </c:pt>
                <c:pt idx="9">
                  <c:v>118.3</c:v>
                </c:pt>
                <c:pt idx="10">
                  <c:v>119.1</c:v>
                </c:pt>
                <c:pt idx="11">
                  <c:v>119.9</c:v>
                </c:pt>
                <c:pt idx="12">
                  <c:v>120.1</c:v>
                </c:pt>
                <c:pt idx="13">
                  <c:v>120.9</c:v>
                </c:pt>
                <c:pt idx="14">
                  <c:v>122</c:v>
                </c:pt>
                <c:pt idx="15">
                  <c:v>121.6</c:v>
                </c:pt>
                <c:pt idx="16">
                  <c:v>119.7</c:v>
                </c:pt>
                <c:pt idx="17">
                  <c:v>119.2</c:v>
                </c:pt>
                <c:pt idx="18">
                  <c:v>119.5</c:v>
                </c:pt>
                <c:pt idx="19">
                  <c:v>119.9</c:v>
                </c:pt>
                <c:pt idx="20">
                  <c:v>121.1</c:v>
                </c:pt>
                <c:pt idx="21">
                  <c:v>121.6</c:v>
                </c:pt>
                <c:pt idx="22">
                  <c:v>121.5</c:v>
                </c:pt>
                <c:pt idx="23">
                  <c:v>121.3</c:v>
                </c:pt>
                <c:pt idx="24">
                  <c:v>121.5</c:v>
                </c:pt>
                <c:pt idx="25">
                  <c:v>121.3</c:v>
                </c:pt>
                <c:pt idx="26">
                  <c:v>122</c:v>
                </c:pt>
                <c:pt idx="27">
                  <c:v>122.3</c:v>
                </c:pt>
                <c:pt idx="28">
                  <c:v>123</c:v>
                </c:pt>
                <c:pt idx="29">
                  <c:v>123.4</c:v>
                </c:pt>
                <c:pt idx="30">
                  <c:v>122.2</c:v>
                </c:pt>
                <c:pt idx="31">
                  <c:v>120.4</c:v>
                </c:pt>
                <c:pt idx="32">
                  <c:v>119.2</c:v>
                </c:pt>
                <c:pt idx="33">
                  <c:v>117.5</c:v>
                </c:pt>
                <c:pt idx="34">
                  <c:v>119.3</c:v>
                </c:pt>
                <c:pt idx="35">
                  <c:v>121</c:v>
                </c:pt>
                <c:pt idx="36">
                  <c:v>122</c:v>
                </c:pt>
                <c:pt idx="37">
                  <c:v>122.9</c:v>
                </c:pt>
                <c:pt idx="38">
                  <c:v>123.6</c:v>
                </c:pt>
                <c:pt idx="39">
                  <c:v>125.1</c:v>
                </c:pt>
                <c:pt idx="40">
                  <c:v>125.4</c:v>
                </c:pt>
                <c:pt idx="41">
                  <c:v>126.5</c:v>
                </c:pt>
                <c:pt idx="42">
                  <c:v>128.1</c:v>
                </c:pt>
                <c:pt idx="43">
                  <c:v>129.9</c:v>
                </c:pt>
                <c:pt idx="44">
                  <c:v>132</c:v>
                </c:pt>
                <c:pt idx="45">
                  <c:v>132.9</c:v>
                </c:pt>
                <c:pt idx="46">
                  <c:v>133.69999999999999</c:v>
                </c:pt>
                <c:pt idx="47">
                  <c:v>135</c:v>
                </c:pt>
                <c:pt idx="48">
                  <c:v>136.19999999999999</c:v>
                </c:pt>
                <c:pt idx="49">
                  <c:v>137.4</c:v>
                </c:pt>
                <c:pt idx="50">
                  <c:v>140.69999999999999</c:v>
                </c:pt>
                <c:pt idx="51">
                  <c:v>143.69999999999999</c:v>
                </c:pt>
                <c:pt idx="52">
                  <c:v>143.30000000000001</c:v>
                </c:pt>
                <c:pt idx="53">
                  <c:v>143.80000000000001</c:v>
                </c:pt>
                <c:pt idx="54">
                  <c:v>145.30000000000001</c:v>
                </c:pt>
                <c:pt idx="55">
                  <c:v>148.9</c:v>
                </c:pt>
                <c:pt idx="56">
                  <c:v>152.30000000000001</c:v>
                </c:pt>
                <c:pt idx="57">
                  <c:v>155</c:v>
                </c:pt>
                <c:pt idx="58">
                  <c:v>154</c:v>
                </c:pt>
                <c:pt idx="59">
                  <c:v>153.80000000000001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B94B-95BE-C42EC82F1BD3}"/>
            </c:ext>
          </c:extLst>
        </c:ser>
        <c:ser>
          <c:idx val="1"/>
          <c:order val="1"/>
          <c:tx>
            <c:strRef>
              <c:f>WPI!$C$3</c:f>
              <c:strCache>
                <c:ptCount val="1"/>
                <c:pt idx="0">
                  <c:v>Primary articles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9.6608282950013877E-2"/>
                  <c:y val="-0.10180623973727421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WPI!$C$6:$C$65</c:f>
              <c:numCache>
                <c:formatCode>General</c:formatCode>
                <c:ptCount val="60"/>
                <c:pt idx="0">
                  <c:v>135.30000000000001</c:v>
                </c:pt>
                <c:pt idx="1">
                  <c:v>131.5</c:v>
                </c:pt>
                <c:pt idx="2">
                  <c:v>133.9</c:v>
                </c:pt>
                <c:pt idx="3">
                  <c:v>136</c:v>
                </c:pt>
                <c:pt idx="4">
                  <c:v>131.69999999999999</c:v>
                </c:pt>
                <c:pt idx="5">
                  <c:v>129.9</c:v>
                </c:pt>
                <c:pt idx="6">
                  <c:v>128</c:v>
                </c:pt>
                <c:pt idx="7">
                  <c:v>128.19999999999999</c:v>
                </c:pt>
                <c:pt idx="8">
                  <c:v>130.69999999999999</c:v>
                </c:pt>
                <c:pt idx="9">
                  <c:v>131.4</c:v>
                </c:pt>
                <c:pt idx="10">
                  <c:v>132.5</c:v>
                </c:pt>
                <c:pt idx="11">
                  <c:v>135.30000000000001</c:v>
                </c:pt>
                <c:pt idx="12">
                  <c:v>135.19999999999999</c:v>
                </c:pt>
                <c:pt idx="13">
                  <c:v>135.5</c:v>
                </c:pt>
                <c:pt idx="14">
                  <c:v>137.19999999999999</c:v>
                </c:pt>
                <c:pt idx="15">
                  <c:v>136.80000000000001</c:v>
                </c:pt>
                <c:pt idx="16">
                  <c:v>133.5</c:v>
                </c:pt>
                <c:pt idx="17">
                  <c:v>133.80000000000001</c:v>
                </c:pt>
                <c:pt idx="18">
                  <c:v>134.1</c:v>
                </c:pt>
                <c:pt idx="19">
                  <c:v>134.5</c:v>
                </c:pt>
                <c:pt idx="20">
                  <c:v>139.30000000000001</c:v>
                </c:pt>
                <c:pt idx="21">
                  <c:v>140.30000000000001</c:v>
                </c:pt>
                <c:pt idx="22">
                  <c:v>141</c:v>
                </c:pt>
                <c:pt idx="23">
                  <c:v>142.80000000000001</c:v>
                </c:pt>
                <c:pt idx="24">
                  <c:v>144</c:v>
                </c:pt>
                <c:pt idx="25">
                  <c:v>143</c:v>
                </c:pt>
                <c:pt idx="26">
                  <c:v>145.5</c:v>
                </c:pt>
                <c:pt idx="27">
                  <c:v>147.19999999999999</c:v>
                </c:pt>
                <c:pt idx="28">
                  <c:v>148.9</c:v>
                </c:pt>
                <c:pt idx="29">
                  <c:v>147.19999999999999</c:v>
                </c:pt>
                <c:pt idx="30">
                  <c:v>142.80000000000001</c:v>
                </c:pt>
                <c:pt idx="31">
                  <c:v>137.4</c:v>
                </c:pt>
                <c:pt idx="32">
                  <c:v>137.80000000000001</c:v>
                </c:pt>
                <c:pt idx="33">
                  <c:v>137.30000000000001</c:v>
                </c:pt>
                <c:pt idx="34">
                  <c:v>140.9</c:v>
                </c:pt>
                <c:pt idx="35">
                  <c:v>145.1</c:v>
                </c:pt>
                <c:pt idx="36">
                  <c:v>146.69999999999999</c:v>
                </c:pt>
                <c:pt idx="37">
                  <c:v>148.80000000000001</c:v>
                </c:pt>
                <c:pt idx="38">
                  <c:v>151.80000000000001</c:v>
                </c:pt>
                <c:pt idx="39">
                  <c:v>152.80000000000001</c:v>
                </c:pt>
                <c:pt idx="40">
                  <c:v>148</c:v>
                </c:pt>
                <c:pt idx="41">
                  <c:v>144.9</c:v>
                </c:pt>
                <c:pt idx="42">
                  <c:v>147.1</c:v>
                </c:pt>
                <c:pt idx="43">
                  <c:v>147.4</c:v>
                </c:pt>
                <c:pt idx="44">
                  <c:v>151.5</c:v>
                </c:pt>
                <c:pt idx="45">
                  <c:v>150.19999999999999</c:v>
                </c:pt>
                <c:pt idx="46">
                  <c:v>153</c:v>
                </c:pt>
                <c:pt idx="47">
                  <c:v>154.30000000000001</c:v>
                </c:pt>
                <c:pt idx="48">
                  <c:v>155.4</c:v>
                </c:pt>
                <c:pt idx="49">
                  <c:v>157.69999999999999</c:v>
                </c:pt>
                <c:pt idx="50">
                  <c:v>163</c:v>
                </c:pt>
                <c:pt idx="51">
                  <c:v>168.4</c:v>
                </c:pt>
                <c:pt idx="52">
                  <c:v>168.4</c:v>
                </c:pt>
                <c:pt idx="53">
                  <c:v>167.5</c:v>
                </c:pt>
                <c:pt idx="54">
                  <c:v>167.5</c:v>
                </c:pt>
                <c:pt idx="55">
                  <c:v>170.9</c:v>
                </c:pt>
                <c:pt idx="56">
                  <c:v>174.5</c:v>
                </c:pt>
                <c:pt idx="57">
                  <c:v>178.5</c:v>
                </c:pt>
                <c:pt idx="58">
                  <c:v>182.4</c:v>
                </c:pt>
                <c:pt idx="59">
                  <c:v>177.5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B94B-95BE-C42EC82F1BD3}"/>
            </c:ext>
          </c:extLst>
        </c:ser>
        <c:ser>
          <c:idx val="2"/>
          <c:order val="2"/>
          <c:tx>
            <c:strRef>
              <c:f>WPI!$H$3</c:f>
              <c:strCache>
                <c:ptCount val="1"/>
                <c:pt idx="0">
                  <c:v>Fuel &amp; power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-0.11301602561932565"/>
                  <c:y val="-5.2545155993431854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WPI!$H$6:$H$65</c:f>
              <c:numCache>
                <c:formatCode>General</c:formatCode>
                <c:ptCount val="60"/>
                <c:pt idx="0">
                  <c:v>89.1</c:v>
                </c:pt>
                <c:pt idx="1">
                  <c:v>91.9</c:v>
                </c:pt>
                <c:pt idx="2">
                  <c:v>93.8</c:v>
                </c:pt>
                <c:pt idx="3">
                  <c:v>94.6</c:v>
                </c:pt>
                <c:pt idx="4">
                  <c:v>95.5</c:v>
                </c:pt>
                <c:pt idx="5">
                  <c:v>97.5</c:v>
                </c:pt>
                <c:pt idx="6">
                  <c:v>98.8</c:v>
                </c:pt>
                <c:pt idx="7">
                  <c:v>98</c:v>
                </c:pt>
                <c:pt idx="8">
                  <c:v>99</c:v>
                </c:pt>
                <c:pt idx="9">
                  <c:v>102.4</c:v>
                </c:pt>
                <c:pt idx="10">
                  <c:v>104.4</c:v>
                </c:pt>
                <c:pt idx="11">
                  <c:v>104.4</c:v>
                </c:pt>
                <c:pt idx="12">
                  <c:v>104.9</c:v>
                </c:pt>
                <c:pt idx="13">
                  <c:v>107.8</c:v>
                </c:pt>
                <c:pt idx="14">
                  <c:v>111.3</c:v>
                </c:pt>
                <c:pt idx="15">
                  <c:v>109.3</c:v>
                </c:pt>
                <c:pt idx="16">
                  <c:v>102.8</c:v>
                </c:pt>
                <c:pt idx="17">
                  <c:v>99.3</c:v>
                </c:pt>
                <c:pt idx="18">
                  <c:v>100.5</c:v>
                </c:pt>
                <c:pt idx="19">
                  <c:v>102.5</c:v>
                </c:pt>
                <c:pt idx="20">
                  <c:v>102.8</c:v>
                </c:pt>
                <c:pt idx="21">
                  <c:v>104.4</c:v>
                </c:pt>
                <c:pt idx="22">
                  <c:v>102.2</c:v>
                </c:pt>
                <c:pt idx="23">
                  <c:v>100.6</c:v>
                </c:pt>
                <c:pt idx="24">
                  <c:v>101.2</c:v>
                </c:pt>
                <c:pt idx="25">
                  <c:v>100.6</c:v>
                </c:pt>
                <c:pt idx="26">
                  <c:v>102.3</c:v>
                </c:pt>
                <c:pt idx="27">
                  <c:v>101.3</c:v>
                </c:pt>
                <c:pt idx="28">
                  <c:v>103.2</c:v>
                </c:pt>
                <c:pt idx="29">
                  <c:v>104.7</c:v>
                </c:pt>
                <c:pt idx="30">
                  <c:v>103.6</c:v>
                </c:pt>
                <c:pt idx="31">
                  <c:v>99.5</c:v>
                </c:pt>
                <c:pt idx="32">
                  <c:v>89.8</c:v>
                </c:pt>
                <c:pt idx="33">
                  <c:v>80.3</c:v>
                </c:pt>
                <c:pt idx="34">
                  <c:v>85.6</c:v>
                </c:pt>
                <c:pt idx="35">
                  <c:v>90.7</c:v>
                </c:pt>
                <c:pt idx="36">
                  <c:v>92</c:v>
                </c:pt>
                <c:pt idx="37">
                  <c:v>91.9</c:v>
                </c:pt>
                <c:pt idx="38">
                  <c:v>90.9</c:v>
                </c:pt>
                <c:pt idx="39">
                  <c:v>94.2</c:v>
                </c:pt>
                <c:pt idx="40">
                  <c:v>96.9</c:v>
                </c:pt>
                <c:pt idx="41">
                  <c:v>100.7</c:v>
                </c:pt>
                <c:pt idx="42">
                  <c:v>105.7</c:v>
                </c:pt>
                <c:pt idx="43">
                  <c:v>109.2</c:v>
                </c:pt>
                <c:pt idx="44">
                  <c:v>108.9</c:v>
                </c:pt>
                <c:pt idx="45">
                  <c:v>109.8</c:v>
                </c:pt>
                <c:pt idx="46">
                  <c:v>110.7</c:v>
                </c:pt>
                <c:pt idx="47">
                  <c:v>115.2</c:v>
                </c:pt>
                <c:pt idx="48">
                  <c:v>117.9</c:v>
                </c:pt>
                <c:pt idx="49">
                  <c:v>119</c:v>
                </c:pt>
                <c:pt idx="50">
                  <c:v>126</c:v>
                </c:pt>
                <c:pt idx="51">
                  <c:v>136</c:v>
                </c:pt>
                <c:pt idx="52">
                  <c:v>133.80000000000001</c:v>
                </c:pt>
                <c:pt idx="53">
                  <c:v>135.30000000000001</c:v>
                </c:pt>
                <c:pt idx="54">
                  <c:v>138.30000000000001</c:v>
                </c:pt>
                <c:pt idx="55">
                  <c:v>143.9</c:v>
                </c:pt>
                <c:pt idx="56">
                  <c:v>151.19999999999999</c:v>
                </c:pt>
                <c:pt idx="57">
                  <c:v>163.6</c:v>
                </c:pt>
                <c:pt idx="58">
                  <c:v>155.4</c:v>
                </c:pt>
                <c:pt idx="59">
                  <c:v>165.6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F-B94B-95BE-C42EC82F1BD3}"/>
            </c:ext>
          </c:extLst>
        </c:ser>
        <c:ser>
          <c:idx val="3"/>
          <c:order val="3"/>
          <c:tx>
            <c:strRef>
              <c:f>WPI!$L$3</c:f>
              <c:strCache>
                <c:ptCount val="1"/>
                <c:pt idx="0">
                  <c:v>Manufactured  products 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59"/>
              <c:layout>
                <c:manualLayout>
                  <c:x val="0"/>
                  <c:y val="0.13793103448275856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6F-B94B-95BE-C42EC82F1B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WPI!$A$6:$A$65</c:f>
              <c:numCache>
                <c:formatCode>mmm\-yy</c:formatCode>
                <c:ptCount val="60"/>
                <c:pt idx="0">
                  <c:v>42948</c:v>
                </c:pt>
                <c:pt idx="1">
                  <c:v>42979</c:v>
                </c:pt>
                <c:pt idx="2">
                  <c:v>43009</c:v>
                </c:pt>
                <c:pt idx="3">
                  <c:v>43040</c:v>
                </c:pt>
                <c:pt idx="4">
                  <c:v>43070</c:v>
                </c:pt>
                <c:pt idx="5">
                  <c:v>43101</c:v>
                </c:pt>
                <c:pt idx="6">
                  <c:v>43132</c:v>
                </c:pt>
                <c:pt idx="7">
                  <c:v>43160</c:v>
                </c:pt>
                <c:pt idx="8">
                  <c:v>43191</c:v>
                </c:pt>
                <c:pt idx="9">
                  <c:v>43221</c:v>
                </c:pt>
                <c:pt idx="10">
                  <c:v>43252</c:v>
                </c:pt>
                <c:pt idx="11">
                  <c:v>43282</c:v>
                </c:pt>
                <c:pt idx="12">
                  <c:v>43313</c:v>
                </c:pt>
                <c:pt idx="13">
                  <c:v>43344</c:v>
                </c:pt>
                <c:pt idx="14">
                  <c:v>43374</c:v>
                </c:pt>
                <c:pt idx="15">
                  <c:v>43405</c:v>
                </c:pt>
                <c:pt idx="16">
                  <c:v>43435</c:v>
                </c:pt>
                <c:pt idx="17">
                  <c:v>43466</c:v>
                </c:pt>
                <c:pt idx="18">
                  <c:v>43497</c:v>
                </c:pt>
                <c:pt idx="19">
                  <c:v>43525</c:v>
                </c:pt>
                <c:pt idx="20">
                  <c:v>43556</c:v>
                </c:pt>
                <c:pt idx="21">
                  <c:v>43586</c:v>
                </c:pt>
                <c:pt idx="22">
                  <c:v>43617</c:v>
                </c:pt>
                <c:pt idx="23">
                  <c:v>43647</c:v>
                </c:pt>
                <c:pt idx="24">
                  <c:v>43678</c:v>
                </c:pt>
                <c:pt idx="25">
                  <c:v>43709</c:v>
                </c:pt>
                <c:pt idx="26">
                  <c:v>43739</c:v>
                </c:pt>
                <c:pt idx="27">
                  <c:v>43770</c:v>
                </c:pt>
                <c:pt idx="28">
                  <c:v>43800</c:v>
                </c:pt>
                <c:pt idx="29">
                  <c:v>43831</c:v>
                </c:pt>
                <c:pt idx="30">
                  <c:v>43862</c:v>
                </c:pt>
                <c:pt idx="31">
                  <c:v>43891</c:v>
                </c:pt>
                <c:pt idx="32">
                  <c:v>43922</c:v>
                </c:pt>
                <c:pt idx="33">
                  <c:v>43952</c:v>
                </c:pt>
                <c:pt idx="34">
                  <c:v>43983</c:v>
                </c:pt>
                <c:pt idx="35">
                  <c:v>44013</c:v>
                </c:pt>
                <c:pt idx="36">
                  <c:v>44044</c:v>
                </c:pt>
                <c:pt idx="37">
                  <c:v>44075</c:v>
                </c:pt>
                <c:pt idx="38">
                  <c:v>44105</c:v>
                </c:pt>
                <c:pt idx="39">
                  <c:v>44136</c:v>
                </c:pt>
                <c:pt idx="40">
                  <c:v>44166</c:v>
                </c:pt>
                <c:pt idx="41">
                  <c:v>44197</c:v>
                </c:pt>
                <c:pt idx="42">
                  <c:v>44228</c:v>
                </c:pt>
                <c:pt idx="43">
                  <c:v>44256</c:v>
                </c:pt>
                <c:pt idx="44">
                  <c:v>44287</c:v>
                </c:pt>
                <c:pt idx="45">
                  <c:v>44317</c:v>
                </c:pt>
                <c:pt idx="46">
                  <c:v>44348</c:v>
                </c:pt>
                <c:pt idx="47">
                  <c:v>44378</c:v>
                </c:pt>
                <c:pt idx="48">
                  <c:v>44409</c:v>
                </c:pt>
                <c:pt idx="49">
                  <c:v>44440</c:v>
                </c:pt>
                <c:pt idx="50">
                  <c:v>44470</c:v>
                </c:pt>
                <c:pt idx="51">
                  <c:v>44501</c:v>
                </c:pt>
                <c:pt idx="52">
                  <c:v>44531</c:v>
                </c:pt>
                <c:pt idx="53">
                  <c:v>44562</c:v>
                </c:pt>
                <c:pt idx="54">
                  <c:v>44593</c:v>
                </c:pt>
                <c:pt idx="55">
                  <c:v>44621</c:v>
                </c:pt>
                <c:pt idx="56">
                  <c:v>44652</c:v>
                </c:pt>
                <c:pt idx="57">
                  <c:v>44682</c:v>
                </c:pt>
                <c:pt idx="58">
                  <c:v>44713</c:v>
                </c:pt>
                <c:pt idx="59">
                  <c:v>44743</c:v>
                </c:pt>
              </c:numCache>
            </c:numRef>
          </c:cat>
          <c:val>
            <c:numRef>
              <c:f>WPI!$L$6:$L$65</c:f>
              <c:numCache>
                <c:formatCode>General</c:formatCode>
                <c:ptCount val="60"/>
                <c:pt idx="0">
                  <c:v>112.8</c:v>
                </c:pt>
                <c:pt idx="1">
                  <c:v>113.7</c:v>
                </c:pt>
                <c:pt idx="2">
                  <c:v>113.7</c:v>
                </c:pt>
                <c:pt idx="3">
                  <c:v>114</c:v>
                </c:pt>
                <c:pt idx="4">
                  <c:v>114.2</c:v>
                </c:pt>
                <c:pt idx="5">
                  <c:v>114.9</c:v>
                </c:pt>
                <c:pt idx="6">
                  <c:v>115.5</c:v>
                </c:pt>
                <c:pt idx="7">
                  <c:v>115.8</c:v>
                </c:pt>
                <c:pt idx="8">
                  <c:v>116.3</c:v>
                </c:pt>
                <c:pt idx="9">
                  <c:v>116.9</c:v>
                </c:pt>
                <c:pt idx="10">
                  <c:v>117.3</c:v>
                </c:pt>
                <c:pt idx="11">
                  <c:v>117.7</c:v>
                </c:pt>
                <c:pt idx="12">
                  <c:v>117.8</c:v>
                </c:pt>
                <c:pt idx="13">
                  <c:v>118.4</c:v>
                </c:pt>
                <c:pt idx="14">
                  <c:v>118.9</c:v>
                </c:pt>
                <c:pt idx="15">
                  <c:v>118.8</c:v>
                </c:pt>
                <c:pt idx="16">
                  <c:v>118.3</c:v>
                </c:pt>
                <c:pt idx="17">
                  <c:v>118.1</c:v>
                </c:pt>
                <c:pt idx="18">
                  <c:v>118.2</c:v>
                </c:pt>
                <c:pt idx="19">
                  <c:v>118.3</c:v>
                </c:pt>
                <c:pt idx="20">
                  <c:v>118.5</c:v>
                </c:pt>
                <c:pt idx="21">
                  <c:v>118.6</c:v>
                </c:pt>
                <c:pt idx="22">
                  <c:v>118.5</c:v>
                </c:pt>
                <c:pt idx="23">
                  <c:v>118</c:v>
                </c:pt>
                <c:pt idx="24">
                  <c:v>117.8</c:v>
                </c:pt>
                <c:pt idx="25">
                  <c:v>117.9</c:v>
                </c:pt>
                <c:pt idx="26">
                  <c:v>117.8</c:v>
                </c:pt>
                <c:pt idx="27">
                  <c:v>117.8</c:v>
                </c:pt>
                <c:pt idx="28">
                  <c:v>118</c:v>
                </c:pt>
                <c:pt idx="29">
                  <c:v>118.8</c:v>
                </c:pt>
                <c:pt idx="30">
                  <c:v>118.8</c:v>
                </c:pt>
                <c:pt idx="31">
                  <c:v>118.6</c:v>
                </c:pt>
                <c:pt idx="32">
                  <c:v>118.7</c:v>
                </c:pt>
                <c:pt idx="33">
                  <c:v>118.2</c:v>
                </c:pt>
                <c:pt idx="34">
                  <c:v>118.6</c:v>
                </c:pt>
                <c:pt idx="35">
                  <c:v>118.7</c:v>
                </c:pt>
                <c:pt idx="36">
                  <c:v>119.4</c:v>
                </c:pt>
                <c:pt idx="37">
                  <c:v>120.1</c:v>
                </c:pt>
                <c:pt idx="38">
                  <c:v>120.4</c:v>
                </c:pt>
                <c:pt idx="39">
                  <c:v>121.6</c:v>
                </c:pt>
                <c:pt idx="40">
                  <c:v>123.3</c:v>
                </c:pt>
                <c:pt idx="41">
                  <c:v>125.3</c:v>
                </c:pt>
                <c:pt idx="42">
                  <c:v>126</c:v>
                </c:pt>
                <c:pt idx="43">
                  <c:v>127.9</c:v>
                </c:pt>
                <c:pt idx="44">
                  <c:v>129.9</c:v>
                </c:pt>
                <c:pt idx="45">
                  <c:v>131.5</c:v>
                </c:pt>
                <c:pt idx="46">
                  <c:v>131.6</c:v>
                </c:pt>
                <c:pt idx="47">
                  <c:v>132.30000000000001</c:v>
                </c:pt>
                <c:pt idx="48">
                  <c:v>133.19999999999999</c:v>
                </c:pt>
                <c:pt idx="49">
                  <c:v>134</c:v>
                </c:pt>
                <c:pt idx="50">
                  <c:v>135.9</c:v>
                </c:pt>
                <c:pt idx="51">
                  <c:v>136.6</c:v>
                </c:pt>
                <c:pt idx="52">
                  <c:v>136.5</c:v>
                </c:pt>
                <c:pt idx="53">
                  <c:v>137.19999999999999</c:v>
                </c:pt>
                <c:pt idx="54">
                  <c:v>138.9</c:v>
                </c:pt>
                <c:pt idx="55">
                  <c:v>142.30000000000001</c:v>
                </c:pt>
                <c:pt idx="56">
                  <c:v>144.69999999999999</c:v>
                </c:pt>
                <c:pt idx="57">
                  <c:v>145</c:v>
                </c:pt>
                <c:pt idx="58">
                  <c:v>143.69999999999999</c:v>
                </c:pt>
                <c:pt idx="59">
                  <c:v>143.1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F-B94B-95BE-C42EC82F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99680"/>
        <c:axId val="1083696752"/>
      </c:lineChart>
      <c:dateAx>
        <c:axId val="10780996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96752"/>
        <c:crosses val="autoZero"/>
        <c:auto val="1"/>
        <c:lblOffset val="100"/>
        <c:baseTimeUnit val="months"/>
      </c:dateAx>
      <c:valAx>
        <c:axId val="10836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WPI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0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Gross Fixed Capital </a:t>
            </a:r>
            <a:r>
              <a:rPr lang="en-GB" baseline="0"/>
              <a:t> (Investment Spending)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7.0555555555555552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93-6A47-9C30-6FF090B2FAFA}"/>
                </c:ext>
              </c:extLst>
            </c:dLbl>
            <c:dLbl>
              <c:idx val="8"/>
              <c:layout>
                <c:manualLayout>
                  <c:x val="-3.0555555555555454E-2"/>
                  <c:y val="0.129629629629629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93-6A47-9C30-6FF090B2F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'GCF-Public &amp; Private'!$P$3:$X$3</c:f>
              <c:strCache>
                <c:ptCount val="9"/>
                <c:pt idx="0">
                  <c:v>2011-12 </c:v>
                </c:pt>
                <c:pt idx="1">
                  <c:v>2012-13 </c:v>
                </c:pt>
                <c:pt idx="2">
                  <c:v>2013-14 </c:v>
                </c:pt>
                <c:pt idx="3">
                  <c:v>2014-15 </c:v>
                </c:pt>
                <c:pt idx="4">
                  <c:v>2015-16 </c:v>
                </c:pt>
                <c:pt idx="5">
                  <c:v>2016-17 </c:v>
                </c:pt>
                <c:pt idx="6">
                  <c:v>2017-18 </c:v>
                </c:pt>
                <c:pt idx="7">
                  <c:v>2018-19 </c:v>
                </c:pt>
                <c:pt idx="8">
                  <c:v>2019-20 </c:v>
                </c:pt>
              </c:strCache>
            </c:strRef>
          </c:cat>
          <c:val>
            <c:numRef>
              <c:f>'GCF-Public &amp; Private'!$P$4:$X$4</c:f>
              <c:numCache>
                <c:formatCode>#,##0.00</c:formatCode>
                <c:ptCount val="9"/>
                <c:pt idx="0">
                  <c:v>6583580</c:v>
                </c:pt>
                <c:pt idx="1">
                  <c:v>6748780</c:v>
                </c:pt>
                <c:pt idx="2">
                  <c:v>7161400</c:v>
                </c:pt>
                <c:pt idx="3">
                  <c:v>7743880</c:v>
                </c:pt>
                <c:pt idx="4">
                  <c:v>9237100</c:v>
                </c:pt>
                <c:pt idx="5">
                  <c:v>9656800</c:v>
                </c:pt>
                <c:pt idx="6">
                  <c:v>9767230</c:v>
                </c:pt>
                <c:pt idx="7">
                  <c:v>11023480</c:v>
                </c:pt>
                <c:pt idx="8">
                  <c:v>10978180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3-6A47-9C30-6FF090B2FA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59467232"/>
        <c:axId val="1009570464"/>
      </c:lineChart>
      <c:catAx>
        <c:axId val="14594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70464"/>
        <c:crosses val="autoZero"/>
        <c:auto val="1"/>
        <c:lblAlgn val="ctr"/>
        <c:lblOffset val="100"/>
        <c:noMultiLvlLbl val="0"/>
      </c:catAx>
      <c:valAx>
        <c:axId val="10095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6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GVA - Sector Wise 21-22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60D-A743-898E-6B588CC8CD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60D-A743-898E-6B588CC8CD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60D-A743-898E-6B588CC8CD7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(GVA!$A$5,GVA!$A$12,GVA!$A$26)</c:f>
              <c:strCache>
                <c:ptCount val="3"/>
                <c:pt idx="0">
                  <c:v>        Agriculture, forestry and fishing</c:v>
                </c:pt>
                <c:pt idx="1">
                  <c:v>        Industry</c:v>
                </c:pt>
                <c:pt idx="2">
                  <c:v>        Services</c:v>
                </c:pt>
              </c:strCache>
            </c:strRef>
          </c:cat>
          <c:val>
            <c:numRef>
              <c:f>(GVA!$BK$5,GVA!$BK$12,GVA!$BK$26)</c:f>
              <c:numCache>
                <c:formatCode>#,##0.00</c:formatCode>
                <c:ptCount val="3"/>
                <c:pt idx="0">
                  <c:v>21096970</c:v>
                </c:pt>
                <c:pt idx="1">
                  <c:v>41839990</c:v>
                </c:pt>
                <c:pt idx="2">
                  <c:v>73117790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8-BC4A-B3B4-2976CE410A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Agriculture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F8-6845-ABE7-9E193BA1CD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F8-6845-ABE7-9E193BA1CD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F8-6845-ABE7-9E193BA1CD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F8-6845-ABE7-9E193BA1CD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(GVA!$A$6,GVA!$A$9,GVA!$A$10,GVA!$A$11)</c:f>
              <c:strCache>
                <c:ptCount val="4"/>
                <c:pt idx="0">
                  <c:v>            Crops including irrigation</c:v>
                </c:pt>
                <c:pt idx="1">
                  <c:v>            Livestock</c:v>
                </c:pt>
                <c:pt idx="2">
                  <c:v>            Forestry and logging</c:v>
                </c:pt>
                <c:pt idx="3">
                  <c:v>            Fishing and aquaculture</c:v>
                </c:pt>
              </c:strCache>
            </c:strRef>
          </c:cat>
          <c:val>
            <c:numRef>
              <c:f>(GVA!$BJ$6,GVA!$BJ$9,GVA!$BJ$10,GVA!$BJ$11)</c:f>
              <c:numCache>
                <c:formatCode>#,##0.00</c:formatCode>
                <c:ptCount val="4"/>
                <c:pt idx="0">
                  <c:v>11275750</c:v>
                </c:pt>
                <c:pt idx="1">
                  <c:v>6171170</c:v>
                </c:pt>
                <c:pt idx="2">
                  <c:v>1656240</c:v>
                </c:pt>
                <c:pt idx="3">
                  <c:v>1377160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6-2541-AE32-1ECFB431C5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FA-2144-B70A-9A6A1B9377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FA-2144-B70A-9A6A1B9377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FA-2144-B70A-9A6A1B9377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AFA-2144-B70A-9A6A1B9377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AFA-2144-B70A-9A6A1B9377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GVA!$A$15:$A$19</c:f>
              <c:strCache>
                <c:ptCount val="5"/>
                <c:pt idx="0">
                  <c:v>                Food products, beverages and tobacco</c:v>
                </c:pt>
                <c:pt idx="1">
                  <c:v>                Textiles, apparel and leather products</c:v>
                </c:pt>
                <c:pt idx="2">
                  <c:v>                Metal products</c:v>
                </c:pt>
                <c:pt idx="3">
                  <c:v>                Machinery and equipment</c:v>
                </c:pt>
                <c:pt idx="4">
                  <c:v>                Other manufactured goods</c:v>
                </c:pt>
              </c:strCache>
            </c:strRef>
          </c:cat>
          <c:val>
            <c:numRef>
              <c:f>GVA!$BJ$15:$BJ$19</c:f>
              <c:numCache>
                <c:formatCode>#,##0.00</c:formatCode>
                <c:ptCount val="5"/>
                <c:pt idx="0">
                  <c:v>2573630</c:v>
                </c:pt>
                <c:pt idx="1">
                  <c:v>2395740</c:v>
                </c:pt>
                <c:pt idx="2">
                  <c:v>3291380</c:v>
                </c:pt>
                <c:pt idx="3">
                  <c:v>5194530</c:v>
                </c:pt>
                <c:pt idx="4">
                  <c:v>9022120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4-F345-86DF-925A2E4573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Electricity and Utility - 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1A-AD41-97D0-712672A42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1A-AD41-97D0-712672A42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1A-AD41-97D0-712672A42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1A-AD41-97D0-712672A42B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GVA!$A$21:$A$24</c:f>
              <c:strCache>
                <c:ptCount val="4"/>
                <c:pt idx="0">
                  <c:v>                Electricity</c:v>
                </c:pt>
                <c:pt idx="1">
                  <c:v>                Gas</c:v>
                </c:pt>
                <c:pt idx="2">
                  <c:v>                Water supply</c:v>
                </c:pt>
                <c:pt idx="3">
                  <c:v>                Other utility services</c:v>
                </c:pt>
              </c:strCache>
            </c:strRef>
          </c:cat>
          <c:val>
            <c:numRef>
              <c:f>GVA!$BJ$21:$BJ$24</c:f>
              <c:numCache>
                <c:formatCode>#,##0.00</c:formatCode>
                <c:ptCount val="4"/>
                <c:pt idx="0">
                  <c:v>2129590</c:v>
                </c:pt>
                <c:pt idx="1">
                  <c:v>154000</c:v>
                </c:pt>
                <c:pt idx="2">
                  <c:v>371810</c:v>
                </c:pt>
                <c:pt idx="3">
                  <c:v>242310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3-2E4D-9E1B-F1EB3B6EE4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Services-GVA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48-1A4A-934F-7D8575D166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48-1A4A-934F-7D8575D166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48-1A4A-934F-7D8575D16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GVA!$A$27:$A$29</c:f>
              <c:strCache>
                <c:ptCount val="3"/>
                <c:pt idx="0">
                  <c:v>            Trade, hotels, transport, communication and broadcasting services</c:v>
                </c:pt>
                <c:pt idx="1">
                  <c:v>            Financial services, real estate and professional services</c:v>
                </c:pt>
                <c:pt idx="2">
                  <c:v>            Public administration, defence and other services</c:v>
                </c:pt>
              </c:strCache>
            </c:strRef>
          </c:cat>
          <c:val>
            <c:numRef>
              <c:f>GVA!$BJ$27:$BJ$29</c:f>
              <c:numCache>
                <c:formatCode>#,##0.00</c:formatCode>
                <c:ptCount val="3"/>
                <c:pt idx="0">
                  <c:v>21476790</c:v>
                </c:pt>
                <c:pt idx="1">
                  <c:v>29619100</c:v>
                </c:pt>
                <c:pt idx="2">
                  <c:v>16330810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D-A740-81B2-81FC0DECE54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GDP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'GDp-Components'!$A$1:$B$10</c:f>
              <c:multiLvlStrCache>
                <c:ptCount val="10"/>
                <c:lvl>
                  <c:pt idx="0">
                    <c:v>PFCE ( C )</c:v>
                  </c:pt>
                  <c:pt idx="1">
                    <c:v>GFCE (G)</c:v>
                  </c:pt>
                  <c:pt idx="2">
                    <c:v>GCF (I)</c:v>
                  </c:pt>
                  <c:pt idx="5">
                    <c:v>Net Exports (NX)</c:v>
                  </c:pt>
                  <c:pt idx="9">
                    <c:v>Discrepancies</c:v>
                  </c:pt>
                </c:lvl>
                <c:lvl>
                  <c:pt idx="0">
                    <c:v>GDP (Y)</c:v>
                  </c:pt>
                </c:lvl>
              </c:multiLvlStrCache>
            </c:multiLvlStrRef>
          </c:cat>
          <c:val>
            <c:numRef>
              <c:f>'GDp-Components'!$C$1:$C$10</c:f>
              <c:numCache>
                <c:formatCode>#,##0</c:formatCode>
                <c:ptCount val="10"/>
                <c:pt idx="0">
                  <c:v>120327620</c:v>
                </c:pt>
                <c:pt idx="1">
                  <c:v>23932900</c:v>
                </c:pt>
                <c:pt idx="2">
                  <c:v>55237236.5</c:v>
                </c:pt>
                <c:pt idx="5">
                  <c:v>-767400</c:v>
                </c:pt>
                <c:pt idx="9">
                  <c:v>-721225.1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C043-8FCE-9A008A67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9749488"/>
        <c:axId val="1361268944"/>
      </c:barChart>
      <c:catAx>
        <c:axId val="14097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68944"/>
        <c:crosses val="autoZero"/>
        <c:auto val="1"/>
        <c:lblAlgn val="ctr"/>
        <c:lblOffset val="100"/>
        <c:noMultiLvlLbl val="0"/>
      </c:catAx>
      <c:valAx>
        <c:axId val="13612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74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CPI (YOY</a:t>
            </a:r>
            <a:r>
              <a:rPr lang="en-GB" baseline="0"/>
              <a:t> %) Change (Actual and Projection)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CPI!$D$2</c:f>
              <c:strCache>
                <c:ptCount val="1"/>
                <c:pt idx="0">
                  <c:v>Pan &amp; tobacco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CPI!$D$4:$D$19</c:f>
              <c:numCache>
                <c:formatCode>General</c:formatCode>
                <c:ptCount val="16"/>
                <c:pt idx="0">
                  <c:v>10</c:v>
                </c:pt>
                <c:pt idx="1">
                  <c:v>4</c:v>
                </c:pt>
                <c:pt idx="2">
                  <c:v>4.7</c:v>
                </c:pt>
                <c:pt idx="3">
                  <c:v>4</c:v>
                </c:pt>
                <c:pt idx="4">
                  <c:v>4.2</c:v>
                </c:pt>
                <c:pt idx="5">
                  <c:v>4.3</c:v>
                </c:pt>
                <c:pt idx="6">
                  <c:v>4.0999999999999996</c:v>
                </c:pt>
                <c:pt idx="7">
                  <c:v>3.2</c:v>
                </c:pt>
                <c:pt idx="8">
                  <c:v>2.5</c:v>
                </c:pt>
                <c:pt idx="9">
                  <c:v>2.4</c:v>
                </c:pt>
                <c:pt idx="10">
                  <c:v>3</c:v>
                </c:pt>
                <c:pt idx="11">
                  <c:v>2.7</c:v>
                </c:pt>
                <c:pt idx="12">
                  <c:v>1.2</c:v>
                </c:pt>
                <c:pt idx="14">
                  <c:v>9.5</c:v>
                </c:pt>
                <c:pt idx="15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7-4346-8A78-78ABCB6D05E9}"/>
            </c:ext>
          </c:extLst>
        </c:ser>
        <c:ser>
          <c:idx val="3"/>
          <c:order val="3"/>
          <c:tx>
            <c:strRef>
              <c:f>CPI!$E$2</c:f>
              <c:strCache>
                <c:ptCount val="1"/>
                <c:pt idx="0">
                  <c:v>Clothing &amp; footwear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CPI!$E$4:$E$19</c:f>
              <c:numCache>
                <c:formatCode>General</c:formatCode>
                <c:ptCount val="16"/>
                <c:pt idx="0">
                  <c:v>5.3</c:v>
                </c:pt>
                <c:pt idx="1">
                  <c:v>6.1</c:v>
                </c:pt>
                <c:pt idx="2">
                  <c:v>6.4</c:v>
                </c:pt>
                <c:pt idx="3">
                  <c:v>6.8</c:v>
                </c:pt>
                <c:pt idx="4">
                  <c:v>7.2</c:v>
                </c:pt>
                <c:pt idx="5">
                  <c:v>7.5</c:v>
                </c:pt>
                <c:pt idx="6">
                  <c:v>7.9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8.9</c:v>
                </c:pt>
                <c:pt idx="10">
                  <c:v>9.4</c:v>
                </c:pt>
                <c:pt idx="11">
                  <c:v>9.9</c:v>
                </c:pt>
                <c:pt idx="12">
                  <c:v>8.9</c:v>
                </c:pt>
                <c:pt idx="14">
                  <c:v>4.4000000000000004</c:v>
                </c:pt>
                <c:pt idx="15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7-4346-8A78-78ABCB6D05E9}"/>
            </c:ext>
          </c:extLst>
        </c:ser>
        <c:ser>
          <c:idx val="6"/>
          <c:order val="6"/>
          <c:tx>
            <c:strRef>
              <c:f>CPI!$H$2</c:f>
              <c:strCache>
                <c:ptCount val="1"/>
                <c:pt idx="0">
                  <c:v>Miscel.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CPI!$H$4:$H$19</c:f>
              <c:numCache>
                <c:formatCode>General</c:formatCode>
                <c:ptCount val="16"/>
                <c:pt idx="0">
                  <c:v>7.3</c:v>
                </c:pt>
                <c:pt idx="1">
                  <c:v>7.2</c:v>
                </c:pt>
                <c:pt idx="2">
                  <c:v>6.7</c:v>
                </c:pt>
                <c:pt idx="3">
                  <c:v>6.4</c:v>
                </c:pt>
                <c:pt idx="4">
                  <c:v>6.4</c:v>
                </c:pt>
                <c:pt idx="5">
                  <c:v>6.8</c:v>
                </c:pt>
                <c:pt idx="6">
                  <c:v>6.8</c:v>
                </c:pt>
                <c:pt idx="7">
                  <c:v>6.7</c:v>
                </c:pt>
                <c:pt idx="8">
                  <c:v>6.6</c:v>
                </c:pt>
                <c:pt idx="9">
                  <c:v>6.6</c:v>
                </c:pt>
                <c:pt idx="10">
                  <c:v>7</c:v>
                </c:pt>
                <c:pt idx="11">
                  <c:v>8</c:v>
                </c:pt>
                <c:pt idx="12">
                  <c:v>6.8</c:v>
                </c:pt>
                <c:pt idx="14">
                  <c:v>6.7</c:v>
                </c:pt>
                <c:pt idx="15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67-4346-8A78-78ABCB6D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099040"/>
        <c:axId val="1680271008"/>
      </c:barChart>
      <c:lineChart>
        <c:grouping val="standard"/>
        <c:varyColors val="0"/>
        <c:ser>
          <c:idx val="0"/>
          <c:order val="0"/>
          <c:tx>
            <c:strRef>
              <c:f>CPI!$B$2</c:f>
              <c:strCache>
                <c:ptCount val="1"/>
                <c:pt idx="0">
                  <c:v>   CPI   </c:v>
                </c:pt>
              </c:strCache>
            </c:strRef>
          </c:tx>
          <c:spPr>
            <a:ln w="28575" cap="rnd">
              <a:solidFill>
                <a:srgbClr val="231F2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CPI!$B$4:$B$19</c:f>
              <c:numCache>
                <c:formatCode>General</c:formatCode>
                <c:ptCount val="16"/>
                <c:pt idx="0">
                  <c:v>6.3</c:v>
                </c:pt>
                <c:pt idx="1">
                  <c:v>6.3</c:v>
                </c:pt>
                <c:pt idx="2">
                  <c:v>5.6</c:v>
                </c:pt>
                <c:pt idx="3">
                  <c:v>5.3</c:v>
                </c:pt>
                <c:pt idx="4">
                  <c:v>4.4000000000000004</c:v>
                </c:pt>
                <c:pt idx="5">
                  <c:v>4.5</c:v>
                </c:pt>
                <c:pt idx="6">
                  <c:v>4.9000000000000004</c:v>
                </c:pt>
                <c:pt idx="7">
                  <c:v>5.7</c:v>
                </c:pt>
                <c:pt idx="8">
                  <c:v>6</c:v>
                </c:pt>
                <c:pt idx="9">
                  <c:v>6.1</c:v>
                </c:pt>
                <c:pt idx="10">
                  <c:v>7</c:v>
                </c:pt>
                <c:pt idx="11">
                  <c:v>7.8</c:v>
                </c:pt>
                <c:pt idx="12">
                  <c:v>7</c:v>
                </c:pt>
                <c:pt idx="14">
                  <c:v>5.3</c:v>
                </c:pt>
                <c:pt idx="1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7-4346-8A78-78ABCB6D05E9}"/>
            </c:ext>
          </c:extLst>
        </c:ser>
        <c:ser>
          <c:idx val="1"/>
          <c:order val="1"/>
          <c:tx>
            <c:strRef>
              <c:f>CPI!$C$2</c:f>
              <c:strCache>
                <c:ptCount val="1"/>
                <c:pt idx="0">
                  <c:v>Food &amp; beverages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CPI!$C$4:$C$19</c:f>
              <c:numCache>
                <c:formatCode>General</c:formatCode>
                <c:ptCount val="16"/>
                <c:pt idx="0">
                  <c:v>5.2</c:v>
                </c:pt>
                <c:pt idx="1">
                  <c:v>5.6</c:v>
                </c:pt>
                <c:pt idx="2">
                  <c:v>4.5</c:v>
                </c:pt>
                <c:pt idx="3">
                  <c:v>3.7</c:v>
                </c:pt>
                <c:pt idx="4">
                  <c:v>1.6</c:v>
                </c:pt>
                <c:pt idx="5">
                  <c:v>1.8</c:v>
                </c:pt>
                <c:pt idx="6">
                  <c:v>2.6</c:v>
                </c:pt>
                <c:pt idx="7">
                  <c:v>4.5</c:v>
                </c:pt>
                <c:pt idx="8">
                  <c:v>5.6</c:v>
                </c:pt>
                <c:pt idx="9">
                  <c:v>5.9</c:v>
                </c:pt>
                <c:pt idx="10">
                  <c:v>7.5</c:v>
                </c:pt>
                <c:pt idx="11">
                  <c:v>8.1</c:v>
                </c:pt>
                <c:pt idx="12">
                  <c:v>7.8</c:v>
                </c:pt>
                <c:pt idx="14">
                  <c:v>3.9</c:v>
                </c:pt>
                <c:pt idx="1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7-4346-8A78-78ABCB6D05E9}"/>
            </c:ext>
          </c:extLst>
        </c:ser>
        <c:ser>
          <c:idx val="4"/>
          <c:order val="4"/>
          <c:tx>
            <c:strRef>
              <c:f>CPI!$F$2</c:f>
              <c:strCache>
                <c:ptCount val="1"/>
                <c:pt idx="0">
                  <c:v>Housing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CPI!$F$4:$F$19</c:f>
              <c:numCache>
                <c:formatCode>General</c:formatCode>
                <c:ptCount val="16"/>
                <c:pt idx="0">
                  <c:v>3.9</c:v>
                </c:pt>
                <c:pt idx="1">
                  <c:v>3.8</c:v>
                </c:pt>
                <c:pt idx="2">
                  <c:v>3.9</c:v>
                </c:pt>
                <c:pt idx="3">
                  <c:v>3.9</c:v>
                </c:pt>
                <c:pt idx="4">
                  <c:v>3.6</c:v>
                </c:pt>
                <c:pt idx="5">
                  <c:v>3.5</c:v>
                </c:pt>
                <c:pt idx="6">
                  <c:v>3.7</c:v>
                </c:pt>
                <c:pt idx="7">
                  <c:v>3.6</c:v>
                </c:pt>
                <c:pt idx="8">
                  <c:v>3.5</c:v>
                </c:pt>
                <c:pt idx="9">
                  <c:v>3.6</c:v>
                </c:pt>
                <c:pt idx="10">
                  <c:v>3.4</c:v>
                </c:pt>
                <c:pt idx="11">
                  <c:v>3.5</c:v>
                </c:pt>
                <c:pt idx="12">
                  <c:v>3.7</c:v>
                </c:pt>
                <c:pt idx="14">
                  <c:v>3.8</c:v>
                </c:pt>
                <c:pt idx="15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67-4346-8A78-78ABCB6D05E9}"/>
            </c:ext>
          </c:extLst>
        </c:ser>
        <c:ser>
          <c:idx val="5"/>
          <c:order val="5"/>
          <c:tx>
            <c:strRef>
              <c:f>CPI!$G$2</c:f>
              <c:strCache>
                <c:ptCount val="1"/>
                <c:pt idx="0">
                  <c:v>Fuel &amp; light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CPI!$A$4:$A$19</c:f>
              <c:strCache>
                <c:ptCount val="16"/>
                <c:pt idx="0">
                  <c:v>May-21</c:v>
                </c:pt>
                <c:pt idx="1">
                  <c:v>Jun-21</c:v>
                </c:pt>
                <c:pt idx="2">
                  <c:v>Jul-21</c:v>
                </c:pt>
                <c:pt idx="3">
                  <c:v>Aug-21</c:v>
                </c:pt>
                <c:pt idx="4">
                  <c:v>Sep-21</c:v>
                </c:pt>
                <c:pt idx="5">
                  <c:v>Oct-21</c:v>
                </c:pt>
                <c:pt idx="6">
                  <c:v>Nov-21</c:v>
                </c:pt>
                <c:pt idx="7">
                  <c:v>Dec-21</c:v>
                </c:pt>
                <c:pt idx="8">
                  <c:v>Jan-22</c:v>
                </c:pt>
                <c:pt idx="9">
                  <c:v>Feb-22</c:v>
                </c:pt>
                <c:pt idx="10">
                  <c:v>Mar-22</c:v>
                </c:pt>
                <c:pt idx="11">
                  <c:v>Apr-22</c:v>
                </c:pt>
                <c:pt idx="12">
                  <c:v>May-22</c:v>
                </c:pt>
                <c:pt idx="13">
                  <c:v>Consolidated</c:v>
                </c:pt>
                <c:pt idx="14">
                  <c:v>2021-22 (T)</c:v>
                </c:pt>
                <c:pt idx="15">
                  <c:v>2022-23 (P)</c:v>
                </c:pt>
              </c:strCache>
            </c:strRef>
          </c:cat>
          <c:val>
            <c:numRef>
              <c:f>CPI!$G$4:$G$19</c:f>
              <c:numCache>
                <c:formatCode>General</c:formatCode>
                <c:ptCount val="16"/>
                <c:pt idx="0">
                  <c:v>11.9</c:v>
                </c:pt>
                <c:pt idx="1">
                  <c:v>12.6</c:v>
                </c:pt>
                <c:pt idx="2">
                  <c:v>12.4</c:v>
                </c:pt>
                <c:pt idx="3">
                  <c:v>13</c:v>
                </c:pt>
                <c:pt idx="4">
                  <c:v>13.6</c:v>
                </c:pt>
                <c:pt idx="5">
                  <c:v>14.4</c:v>
                </c:pt>
                <c:pt idx="6">
                  <c:v>13.4</c:v>
                </c:pt>
                <c:pt idx="7">
                  <c:v>11</c:v>
                </c:pt>
                <c:pt idx="8">
                  <c:v>9.3000000000000007</c:v>
                </c:pt>
                <c:pt idx="9">
                  <c:v>8.6999999999999993</c:v>
                </c:pt>
                <c:pt idx="10">
                  <c:v>7.5</c:v>
                </c:pt>
                <c:pt idx="11">
                  <c:v>10.7</c:v>
                </c:pt>
                <c:pt idx="12">
                  <c:v>9.5</c:v>
                </c:pt>
                <c:pt idx="14">
                  <c:v>9.9</c:v>
                </c:pt>
                <c:pt idx="15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67-4346-8A78-78ABCB6D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099040"/>
        <c:axId val="1680271008"/>
      </c:lineChart>
      <c:catAx>
        <c:axId val="17070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71008"/>
        <c:crosses val="autoZero"/>
        <c:auto val="1"/>
        <c:lblAlgn val="ctr"/>
        <c:lblOffset val="100"/>
        <c:noMultiLvlLbl val="0"/>
      </c:catAx>
      <c:valAx>
        <c:axId val="16802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9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90253750391292831"/>
          <c:w val="0.9"/>
          <c:h val="7.9113872233860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Real GDP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'GDP Projection'!$A$4:$A$28</c:f>
              <c:strCache>
                <c:ptCount val="25"/>
                <c:pt idx="0">
                  <c:v>CMIE</c:v>
                </c:pt>
                <c:pt idx="1">
                  <c:v>Ministry of Finance</c:v>
                </c:pt>
                <c:pt idx="2">
                  <c:v>RBI</c:v>
                </c:pt>
                <c:pt idx="3">
                  <c:v>RBI forecasters survey (Median)</c:v>
                </c:pt>
                <c:pt idx="4">
                  <c:v>CII</c:v>
                </c:pt>
                <c:pt idx="5">
                  <c:v>International Monetary Fund (IMF)</c:v>
                </c:pt>
                <c:pt idx="6">
                  <c:v>World Bank</c:v>
                </c:pt>
                <c:pt idx="7">
                  <c:v>United Nations (UN)</c:v>
                </c:pt>
                <c:pt idx="8">
                  <c:v>Asia Development Bank (ADB)</c:v>
                </c:pt>
                <c:pt idx="9">
                  <c:v>OECD</c:v>
                </c:pt>
                <c:pt idx="10">
                  <c:v>S&amp;P Global Ratings</c:v>
                </c:pt>
                <c:pt idx="11">
                  <c:v>Fitch Ratings</c:v>
                </c:pt>
                <c:pt idx="12">
                  <c:v>Moody’s</c:v>
                </c:pt>
                <c:pt idx="13">
                  <c:v>ICRA</c:v>
                </c:pt>
                <c:pt idx="14">
                  <c:v>Crisil</c:v>
                </c:pt>
                <c:pt idx="15">
                  <c:v>Care Rating</c:v>
                </c:pt>
                <c:pt idx="16">
                  <c:v>India Ratings</c:v>
                </c:pt>
                <c:pt idx="17">
                  <c:v>SBI</c:v>
                </c:pt>
                <c:pt idx="18">
                  <c:v>Bank of Baroda</c:v>
                </c:pt>
                <c:pt idx="19">
                  <c:v>HDFC Bank</c:v>
                </c:pt>
                <c:pt idx="20">
                  <c:v>Citi group</c:v>
                </c:pt>
                <c:pt idx="21">
                  <c:v>Nomura</c:v>
                </c:pt>
                <c:pt idx="22">
                  <c:v>UBS</c:v>
                </c:pt>
                <c:pt idx="23">
                  <c:v>Morgan Stanley</c:v>
                </c:pt>
                <c:pt idx="24">
                  <c:v>ICICI Securities</c:v>
                </c:pt>
              </c:strCache>
            </c:strRef>
          </c:cat>
          <c:val>
            <c:numRef>
              <c:f>'GDP Projection'!$C$4:$C$28</c:f>
              <c:numCache>
                <c:formatCode>General</c:formatCode>
                <c:ptCount val="25"/>
                <c:pt idx="0">
                  <c:v>7.1</c:v>
                </c:pt>
                <c:pt idx="1">
                  <c:v>8</c:v>
                </c:pt>
                <c:pt idx="2">
                  <c:v>7.2</c:v>
                </c:pt>
                <c:pt idx="3">
                  <c:v>7.2</c:v>
                </c:pt>
                <c:pt idx="4">
                  <c:v>8</c:v>
                </c:pt>
                <c:pt idx="5">
                  <c:v>8.1999999999999993</c:v>
                </c:pt>
                <c:pt idx="6">
                  <c:v>7.5</c:v>
                </c:pt>
                <c:pt idx="7">
                  <c:v>6.4</c:v>
                </c:pt>
                <c:pt idx="8">
                  <c:v>7.5</c:v>
                </c:pt>
                <c:pt idx="9">
                  <c:v>6.9</c:v>
                </c:pt>
                <c:pt idx="10">
                  <c:v>7.3</c:v>
                </c:pt>
                <c:pt idx="11">
                  <c:v>7.8</c:v>
                </c:pt>
                <c:pt idx="12">
                  <c:v>8.8000000000000007</c:v>
                </c:pt>
                <c:pt idx="13">
                  <c:v>7.2</c:v>
                </c:pt>
                <c:pt idx="14">
                  <c:v>7.8</c:v>
                </c:pt>
                <c:pt idx="15">
                  <c:v>8</c:v>
                </c:pt>
                <c:pt idx="16">
                  <c:v>7.2</c:v>
                </c:pt>
                <c:pt idx="17">
                  <c:v>7.5</c:v>
                </c:pt>
                <c:pt idx="18">
                  <c:v>9.1999999999999993</c:v>
                </c:pt>
                <c:pt idx="19">
                  <c:v>7.9</c:v>
                </c:pt>
                <c:pt idx="20">
                  <c:v>7.5</c:v>
                </c:pt>
                <c:pt idx="21">
                  <c:v>7.3</c:v>
                </c:pt>
                <c:pt idx="22">
                  <c:v>7</c:v>
                </c:pt>
                <c:pt idx="23">
                  <c:v>7.6</c:v>
                </c:pt>
                <c:pt idx="24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994E-912B-63340A6DFA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70367264"/>
        <c:axId val="1259880272"/>
      </c:barChart>
      <c:catAx>
        <c:axId val="127036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80272"/>
        <c:crosses val="autoZero"/>
        <c:auto val="1"/>
        <c:lblAlgn val="ctr"/>
        <c:lblOffset val="100"/>
        <c:noMultiLvlLbl val="0"/>
      </c:catAx>
      <c:valAx>
        <c:axId val="125988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6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GDP (Expenditure Components 2020-21)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GDP (Expenditure Components 2020-21)</a:t>
          </a:r>
        </a:p>
      </cx:txPr>
    </cx:title>
    <cx:plotArea>
      <cx:plotAreaRegion>
        <cx:series layoutId="treemap" uniqueId="{A7CF4AC4-7533-4C45-A4BB-85B68DD604D4}">
          <cx:dataPt idx="2"/>
          <cx:dataPt idx="6"/>
          <cx:dataPt idx="8"/>
          <cx:dataPt idx="11">
            <cx:spPr>
              <a:ln>
                <a:solidFill>
                  <a:sysClr val="windowText" lastClr="000000"/>
                </a:solidFill>
              </a:ln>
            </cx:spPr>
          </cx:dataPt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microsoft.com/office/2014/relationships/chartEx" Target="../charts/chartEx1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2006600</xdr:colOff>
      <xdr:row>2</xdr:row>
      <xdr:rowOff>101600</xdr:rowOff>
    </xdr:from>
    <xdr:to>
      <xdr:col>8</xdr:col>
      <xdr:colOff>749300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6ACEB-09C2-C94A-A592-3FD46B9BB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16260</xdr:col>
      <xdr:colOff>463550</xdr:colOff>
      <xdr:row>17</xdr:row>
      <xdr:rowOff>95250</xdr:rowOff>
    </xdr:from>
    <xdr:to>
      <xdr:col>16266</xdr:col>
      <xdr:colOff>82550</xdr:colOff>
      <xdr:row>30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410E09-1173-E2E8-C73C-07F345577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330200</xdr:colOff>
      <xdr:row>7</xdr:row>
      <xdr:rowOff>76200</xdr:rowOff>
    </xdr:from>
    <xdr:to>
      <xdr:col>25</xdr:col>
      <xdr:colOff>228600</xdr:colOff>
      <xdr:row>29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9304E6-7416-0E7D-E39C-4EB1589EF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4210050</xdr:colOff>
      <xdr:row>22</xdr:row>
      <xdr:rowOff>31750</xdr:rowOff>
    </xdr:from>
    <xdr:to>
      <xdr:col>6</xdr:col>
      <xdr:colOff>266700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CE358-9DCB-485E-1D14-BE0D33B07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6</xdr:row>
      <xdr:rowOff>158750</xdr:rowOff>
    </xdr:from>
    <xdr:to>
      <xdr:col>12</xdr:col>
      <xdr:colOff>755650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46ABE-942F-A04B-B114-F369DD431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9</xdr:row>
      <xdr:rowOff>95250</xdr:rowOff>
    </xdr:from>
    <xdr:to>
      <xdr:col>11</xdr:col>
      <xdr:colOff>292100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87BE5-29C5-6244-6869-50EC2567D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28</xdr:row>
      <xdr:rowOff>95250</xdr:rowOff>
    </xdr:from>
    <xdr:to>
      <xdr:col>13</xdr:col>
      <xdr:colOff>558800</xdr:colOff>
      <xdr:row>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5C5FD-DD72-CAE1-708F-3DA2B7780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41</xdr:row>
      <xdr:rowOff>190500</xdr:rowOff>
    </xdr:from>
    <xdr:to>
      <xdr:col>14</xdr:col>
      <xdr:colOff>673100</xdr:colOff>
      <xdr:row>65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2D579-A7E8-7847-B238-5484A9C2D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527050</xdr:colOff>
      <xdr:row>48</xdr:row>
      <xdr:rowOff>95250</xdr:rowOff>
    </xdr:from>
    <xdr:to>
      <xdr:col>5</xdr:col>
      <xdr:colOff>2178050</xdr:colOff>
      <xdr:row>61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BF15C-F438-AB3A-8E8B-4C58675F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68</xdr:row>
      <xdr:rowOff>114300</xdr:rowOff>
    </xdr:from>
    <xdr:to>
      <xdr:col>13</xdr:col>
      <xdr:colOff>177800</xdr:colOff>
      <xdr:row>83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6B185-47B3-E24C-A2E0-F6EE4DFC3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0</xdr:row>
      <xdr:rowOff>0</xdr:rowOff>
    </xdr:from>
    <xdr:to>
      <xdr:col>21</xdr:col>
      <xdr:colOff>787400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E277C-36BB-E9DF-C839-09B663CA7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24</xdr:row>
      <xdr:rowOff>127000</xdr:rowOff>
    </xdr:from>
    <xdr:to>
      <xdr:col>29</xdr:col>
      <xdr:colOff>685800</xdr:colOff>
      <xdr:row>55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2FF2DE-C869-21F0-0A36-A02C72F5D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41</xdr:row>
      <xdr:rowOff>88900</xdr:rowOff>
    </xdr:from>
    <xdr:to>
      <xdr:col>17</xdr:col>
      <xdr:colOff>457200</xdr:colOff>
      <xdr:row>59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BEF267-64CE-058B-040C-3ED785BAF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501650</xdr:colOff>
      <xdr:row>40</xdr:row>
      <xdr:rowOff>82550</xdr:rowOff>
    </xdr:from>
    <xdr:to>
      <xdr:col>22</xdr:col>
      <xdr:colOff>63500</xdr:colOff>
      <xdr:row>60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835B5A-9722-7864-AD3F-C3B32A694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62</xdr:row>
      <xdr:rowOff>139700</xdr:rowOff>
    </xdr:from>
    <xdr:to>
      <xdr:col>15</xdr:col>
      <xdr:colOff>571500</xdr:colOff>
      <xdr:row>88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4E421-9796-2644-AC2F-DED51EBEC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831850</xdr:colOff>
      <xdr:row>3</xdr:row>
      <xdr:rowOff>190500</xdr:rowOff>
    </xdr:from>
    <xdr:to>
      <xdr:col>11</xdr:col>
      <xdr:colOff>685800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6A0D5-B9D7-D586-A7AE-E62F785F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2</xdr:row>
      <xdr:rowOff>0</xdr:rowOff>
    </xdr:from>
    <xdr:to>
      <xdr:col>21</xdr:col>
      <xdr:colOff>736600</xdr:colOff>
      <xdr:row>37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1E44E-7742-D326-AAB9-55BBE6933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44</xdr:row>
      <xdr:rowOff>95250</xdr:rowOff>
    </xdr:from>
    <xdr:to>
      <xdr:col>16</xdr:col>
      <xdr:colOff>635000</xdr:colOff>
      <xdr:row>65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3B4E4-8A66-9E70-0B1D-FE226F99E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9</xdr:row>
      <xdr:rowOff>95250</xdr:rowOff>
    </xdr:from>
    <xdr:to>
      <xdr:col>13</xdr:col>
      <xdr:colOff>552450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01BB5-4F1D-91B2-1F01-E79577F35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10</xdr:row>
      <xdr:rowOff>127000</xdr:rowOff>
    </xdr:from>
    <xdr:to>
      <xdr:col>13</xdr:col>
      <xdr:colOff>254000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F5009-2302-6CAC-3A3F-AB4197DE4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68</xdr:row>
      <xdr:rowOff>101600</xdr:rowOff>
    </xdr:from>
    <xdr:to>
      <xdr:col>7</xdr:col>
      <xdr:colOff>190500</xdr:colOff>
      <xdr:row>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24A44-A98A-94F7-C8E2-146D1FB75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58</xdr:row>
      <xdr:rowOff>101600</xdr:rowOff>
    </xdr:from>
    <xdr:to>
      <xdr:col>8</xdr:col>
      <xdr:colOff>25400</xdr:colOff>
      <xdr:row>72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4C6356-7DC3-DC5E-3C20-F6EA120BB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9</xdr:row>
      <xdr:rowOff>101600</xdr:rowOff>
    </xdr:from>
    <xdr:to>
      <xdr:col>7</xdr:col>
      <xdr:colOff>279400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FC25C-184B-6F62-CB59-DB2909243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59</xdr:row>
      <xdr:rowOff>114300</xdr:rowOff>
    </xdr:from>
    <xdr:to>
      <xdr:col>11</xdr:col>
      <xdr:colOff>603250</xdr:colOff>
      <xdr:row>73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98FFC-6287-0FA0-D895-D07374A7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107950</xdr:colOff>
      <xdr:row>70</xdr:row>
      <xdr:rowOff>177800</xdr:rowOff>
    </xdr:from>
    <xdr:to>
      <xdr:col>6</xdr:col>
      <xdr:colOff>552450</xdr:colOff>
      <xdr:row>84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A94109-BDD8-78B2-2C62-3E35A385E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781050</xdr:colOff>
      <xdr:row>2</xdr:row>
      <xdr:rowOff>139706</xdr:rowOff>
    </xdr:from>
    <xdr:to>
      <xdr:col>12</xdr:col>
      <xdr:colOff>63500</xdr:colOff>
      <xdr:row>30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DAF36-14E2-3E46-9852-899FABBC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1981200</xdr:colOff>
      <xdr:row>4</xdr:row>
      <xdr:rowOff>165106</xdr:rowOff>
    </xdr:from>
    <xdr:to>
      <xdr:col>22</xdr:col>
      <xdr:colOff>660400</xdr:colOff>
      <xdr:row>27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E9797-AA95-07DB-08BF-1C053D16D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8</xdr:row>
      <xdr:rowOff>95250</xdr:rowOff>
    </xdr:from>
    <xdr:to>
      <xdr:col>11</xdr:col>
      <xdr:colOff>469900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64C15-79D8-F437-2455-D5F551C37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482600</xdr:colOff>
      <xdr:row>9</xdr:row>
      <xdr:rowOff>95250</xdr:rowOff>
    </xdr:from>
    <xdr:to>
      <xdr:col>11</xdr:col>
      <xdr:colOff>1054100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B92CD-F9DB-6763-C424-A7BF16966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25</xdr:row>
      <xdr:rowOff>25400</xdr:rowOff>
    </xdr:from>
    <xdr:to>
      <xdr:col>17</xdr:col>
      <xdr:colOff>596900</xdr:colOff>
      <xdr:row>52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D5ABC-02E7-BC95-8FD7-471CC71F0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222250</xdr:colOff>
      <xdr:row>9</xdr:row>
      <xdr:rowOff>95250</xdr:rowOff>
    </xdr:from>
    <xdr:to>
      <xdr:col>12</xdr:col>
      <xdr:colOff>266700</xdr:colOff>
      <xdr:row>28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2224C3-A327-C56C-11CC-376D7B124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101600</xdr:colOff>
      <xdr:row>3</xdr:row>
      <xdr:rowOff>184150</xdr:rowOff>
    </xdr:from>
    <xdr:to>
      <xdr:col>26</xdr:col>
      <xdr:colOff>88900</xdr:colOff>
      <xdr:row>17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C065A-F14E-4B9C-BCB9-895CB2B3E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552450</xdr:colOff>
      <xdr:row>6</xdr:row>
      <xdr:rowOff>19050</xdr:rowOff>
    </xdr:from>
    <xdr:to>
      <xdr:col>72</xdr:col>
      <xdr:colOff>171450</xdr:colOff>
      <xdr:row>34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4C776-6DEC-55CD-5C3E-BD49F38A8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730250</xdr:colOff>
      <xdr:row>0</xdr:row>
      <xdr:rowOff>0</xdr:rowOff>
    </xdr:from>
    <xdr:to>
      <xdr:col>67</xdr:col>
      <xdr:colOff>704850</xdr:colOff>
      <xdr:row>13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7020A-B8D8-5BB4-A312-DEE76A58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425450</xdr:colOff>
      <xdr:row>0</xdr:row>
      <xdr:rowOff>0</xdr:rowOff>
    </xdr:from>
    <xdr:to>
      <xdr:col>72</xdr:col>
      <xdr:colOff>44450</xdr:colOff>
      <xdr:row>13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4BACE3-D367-5DB1-EE54-14767FCC9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4806950</xdr:colOff>
      <xdr:row>11</xdr:row>
      <xdr:rowOff>196850</xdr:rowOff>
    </xdr:from>
    <xdr:to>
      <xdr:col>1</xdr:col>
      <xdr:colOff>3841750</xdr:colOff>
      <xdr:row>25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D51E666-CECB-28EC-5837-D8A8BCF56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165100</xdr:colOff>
      <xdr:row>17</xdr:row>
      <xdr:rowOff>95250</xdr:rowOff>
    </xdr:from>
    <xdr:to>
      <xdr:col>65</xdr:col>
      <xdr:colOff>571500</xdr:colOff>
      <xdr:row>30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63A039-FE5B-1610-CD6D-CDC02023A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0</xdr:row>
      <xdr:rowOff>0</xdr:rowOff>
    </xdr:from>
    <xdr:to>
      <xdr:col>12</xdr:col>
      <xdr:colOff>736600</xdr:colOff>
      <xdr:row>14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933BD87-13C3-F4E4-A54F-FEFA7EF11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5700" y="0"/>
              <a:ext cx="5588000" cy="299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215900</xdr:colOff>
      <xdr:row>11</xdr:row>
      <xdr:rowOff>95250</xdr:rowOff>
    </xdr:from>
    <xdr:to>
      <xdr:col>5</xdr:col>
      <xdr:colOff>584200</xdr:colOff>
      <xdr:row>24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9596E4-277C-91E7-D7B1-2B4179598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25400</xdr:rowOff>
    </xdr:from>
    <xdr:to>
      <xdr:col>14</xdr:col>
      <xdr:colOff>50800</xdr:colOff>
      <xdr:row>28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7D0A61-2A62-3026-C656-E06C36B88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4</xdr:row>
      <xdr:rowOff>25400</xdr:rowOff>
    </xdr:from>
    <xdr:to>
      <xdr:col>11</xdr:col>
      <xdr:colOff>419100</xdr:colOff>
      <xdr:row>28</xdr:row>
      <xdr:rowOff>279400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D50D6-9A1C-1C45-402E-90673F304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kalyan/Downloads/Rate%20of%20Savings.xlsx" TargetMode="External"/><Relationship Id="rId1" Type="http://schemas.openxmlformats.org/officeDocument/2006/relationships/externalLinkPath" Target="/Users/kalyan/Downloads/Rate%20of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vings-Rates-Institutions"/>
    </sheetNames>
    <sheetDataSet>
      <sheetData sheetId="0">
        <row r="1">
          <cell r="B1" t="str">
            <v xml:space="preserve">Total </v>
          </cell>
          <cell r="C1" t="str">
            <v xml:space="preserve">Public non-financial 
corp. </v>
          </cell>
          <cell r="D1" t="str">
            <v xml:space="preserve">Private non- financial  
corp. </v>
          </cell>
          <cell r="E1" t="str">
            <v>Public financial  
corp.</v>
          </cell>
          <cell r="F1" t="str">
            <v xml:space="preserve">Private financial
 corp </v>
          </cell>
          <cell r="G1" t="str">
            <v xml:space="preserve">General Government </v>
          </cell>
          <cell r="H1" t="str">
            <v xml:space="preserve">Households including  NPISH </v>
          </cell>
        </row>
        <row r="2">
          <cell r="B2">
            <v>30.74</v>
          </cell>
          <cell r="C2">
            <v>1.51</v>
          </cell>
          <cell r="D2">
            <v>9.5399999999999991</v>
          </cell>
          <cell r="E2">
            <v>1.39</v>
          </cell>
          <cell r="F2">
            <v>1.1100000000000001</v>
          </cell>
          <cell r="G2">
            <v>-0.95</v>
          </cell>
          <cell r="H2">
            <v>18.13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59E7-6B5E-6242-9FBC-3D3CD8600D8F}">
  <dimension ref="A1:H2"/>
  <sheetViews>
    <sheetView workbookViewId="0">
      <selection activeCell="C31" sqref="C31"/>
    </sheetView>
  </sheetViews>
  <sheetFormatPr baseColWidth="10" defaultRowHeight="16" x14ac:dyDescent="0.2"/>
  <cols>
    <col min="3" max="3" width="29" bestFit="1" customWidth="1"/>
    <col min="4" max="4" width="30" bestFit="1" customWidth="1"/>
    <col min="5" max="5" width="25.1640625" bestFit="1" customWidth="1"/>
    <col min="6" max="6" width="25.83203125" bestFit="1" customWidth="1"/>
    <col min="7" max="7" width="18.5" bestFit="1" customWidth="1"/>
    <col min="8" max="8" width="24.83203125" bestFit="1" customWidth="1"/>
  </cols>
  <sheetData>
    <row r="1" spans="1:8" ht="34" x14ac:dyDescent="0.2">
      <c r="A1" t="s">
        <v>46</v>
      </c>
      <c r="B1" t="s">
        <v>1425</v>
      </c>
      <c r="C1" s="34" t="s">
        <v>1421</v>
      </c>
      <c r="D1" s="34" t="s">
        <v>1422</v>
      </c>
      <c r="E1" s="34" t="s">
        <v>1423</v>
      </c>
      <c r="F1" s="34" t="s">
        <v>1424</v>
      </c>
      <c r="G1" t="s">
        <v>1419</v>
      </c>
      <c r="H1" t="s">
        <v>1420</v>
      </c>
    </row>
    <row r="2" spans="1:8" x14ac:dyDescent="0.2">
      <c r="A2" t="s">
        <v>1270</v>
      </c>
      <c r="B2">
        <v>30.74</v>
      </c>
      <c r="C2">
        <v>1.51</v>
      </c>
      <c r="D2">
        <v>9.5399999999999991</v>
      </c>
      <c r="E2">
        <v>1.39</v>
      </c>
      <c r="F2">
        <v>1.1100000000000001</v>
      </c>
      <c r="G2">
        <v>-0.95</v>
      </c>
      <c r="H2">
        <v>18.13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7938-2C56-F540-A0A6-FFC4CCED7760}">
  <dimension ref="A1:H63"/>
  <sheetViews>
    <sheetView workbookViewId="0">
      <selection activeCell="B6" sqref="B6"/>
    </sheetView>
  </sheetViews>
  <sheetFormatPr baseColWidth="10" defaultRowHeight="16" x14ac:dyDescent="0.2"/>
  <cols>
    <col min="2" max="2" width="12" bestFit="1" customWidth="1"/>
    <col min="3" max="3" width="29" bestFit="1" customWidth="1"/>
    <col min="4" max="4" width="30" bestFit="1" customWidth="1"/>
    <col min="5" max="5" width="25.1640625" bestFit="1" customWidth="1"/>
    <col min="6" max="6" width="25.83203125" bestFit="1" customWidth="1"/>
    <col min="7" max="7" width="18.5" bestFit="1" customWidth="1"/>
    <col min="8" max="8" width="24.83203125" bestFit="1" customWidth="1"/>
  </cols>
  <sheetData>
    <row r="1" spans="1:8" x14ac:dyDescent="0.2">
      <c r="A1" t="s">
        <v>1413</v>
      </c>
    </row>
    <row r="2" spans="1:8" x14ac:dyDescent="0.2">
      <c r="A2" t="s">
        <v>1414</v>
      </c>
    </row>
    <row r="3" spans="1:8" x14ac:dyDescent="0.2">
      <c r="A3" t="s">
        <v>46</v>
      </c>
      <c r="B3" t="s">
        <v>1425</v>
      </c>
      <c r="C3" t="s">
        <v>1415</v>
      </c>
      <c r="D3" t="s">
        <v>1416</v>
      </c>
      <c r="E3" t="s">
        <v>1417</v>
      </c>
      <c r="F3" t="s">
        <v>1418</v>
      </c>
      <c r="G3" t="s">
        <v>1419</v>
      </c>
      <c r="H3" t="s">
        <v>1420</v>
      </c>
    </row>
    <row r="4" spans="1:8" x14ac:dyDescent="0.2">
      <c r="A4" t="s">
        <v>68</v>
      </c>
      <c r="B4">
        <v>11.93</v>
      </c>
    </row>
    <row r="5" spans="1:8" x14ac:dyDescent="0.2">
      <c r="A5" t="s">
        <v>69</v>
      </c>
      <c r="B5">
        <v>13.9</v>
      </c>
    </row>
    <row r="6" spans="1:8" x14ac:dyDescent="0.2">
      <c r="A6" t="s">
        <v>70</v>
      </c>
      <c r="B6">
        <v>13.71</v>
      </c>
    </row>
    <row r="7" spans="1:8" x14ac:dyDescent="0.2">
      <c r="A7" t="s">
        <v>71</v>
      </c>
      <c r="B7">
        <v>12</v>
      </c>
    </row>
    <row r="8" spans="1:8" x14ac:dyDescent="0.2">
      <c r="A8" t="s">
        <v>72</v>
      </c>
      <c r="B8">
        <v>11.88</v>
      </c>
    </row>
    <row r="9" spans="1:8" x14ac:dyDescent="0.2">
      <c r="A9" t="s">
        <v>73</v>
      </c>
      <c r="B9">
        <v>13.95</v>
      </c>
    </row>
    <row r="10" spans="1:8" x14ac:dyDescent="0.2">
      <c r="A10" t="s">
        <v>74</v>
      </c>
      <c r="B10">
        <v>13.87</v>
      </c>
      <c r="D10">
        <v>1.26</v>
      </c>
      <c r="F10">
        <v>0.03</v>
      </c>
      <c r="G10">
        <v>1.47</v>
      </c>
    </row>
    <row r="11" spans="1:8" x14ac:dyDescent="0.2">
      <c r="A11" t="s">
        <v>75</v>
      </c>
      <c r="B11">
        <v>14.67</v>
      </c>
      <c r="D11">
        <v>1.35</v>
      </c>
      <c r="F11">
        <v>0.04</v>
      </c>
      <c r="G11">
        <v>1.36</v>
      </c>
    </row>
    <row r="12" spans="1:8" x14ac:dyDescent="0.2">
      <c r="A12" t="s">
        <v>76</v>
      </c>
      <c r="B12">
        <v>13.76</v>
      </c>
      <c r="D12">
        <v>1.29</v>
      </c>
      <c r="F12">
        <v>0.03</v>
      </c>
      <c r="G12">
        <v>1.32</v>
      </c>
    </row>
    <row r="13" spans="1:8" x14ac:dyDescent="0.2">
      <c r="A13" t="s">
        <v>77</v>
      </c>
      <c r="B13">
        <v>16.34</v>
      </c>
      <c r="D13">
        <v>1.45</v>
      </c>
      <c r="F13">
        <v>0.02</v>
      </c>
      <c r="G13">
        <v>1.64</v>
      </c>
    </row>
    <row r="14" spans="1:8" x14ac:dyDescent="0.2">
      <c r="A14" t="s">
        <v>78</v>
      </c>
      <c r="B14">
        <v>16.13</v>
      </c>
      <c r="D14">
        <v>1.67</v>
      </c>
      <c r="F14">
        <v>0.02</v>
      </c>
      <c r="G14">
        <v>2</v>
      </c>
    </row>
    <row r="15" spans="1:8" x14ac:dyDescent="0.2">
      <c r="A15" t="s">
        <v>79</v>
      </c>
      <c r="B15">
        <v>16.63</v>
      </c>
      <c r="D15">
        <v>1.0900000000000001</v>
      </c>
      <c r="F15">
        <v>0.03</v>
      </c>
      <c r="G15">
        <v>2.56</v>
      </c>
    </row>
    <row r="16" spans="1:8" x14ac:dyDescent="0.2">
      <c r="A16" t="s">
        <v>80</v>
      </c>
      <c r="B16">
        <v>18.07</v>
      </c>
      <c r="D16">
        <v>1.07</v>
      </c>
      <c r="F16">
        <v>0.04</v>
      </c>
      <c r="G16">
        <v>2.52</v>
      </c>
    </row>
    <row r="17" spans="1:7" x14ac:dyDescent="0.2">
      <c r="A17" t="s">
        <v>81</v>
      </c>
      <c r="B17">
        <v>18.55</v>
      </c>
      <c r="D17">
        <v>1.1499999999999999</v>
      </c>
      <c r="F17">
        <v>0.03</v>
      </c>
      <c r="G17">
        <v>2.25</v>
      </c>
    </row>
    <row r="18" spans="1:7" x14ac:dyDescent="0.2">
      <c r="A18" t="s">
        <v>82</v>
      </c>
      <c r="B18">
        <v>20.309999999999999</v>
      </c>
      <c r="D18">
        <v>1.22</v>
      </c>
      <c r="F18">
        <v>0.03</v>
      </c>
      <c r="G18">
        <v>2.4300000000000002</v>
      </c>
    </row>
    <row r="19" spans="1:7" x14ac:dyDescent="0.2">
      <c r="A19" t="s">
        <v>83</v>
      </c>
      <c r="B19">
        <v>19.239999999999998</v>
      </c>
      <c r="D19">
        <v>1.71</v>
      </c>
      <c r="F19">
        <v>0.03</v>
      </c>
      <c r="G19">
        <v>2.36</v>
      </c>
    </row>
    <row r="20" spans="1:7" x14ac:dyDescent="0.2">
      <c r="A20" t="s">
        <v>84</v>
      </c>
      <c r="B20">
        <v>17.21</v>
      </c>
      <c r="D20">
        <v>1.4</v>
      </c>
      <c r="F20">
        <v>0.02</v>
      </c>
      <c r="G20">
        <v>2.04</v>
      </c>
    </row>
    <row r="21" spans="1:7" x14ac:dyDescent="0.2">
      <c r="A21" t="s">
        <v>85</v>
      </c>
      <c r="B21">
        <v>16.78</v>
      </c>
      <c r="D21">
        <v>1.31</v>
      </c>
      <c r="F21">
        <v>0.03</v>
      </c>
      <c r="G21">
        <v>2.4300000000000002</v>
      </c>
    </row>
    <row r="22" spans="1:7" x14ac:dyDescent="0.2">
      <c r="A22" t="s">
        <v>86</v>
      </c>
      <c r="B22">
        <v>17.239999999999998</v>
      </c>
      <c r="D22">
        <v>1.35</v>
      </c>
      <c r="F22">
        <v>0.04</v>
      </c>
      <c r="G22">
        <v>1.94</v>
      </c>
    </row>
    <row r="23" spans="1:7" x14ac:dyDescent="0.2">
      <c r="A23" t="s">
        <v>87</v>
      </c>
      <c r="B23">
        <v>16.89</v>
      </c>
      <c r="D23">
        <v>1.27</v>
      </c>
      <c r="F23">
        <v>0.05</v>
      </c>
      <c r="G23">
        <v>1.1200000000000001</v>
      </c>
    </row>
    <row r="24" spans="1:7" x14ac:dyDescent="0.2">
      <c r="A24" t="s">
        <v>88</v>
      </c>
      <c r="B24">
        <v>17.79</v>
      </c>
      <c r="D24">
        <v>1.45</v>
      </c>
      <c r="F24">
        <v>0.03</v>
      </c>
      <c r="G24">
        <v>0.6</v>
      </c>
    </row>
    <row r="25" spans="1:7" x14ac:dyDescent="0.2">
      <c r="A25" t="s">
        <v>89</v>
      </c>
      <c r="B25">
        <v>18.36</v>
      </c>
      <c r="D25">
        <v>1.7</v>
      </c>
      <c r="F25">
        <v>0.06</v>
      </c>
      <c r="G25">
        <v>0.59</v>
      </c>
    </row>
    <row r="26" spans="1:7" x14ac:dyDescent="0.2">
      <c r="A26" t="s">
        <v>90</v>
      </c>
      <c r="B26">
        <v>18.16</v>
      </c>
      <c r="D26">
        <v>1.45</v>
      </c>
      <c r="F26">
        <v>0.06</v>
      </c>
      <c r="G26">
        <v>0.16</v>
      </c>
    </row>
    <row r="27" spans="1:7" x14ac:dyDescent="0.2">
      <c r="A27" t="s">
        <v>91</v>
      </c>
      <c r="B27">
        <v>20.309999999999999</v>
      </c>
      <c r="D27">
        <v>1.42</v>
      </c>
      <c r="F27">
        <v>7.0000000000000007E-2</v>
      </c>
      <c r="G27">
        <v>-0.49</v>
      </c>
    </row>
    <row r="28" spans="1:7" x14ac:dyDescent="0.2">
      <c r="A28" t="s">
        <v>92</v>
      </c>
      <c r="B28">
        <v>20.46</v>
      </c>
      <c r="D28">
        <v>1.83</v>
      </c>
      <c r="F28">
        <v>0.1</v>
      </c>
      <c r="G28">
        <v>-0.77</v>
      </c>
    </row>
    <row r="29" spans="1:7" x14ac:dyDescent="0.2">
      <c r="A29" t="s">
        <v>93</v>
      </c>
      <c r="B29">
        <v>21.76</v>
      </c>
      <c r="D29">
        <v>2.21</v>
      </c>
      <c r="F29">
        <v>0.11</v>
      </c>
      <c r="G29">
        <v>-1.24</v>
      </c>
    </row>
    <row r="30" spans="1:7" x14ac:dyDescent="0.2">
      <c r="A30" t="s">
        <v>94</v>
      </c>
      <c r="B30">
        <v>23.33</v>
      </c>
      <c r="D30">
        <v>2.23</v>
      </c>
      <c r="F30">
        <v>0.17</v>
      </c>
      <c r="G30">
        <v>-1.45</v>
      </c>
    </row>
    <row r="31" spans="1:7" x14ac:dyDescent="0.2">
      <c r="A31" t="s">
        <v>95</v>
      </c>
      <c r="B31">
        <v>21.62</v>
      </c>
      <c r="D31">
        <v>2.66</v>
      </c>
      <c r="F31">
        <v>0.2</v>
      </c>
      <c r="G31">
        <v>-0.9</v>
      </c>
    </row>
    <row r="32" spans="1:7" x14ac:dyDescent="0.2">
      <c r="A32" t="s">
        <v>96</v>
      </c>
      <c r="B32">
        <v>21.67</v>
      </c>
      <c r="D32">
        <v>2.29</v>
      </c>
      <c r="F32">
        <v>0.23</v>
      </c>
      <c r="G32">
        <v>-0.85</v>
      </c>
    </row>
    <row r="33" spans="1:7" x14ac:dyDescent="0.2">
      <c r="A33" t="s">
        <v>97</v>
      </c>
      <c r="B33">
        <v>22.18</v>
      </c>
      <c r="D33">
        <v>2.92</v>
      </c>
      <c r="F33">
        <v>0.32</v>
      </c>
      <c r="G33">
        <v>-1.93</v>
      </c>
    </row>
    <row r="34" spans="1:7" x14ac:dyDescent="0.2">
      <c r="A34" t="s">
        <v>98</v>
      </c>
      <c r="B34">
        <v>24.05</v>
      </c>
      <c r="D34">
        <v>2.74</v>
      </c>
      <c r="F34">
        <v>0.49</v>
      </c>
      <c r="G34">
        <v>-1.52</v>
      </c>
    </row>
    <row r="35" spans="1:7" x14ac:dyDescent="0.2">
      <c r="A35" t="s">
        <v>99</v>
      </c>
      <c r="B35">
        <v>23.94</v>
      </c>
      <c r="D35">
        <v>3.99</v>
      </c>
      <c r="F35">
        <v>0.67</v>
      </c>
      <c r="G35">
        <v>-1.1399999999999999</v>
      </c>
    </row>
    <row r="36" spans="1:7" x14ac:dyDescent="0.2">
      <c r="A36" t="s">
        <v>100</v>
      </c>
      <c r="B36">
        <v>22.81</v>
      </c>
      <c r="D36">
        <v>3.81</v>
      </c>
      <c r="F36">
        <v>0.42</v>
      </c>
      <c r="G36">
        <v>-1.44</v>
      </c>
    </row>
    <row r="37" spans="1:7" x14ac:dyDescent="0.2">
      <c r="A37" t="s">
        <v>101</v>
      </c>
      <c r="B37">
        <v>24.53</v>
      </c>
      <c r="D37">
        <v>3.51</v>
      </c>
      <c r="F37">
        <v>0.44</v>
      </c>
      <c r="G37">
        <v>-1.85</v>
      </c>
    </row>
    <row r="38" spans="1:7" x14ac:dyDescent="0.2">
      <c r="A38" t="s">
        <v>102</v>
      </c>
      <c r="B38">
        <v>23.73</v>
      </c>
      <c r="D38">
        <v>3.13</v>
      </c>
      <c r="F38">
        <v>0.38</v>
      </c>
      <c r="G38">
        <v>-3.66</v>
      </c>
    </row>
    <row r="39" spans="1:7" x14ac:dyDescent="0.2">
      <c r="A39" t="s">
        <v>103</v>
      </c>
      <c r="B39">
        <v>26.32</v>
      </c>
      <c r="D39">
        <v>3.75</v>
      </c>
      <c r="F39">
        <v>0.34</v>
      </c>
      <c r="G39">
        <v>-4.04</v>
      </c>
    </row>
    <row r="40" spans="1:7" x14ac:dyDescent="0.2">
      <c r="A40" t="s">
        <v>104</v>
      </c>
      <c r="B40">
        <v>24.84</v>
      </c>
      <c r="D40">
        <v>3.88</v>
      </c>
      <c r="F40">
        <v>-0.01</v>
      </c>
      <c r="G40">
        <v>-4.3600000000000003</v>
      </c>
    </row>
    <row r="41" spans="1:7" x14ac:dyDescent="0.2">
      <c r="A41" t="s">
        <v>105</v>
      </c>
      <c r="B41">
        <v>26.05</v>
      </c>
      <c r="D41">
        <v>3.2</v>
      </c>
      <c r="F41">
        <v>0.16</v>
      </c>
      <c r="G41">
        <v>-4.8099999999999996</v>
      </c>
    </row>
    <row r="42" spans="1:7" x14ac:dyDescent="0.2">
      <c r="A42" t="s">
        <v>106</v>
      </c>
      <c r="B42">
        <v>26.81</v>
      </c>
      <c r="D42">
        <v>3.66</v>
      </c>
      <c r="F42">
        <v>0.18</v>
      </c>
      <c r="G42">
        <v>-4.16</v>
      </c>
    </row>
    <row r="43" spans="1:7" x14ac:dyDescent="0.2">
      <c r="A43" t="s">
        <v>107</v>
      </c>
      <c r="B43">
        <v>29.58</v>
      </c>
      <c r="D43">
        <v>4.08</v>
      </c>
      <c r="F43">
        <v>0.22</v>
      </c>
      <c r="G43">
        <v>-2.89</v>
      </c>
    </row>
    <row r="44" spans="1:7" x14ac:dyDescent="0.2">
      <c r="A44" t="s">
        <v>108</v>
      </c>
      <c r="B44">
        <v>34.78</v>
      </c>
      <c r="D44">
        <v>7.09</v>
      </c>
      <c r="F44">
        <v>1.58</v>
      </c>
      <c r="G44">
        <v>-2.0499999999999998</v>
      </c>
    </row>
    <row r="45" spans="1:7" x14ac:dyDescent="0.2">
      <c r="A45" t="s">
        <v>109</v>
      </c>
      <c r="B45">
        <v>35.200000000000003</v>
      </c>
      <c r="D45">
        <v>7.88</v>
      </c>
      <c r="F45">
        <v>2.35</v>
      </c>
      <c r="G45">
        <v>-1.84</v>
      </c>
    </row>
    <row r="46" spans="1:7" x14ac:dyDescent="0.2">
      <c r="A46" t="s">
        <v>110</v>
      </c>
      <c r="B46">
        <v>34.93</v>
      </c>
      <c r="D46">
        <v>8.7100000000000009</v>
      </c>
      <c r="F46">
        <v>1.33</v>
      </c>
      <c r="G46">
        <v>-0.91</v>
      </c>
    </row>
    <row r="47" spans="1:7" x14ac:dyDescent="0.2">
      <c r="A47" t="s">
        <v>111</v>
      </c>
      <c r="B47">
        <v>37.82</v>
      </c>
      <c r="D47">
        <v>10.37</v>
      </c>
      <c r="F47">
        <v>1.83</v>
      </c>
      <c r="G47">
        <v>0.45</v>
      </c>
    </row>
    <row r="48" spans="1:7" x14ac:dyDescent="0.2">
      <c r="A48" t="s">
        <v>112</v>
      </c>
      <c r="B48">
        <v>36.020000000000003</v>
      </c>
      <c r="D48">
        <v>8.31</v>
      </c>
      <c r="F48">
        <v>1.21</v>
      </c>
      <c r="G48">
        <v>-2.46</v>
      </c>
    </row>
    <row r="49" spans="1:8" x14ac:dyDescent="0.2">
      <c r="A49" t="s">
        <v>113</v>
      </c>
      <c r="B49">
        <v>36.01</v>
      </c>
      <c r="D49">
        <v>9.39</v>
      </c>
      <c r="F49">
        <v>1.21</v>
      </c>
      <c r="G49">
        <v>-2.71</v>
      </c>
    </row>
    <row r="50" spans="1:8" x14ac:dyDescent="0.2">
      <c r="A50" t="s">
        <v>114</v>
      </c>
      <c r="B50">
        <v>36.909999999999997</v>
      </c>
      <c r="D50">
        <v>8.92</v>
      </c>
      <c r="F50">
        <v>1.28</v>
      </c>
      <c r="G50">
        <v>-0.47</v>
      </c>
    </row>
    <row r="51" spans="1:8" x14ac:dyDescent="0.2">
      <c r="A51" t="s">
        <v>115</v>
      </c>
      <c r="B51">
        <v>34.65</v>
      </c>
      <c r="C51">
        <v>1.42</v>
      </c>
      <c r="D51">
        <v>8.2799999999999994</v>
      </c>
      <c r="E51">
        <v>1.93</v>
      </c>
      <c r="F51">
        <v>1.18</v>
      </c>
      <c r="G51">
        <v>-1.81</v>
      </c>
      <c r="H51">
        <v>23.64</v>
      </c>
    </row>
    <row r="52" spans="1:8" x14ac:dyDescent="0.2">
      <c r="A52" t="s">
        <v>116</v>
      </c>
      <c r="B52">
        <v>33.880000000000003</v>
      </c>
      <c r="C52">
        <v>1.25</v>
      </c>
      <c r="D52">
        <v>8.73</v>
      </c>
      <c r="E52">
        <v>1.76</v>
      </c>
      <c r="F52">
        <v>1.27</v>
      </c>
      <c r="G52">
        <v>-1.6</v>
      </c>
      <c r="H52">
        <v>22.48</v>
      </c>
    </row>
    <row r="53" spans="1:8" x14ac:dyDescent="0.2">
      <c r="A53" t="s">
        <v>117</v>
      </c>
      <c r="B53">
        <v>32.119999999999997</v>
      </c>
      <c r="C53">
        <v>1.1200000000000001</v>
      </c>
      <c r="D53">
        <v>9.59</v>
      </c>
      <c r="E53">
        <v>1.45</v>
      </c>
      <c r="F53">
        <v>1.1599999999999999</v>
      </c>
      <c r="G53">
        <v>-1.55</v>
      </c>
      <c r="H53">
        <v>20.34</v>
      </c>
    </row>
    <row r="54" spans="1:8" x14ac:dyDescent="0.2">
      <c r="A54" t="s">
        <v>118</v>
      </c>
      <c r="B54">
        <v>32.24</v>
      </c>
      <c r="C54">
        <v>1.04</v>
      </c>
      <c r="D54">
        <v>10.33</v>
      </c>
      <c r="E54">
        <v>1.36</v>
      </c>
      <c r="F54">
        <v>1.36</v>
      </c>
      <c r="G54">
        <v>-1.41</v>
      </c>
      <c r="H54">
        <v>19.559999999999999</v>
      </c>
    </row>
    <row r="55" spans="1:8" x14ac:dyDescent="0.2">
      <c r="A55" t="s">
        <v>119</v>
      </c>
      <c r="B55">
        <v>31.09</v>
      </c>
      <c r="C55">
        <v>1.1200000000000001</v>
      </c>
      <c r="D55">
        <v>11.06</v>
      </c>
      <c r="E55">
        <v>1.28</v>
      </c>
      <c r="F55">
        <v>0.84</v>
      </c>
      <c r="G55">
        <v>-1.17</v>
      </c>
      <c r="H55">
        <v>17.97</v>
      </c>
    </row>
    <row r="56" spans="1:8" x14ac:dyDescent="0.2">
      <c r="A56" t="s">
        <v>120</v>
      </c>
      <c r="B56">
        <v>31.35</v>
      </c>
      <c r="C56">
        <v>1.1200000000000001</v>
      </c>
      <c r="D56">
        <v>10.65</v>
      </c>
      <c r="E56">
        <v>1.4</v>
      </c>
      <c r="F56">
        <v>0.87</v>
      </c>
      <c r="G56">
        <v>-0.79</v>
      </c>
      <c r="H56">
        <v>18.11</v>
      </c>
    </row>
    <row r="57" spans="1:8" x14ac:dyDescent="0.2">
      <c r="A57" t="s">
        <v>121</v>
      </c>
      <c r="B57">
        <v>32.07</v>
      </c>
      <c r="C57">
        <v>1.39</v>
      </c>
      <c r="D57">
        <v>10.34</v>
      </c>
      <c r="E57">
        <v>1.39</v>
      </c>
      <c r="F57">
        <v>0.88</v>
      </c>
      <c r="G57">
        <v>-1.22</v>
      </c>
      <c r="H57">
        <v>19.29</v>
      </c>
    </row>
    <row r="58" spans="1:8" x14ac:dyDescent="0.2">
      <c r="A58" t="s">
        <v>122</v>
      </c>
      <c r="B58">
        <v>31.75</v>
      </c>
      <c r="C58">
        <v>1.33</v>
      </c>
      <c r="D58">
        <v>9.58</v>
      </c>
      <c r="E58">
        <v>0.94</v>
      </c>
      <c r="F58">
        <v>0.93</v>
      </c>
      <c r="G58">
        <v>-1.37</v>
      </c>
      <c r="H58">
        <v>20.34</v>
      </c>
    </row>
    <row r="59" spans="1:8" x14ac:dyDescent="0.2">
      <c r="A59" t="s">
        <v>123</v>
      </c>
      <c r="B59">
        <v>29.55</v>
      </c>
      <c r="C59">
        <v>1.45</v>
      </c>
      <c r="D59">
        <v>9.15</v>
      </c>
      <c r="E59">
        <v>1.56</v>
      </c>
      <c r="F59">
        <v>1.05</v>
      </c>
      <c r="G59">
        <v>-2.79</v>
      </c>
      <c r="H59">
        <v>19.13</v>
      </c>
    </row>
    <row r="60" spans="1:8" x14ac:dyDescent="0.2">
      <c r="A60" t="s">
        <v>8</v>
      </c>
      <c r="B60">
        <v>29.15</v>
      </c>
      <c r="C60">
        <v>1.18</v>
      </c>
      <c r="D60">
        <v>9.34</v>
      </c>
      <c r="E60">
        <v>1.41</v>
      </c>
      <c r="F60">
        <v>1.18</v>
      </c>
      <c r="G60">
        <v>-6.66</v>
      </c>
      <c r="H60">
        <v>22.69</v>
      </c>
    </row>
    <row r="61" spans="1:8" x14ac:dyDescent="0.2">
      <c r="A61" t="s">
        <v>9</v>
      </c>
      <c r="B61">
        <v>31.2</v>
      </c>
      <c r="C61">
        <v>1.32</v>
      </c>
      <c r="D61">
        <v>10.26</v>
      </c>
      <c r="E61">
        <v>1.52</v>
      </c>
      <c r="F61">
        <v>0.98</v>
      </c>
      <c r="G61">
        <v>-2.98</v>
      </c>
      <c r="H61">
        <v>20.100000000000001</v>
      </c>
    </row>
    <row r="62" spans="1:8" x14ac:dyDescent="0.2">
      <c r="A62" t="s">
        <v>11</v>
      </c>
      <c r="B62">
        <v>30.66</v>
      </c>
      <c r="C62">
        <v>1.23</v>
      </c>
      <c r="D62">
        <v>9.83</v>
      </c>
      <c r="E62">
        <v>1.73</v>
      </c>
      <c r="F62">
        <v>1.1399999999999999</v>
      </c>
      <c r="G62">
        <v>-1.91</v>
      </c>
      <c r="H62">
        <v>18.63</v>
      </c>
    </row>
    <row r="63" spans="1:8" x14ac:dyDescent="0.2">
      <c r="A63" t="s">
        <v>1270</v>
      </c>
      <c r="B63">
        <v>30.74</v>
      </c>
      <c r="C63">
        <v>1.51</v>
      </c>
      <c r="D63">
        <v>9.5399999999999991</v>
      </c>
      <c r="E63">
        <v>1.39</v>
      </c>
      <c r="F63">
        <v>1.1100000000000001</v>
      </c>
      <c r="G63">
        <v>-0.95</v>
      </c>
      <c r="H63">
        <v>18.13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2437-C2F1-F94A-A6C5-8938C96E52C6}">
  <dimension ref="A1:AA25"/>
  <sheetViews>
    <sheetView tabSelected="1" workbookViewId="0">
      <selection activeCell="C11" sqref="C11"/>
    </sheetView>
  </sheetViews>
  <sheetFormatPr baseColWidth="10" defaultRowHeight="16" x14ac:dyDescent="0.2"/>
  <cols>
    <col min="1" max="1" width="70.5" bestFit="1" customWidth="1"/>
    <col min="9" max="9" width="11.6640625" bestFit="1" customWidth="1"/>
    <col min="10" max="10" width="16.6640625" customWidth="1"/>
    <col min="11" max="11" width="26.83203125" customWidth="1"/>
    <col min="12" max="12" width="13.1640625" bestFit="1" customWidth="1"/>
  </cols>
  <sheetData>
    <row r="1" spans="1:11" x14ac:dyDescent="0.2">
      <c r="A1" t="s">
        <v>248</v>
      </c>
    </row>
    <row r="2" spans="1:11" x14ac:dyDescent="0.2">
      <c r="A2" t="s">
        <v>225</v>
      </c>
    </row>
    <row r="3" spans="1:11" x14ac:dyDescent="0.2">
      <c r="A3" t="s">
        <v>262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</row>
    <row r="4" spans="1:11" x14ac:dyDescent="0.2">
      <c r="A4" t="s">
        <v>267</v>
      </c>
      <c r="B4" s="7">
        <v>34030080</v>
      </c>
      <c r="C4" s="7">
        <v>38471220</v>
      </c>
      <c r="D4" s="7">
        <v>37941350</v>
      </c>
      <c r="E4" s="7">
        <v>41797790</v>
      </c>
      <c r="F4" s="7">
        <v>44226590</v>
      </c>
      <c r="G4" s="7">
        <v>49180770</v>
      </c>
      <c r="H4" s="7">
        <v>57915730</v>
      </c>
      <c r="I4" s="7">
        <v>63960530</v>
      </c>
      <c r="J4" s="7">
        <v>61612130</v>
      </c>
      <c r="K4" s="7">
        <v>54031100</v>
      </c>
    </row>
    <row r="5" spans="1:11" x14ac:dyDescent="0.2">
      <c r="A5" t="s">
        <v>249</v>
      </c>
      <c r="B5" s="7">
        <v>3761710</v>
      </c>
      <c r="C5" s="7">
        <v>4779200</v>
      </c>
      <c r="D5" s="7">
        <v>1859420</v>
      </c>
      <c r="E5" s="7">
        <v>1598220</v>
      </c>
      <c r="F5" s="7">
        <v>1403990</v>
      </c>
      <c r="G5" s="7">
        <v>929640</v>
      </c>
      <c r="H5" s="7">
        <v>3108320</v>
      </c>
      <c r="I5" s="7">
        <v>3956620</v>
      </c>
      <c r="J5" s="7">
        <v>1652710</v>
      </c>
      <c r="K5" s="7">
        <v>-1893360</v>
      </c>
    </row>
    <row r="6" spans="1:11" x14ac:dyDescent="0.2">
      <c r="A6" t="s">
        <v>250</v>
      </c>
      <c r="B6" s="7">
        <v>30268370</v>
      </c>
      <c r="C6" s="7">
        <v>33692020</v>
      </c>
      <c r="D6" s="7">
        <v>36081930</v>
      </c>
      <c r="E6" s="7">
        <v>40199570</v>
      </c>
      <c r="F6" s="7">
        <v>42822590</v>
      </c>
      <c r="G6" s="7">
        <v>48251130</v>
      </c>
      <c r="H6" s="7">
        <v>54807410</v>
      </c>
      <c r="I6" s="7">
        <v>60003900</v>
      </c>
      <c r="J6" s="7">
        <v>59959420</v>
      </c>
      <c r="K6" s="7">
        <v>55924460</v>
      </c>
    </row>
    <row r="7" spans="1:11" x14ac:dyDescent="0.2">
      <c r="A7" t="s">
        <v>265</v>
      </c>
      <c r="B7" s="7">
        <v>8471340</v>
      </c>
      <c r="C7" s="7">
        <v>9921930</v>
      </c>
      <c r="D7" s="7">
        <v>12035360</v>
      </c>
      <c r="E7" s="7">
        <v>14170530</v>
      </c>
      <c r="F7" s="7">
        <v>16771840</v>
      </c>
      <c r="G7" s="7">
        <v>18110190</v>
      </c>
      <c r="H7" s="7">
        <v>20053740</v>
      </c>
      <c r="I7" s="7">
        <v>20612170</v>
      </c>
      <c r="J7" s="7">
        <v>21251810</v>
      </c>
      <c r="K7" s="7">
        <v>19900770</v>
      </c>
    </row>
    <row r="8" spans="1:11" x14ac:dyDescent="0.2">
      <c r="A8" t="s">
        <v>251</v>
      </c>
      <c r="B8" s="7">
        <v>1237690</v>
      </c>
      <c r="C8" s="7">
        <v>1239810</v>
      </c>
      <c r="D8" s="7">
        <v>1262500</v>
      </c>
      <c r="E8" s="7">
        <v>1291080</v>
      </c>
      <c r="F8" s="7">
        <v>1540150</v>
      </c>
      <c r="G8" s="7">
        <v>1721860</v>
      </c>
      <c r="H8" s="7">
        <v>2374830</v>
      </c>
      <c r="I8" s="7">
        <v>2507970</v>
      </c>
      <c r="J8" s="7">
        <v>2917520</v>
      </c>
      <c r="K8" s="7">
        <v>2760590</v>
      </c>
    </row>
    <row r="9" spans="1:11" x14ac:dyDescent="0.2">
      <c r="A9" t="s">
        <v>252</v>
      </c>
      <c r="B9" s="7">
        <v>247230</v>
      </c>
      <c r="C9" s="7">
        <v>312820</v>
      </c>
      <c r="D9" s="7">
        <v>326880</v>
      </c>
      <c r="E9" s="7">
        <v>392530</v>
      </c>
      <c r="F9" s="7">
        <v>476200</v>
      </c>
      <c r="G9" s="7">
        <v>443000</v>
      </c>
      <c r="H9" s="7">
        <v>503520</v>
      </c>
      <c r="I9" s="7">
        <v>551280</v>
      </c>
      <c r="J9" s="7">
        <v>531610</v>
      </c>
      <c r="K9" s="7">
        <v>528980</v>
      </c>
    </row>
    <row r="10" spans="1:11" x14ac:dyDescent="0.2">
      <c r="A10" t="s">
        <v>253</v>
      </c>
      <c r="B10" s="7">
        <v>990460</v>
      </c>
      <c r="C10" s="7">
        <v>926990</v>
      </c>
      <c r="D10" s="7">
        <v>935620</v>
      </c>
      <c r="E10" s="7">
        <v>898550</v>
      </c>
      <c r="F10" s="7">
        <v>1063950</v>
      </c>
      <c r="G10" s="7">
        <v>1278860</v>
      </c>
      <c r="H10" s="7">
        <v>1871310</v>
      </c>
      <c r="I10" s="7">
        <v>1956690</v>
      </c>
      <c r="J10" s="7">
        <v>2385900</v>
      </c>
      <c r="K10" s="7">
        <v>2231610</v>
      </c>
    </row>
    <row r="11" spans="1:11" x14ac:dyDescent="0.2">
      <c r="A11" t="s">
        <v>254</v>
      </c>
      <c r="B11" s="7">
        <v>7233650</v>
      </c>
      <c r="C11" s="7">
        <v>8682120</v>
      </c>
      <c r="D11" s="7">
        <v>10772860</v>
      </c>
      <c r="E11" s="7">
        <v>12879440</v>
      </c>
      <c r="F11" s="7">
        <v>15231690</v>
      </c>
      <c r="G11" s="7">
        <v>16388330</v>
      </c>
      <c r="H11" s="7">
        <v>17678910</v>
      </c>
      <c r="I11" s="7">
        <v>18104210</v>
      </c>
      <c r="J11" s="7">
        <v>18334290</v>
      </c>
      <c r="K11" s="7">
        <v>17140180</v>
      </c>
    </row>
    <row r="12" spans="1:11" x14ac:dyDescent="0.2">
      <c r="A12" t="s">
        <v>264</v>
      </c>
      <c r="B12" s="7">
        <v>2723710</v>
      </c>
      <c r="C12" s="7">
        <v>3006260</v>
      </c>
      <c r="D12" s="7">
        <v>2930840</v>
      </c>
      <c r="E12" s="7">
        <v>3390270</v>
      </c>
      <c r="F12" s="7">
        <v>2916410</v>
      </c>
      <c r="G12" s="7">
        <v>3484090</v>
      </c>
      <c r="H12" s="7">
        <v>3870280</v>
      </c>
      <c r="I12" s="7">
        <v>3537190</v>
      </c>
      <c r="J12" s="7">
        <v>5829460</v>
      </c>
      <c r="K12" s="7">
        <v>5572630</v>
      </c>
    </row>
    <row r="13" spans="1:11" x14ac:dyDescent="0.2">
      <c r="A13" t="s">
        <v>255</v>
      </c>
      <c r="B13" s="7">
        <v>1689310</v>
      </c>
      <c r="C13" s="7">
        <v>1748330</v>
      </c>
      <c r="D13" s="7">
        <v>1631840</v>
      </c>
      <c r="E13" s="7">
        <v>1699080</v>
      </c>
      <c r="F13" s="7">
        <v>1765130</v>
      </c>
      <c r="G13" s="7">
        <v>2152580</v>
      </c>
      <c r="H13" s="7">
        <v>2371270</v>
      </c>
      <c r="I13" s="7">
        <v>1779640</v>
      </c>
      <c r="J13" s="7">
        <v>3121720</v>
      </c>
      <c r="K13" s="7">
        <v>2850350</v>
      </c>
    </row>
    <row r="14" spans="1:11" x14ac:dyDescent="0.2">
      <c r="A14" t="s">
        <v>252</v>
      </c>
      <c r="B14" s="7">
        <v>42840</v>
      </c>
      <c r="C14" s="7">
        <v>51720</v>
      </c>
      <c r="D14" s="7">
        <v>59610</v>
      </c>
      <c r="E14" s="7">
        <v>67220</v>
      </c>
      <c r="F14" s="7">
        <v>78780</v>
      </c>
      <c r="G14" s="7">
        <v>71590</v>
      </c>
      <c r="H14" s="7">
        <v>82180</v>
      </c>
      <c r="I14" s="7">
        <v>84510</v>
      </c>
      <c r="J14" s="7">
        <v>88750</v>
      </c>
      <c r="K14" s="7">
        <v>77140</v>
      </c>
    </row>
    <row r="15" spans="1:11" x14ac:dyDescent="0.2">
      <c r="A15" t="s">
        <v>253</v>
      </c>
      <c r="B15" s="7">
        <v>1646470</v>
      </c>
      <c r="C15" s="7">
        <v>1696610</v>
      </c>
      <c r="D15" s="7">
        <v>1572230</v>
      </c>
      <c r="E15" s="7">
        <v>1631860</v>
      </c>
      <c r="F15" s="7">
        <v>1686360</v>
      </c>
      <c r="G15" s="7">
        <v>2081000</v>
      </c>
      <c r="H15" s="7">
        <v>2289090</v>
      </c>
      <c r="I15" s="7">
        <v>1695130</v>
      </c>
      <c r="J15" s="7">
        <v>3032970</v>
      </c>
      <c r="K15" s="7">
        <v>2773210</v>
      </c>
    </row>
    <row r="16" spans="1:11" x14ac:dyDescent="0.2">
      <c r="A16" t="s">
        <v>256</v>
      </c>
      <c r="B16" s="7">
        <v>1034400</v>
      </c>
      <c r="C16" s="7">
        <v>1257930</v>
      </c>
      <c r="D16" s="7">
        <v>1299010</v>
      </c>
      <c r="E16" s="7">
        <v>1691200</v>
      </c>
      <c r="F16" s="7">
        <v>1151270</v>
      </c>
      <c r="G16" s="7">
        <v>1331510</v>
      </c>
      <c r="H16" s="7">
        <v>1499010</v>
      </c>
      <c r="I16" s="7">
        <v>1757550</v>
      </c>
      <c r="J16" s="7">
        <v>2707740</v>
      </c>
      <c r="K16" s="7">
        <v>2722290</v>
      </c>
    </row>
    <row r="17" spans="1:27" x14ac:dyDescent="0.2">
      <c r="A17" t="s">
        <v>263</v>
      </c>
      <c r="B17" s="7">
        <v>-1582340</v>
      </c>
      <c r="C17" s="7">
        <v>-1588970</v>
      </c>
      <c r="D17" s="7">
        <v>-1737290</v>
      </c>
      <c r="E17" s="7">
        <v>-1752270</v>
      </c>
      <c r="F17" s="7">
        <v>-1614780</v>
      </c>
      <c r="G17" s="7">
        <v>-1214490</v>
      </c>
      <c r="H17" s="7">
        <v>-2082570</v>
      </c>
      <c r="I17" s="7">
        <v>-2591270</v>
      </c>
      <c r="J17" s="7">
        <v>-6413320</v>
      </c>
      <c r="K17" s="7">
        <v>-13454780</v>
      </c>
    </row>
    <row r="18" spans="1:27" x14ac:dyDescent="0.2">
      <c r="A18" t="s">
        <v>257</v>
      </c>
      <c r="B18" s="7">
        <v>20655660</v>
      </c>
      <c r="C18" s="7">
        <v>22352800</v>
      </c>
      <c r="D18" s="7">
        <v>22853010</v>
      </c>
      <c r="E18" s="7">
        <v>24391040</v>
      </c>
      <c r="F18" s="7">
        <v>24749130</v>
      </c>
      <c r="G18" s="7">
        <v>27871340</v>
      </c>
      <c r="H18" s="7">
        <v>32965960</v>
      </c>
      <c r="I18" s="7">
        <v>38445820</v>
      </c>
      <c r="J18" s="7">
        <v>39291480</v>
      </c>
      <c r="K18" s="7">
        <v>43905840</v>
      </c>
      <c r="L18" s="7">
        <f>K19+K22+K23</f>
        <v>43905840</v>
      </c>
    </row>
    <row r="19" spans="1:27" x14ac:dyDescent="0.2">
      <c r="A19" t="s">
        <v>266</v>
      </c>
      <c r="B19" s="7">
        <v>6426090</v>
      </c>
      <c r="C19" s="7">
        <v>7336160</v>
      </c>
      <c r="D19" s="7">
        <v>8320910</v>
      </c>
      <c r="E19" s="7">
        <v>8804160</v>
      </c>
      <c r="F19" s="7">
        <v>11108450</v>
      </c>
      <c r="G19" s="7">
        <v>11460290</v>
      </c>
      <c r="H19" s="7">
        <v>13057050</v>
      </c>
      <c r="I19" s="7">
        <v>14924450</v>
      </c>
      <c r="J19" s="7">
        <v>16124680</v>
      </c>
      <c r="K19" s="7">
        <v>23037080</v>
      </c>
      <c r="L19" s="7">
        <f>K20-K21</f>
        <v>23037080</v>
      </c>
    </row>
    <row r="20" spans="1:27" x14ac:dyDescent="0.2">
      <c r="A20" t="s">
        <v>258</v>
      </c>
      <c r="B20" s="7">
        <v>9327290</v>
      </c>
      <c r="C20" s="7">
        <v>10640410</v>
      </c>
      <c r="D20" s="7">
        <v>11907700</v>
      </c>
      <c r="E20" s="7">
        <v>12572470</v>
      </c>
      <c r="F20" s="7">
        <v>14962320</v>
      </c>
      <c r="G20" s="7">
        <v>16146770</v>
      </c>
      <c r="H20" s="7">
        <v>20564050</v>
      </c>
      <c r="I20" s="7">
        <v>22636900</v>
      </c>
      <c r="J20" s="7">
        <v>23990870</v>
      </c>
      <c r="K20" s="7">
        <v>31089970</v>
      </c>
    </row>
    <row r="21" spans="1:27" x14ac:dyDescent="0.2">
      <c r="A21" t="s">
        <v>259</v>
      </c>
      <c r="B21" s="7">
        <v>2901200</v>
      </c>
      <c r="C21" s="7">
        <v>3304250</v>
      </c>
      <c r="D21" s="7">
        <v>3586790</v>
      </c>
      <c r="E21" s="7">
        <v>3768320</v>
      </c>
      <c r="F21" s="7">
        <v>3853880</v>
      </c>
      <c r="G21" s="7">
        <v>4686480</v>
      </c>
      <c r="H21" s="7">
        <v>7507000</v>
      </c>
      <c r="I21" s="7">
        <v>7712450</v>
      </c>
      <c r="J21" s="7">
        <v>7866190</v>
      </c>
      <c r="K21" s="7">
        <v>8052890</v>
      </c>
    </row>
    <row r="22" spans="1:27" x14ac:dyDescent="0.2">
      <c r="A22" t="s">
        <v>260</v>
      </c>
      <c r="B22" s="7">
        <v>13893220</v>
      </c>
      <c r="C22" s="7">
        <v>14650130</v>
      </c>
      <c r="D22" s="7">
        <v>14164280</v>
      </c>
      <c r="E22" s="7">
        <v>15131270</v>
      </c>
      <c r="F22" s="7">
        <v>13175990</v>
      </c>
      <c r="G22" s="7">
        <v>15945730</v>
      </c>
      <c r="H22" s="7">
        <v>19442260</v>
      </c>
      <c r="I22" s="7">
        <v>23094630</v>
      </c>
      <c r="J22" s="7">
        <v>22735440</v>
      </c>
      <c r="K22" s="7">
        <v>20484320</v>
      </c>
    </row>
    <row r="23" spans="1:27" x14ac:dyDescent="0.2">
      <c r="A23" t="s">
        <v>261</v>
      </c>
      <c r="B23" s="7">
        <v>336350</v>
      </c>
      <c r="C23" s="7">
        <v>366500</v>
      </c>
      <c r="D23" s="7">
        <v>367820</v>
      </c>
      <c r="E23" s="7">
        <v>455620</v>
      </c>
      <c r="F23" s="7">
        <v>464690</v>
      </c>
      <c r="G23" s="7">
        <v>465320</v>
      </c>
      <c r="H23" s="7">
        <v>466650</v>
      </c>
      <c r="I23" s="7">
        <v>426730</v>
      </c>
      <c r="J23" s="7">
        <v>431360</v>
      </c>
      <c r="K23" s="7">
        <v>384440</v>
      </c>
    </row>
    <row r="25" spans="1:27" x14ac:dyDescent="0.2">
      <c r="A25" t="s">
        <v>198</v>
      </c>
      <c r="B25" s="7">
        <v>32057160</v>
      </c>
      <c r="C25" s="7">
        <v>35394970</v>
      </c>
      <c r="D25" s="7">
        <v>36602420</v>
      </c>
      <c r="E25" s="7">
        <v>40630900</v>
      </c>
      <c r="F25" s="7">
        <v>42195700</v>
      </c>
      <c r="G25" s="7">
        <v>44767540</v>
      </c>
      <c r="H25" s="7">
        <v>50531810</v>
      </c>
      <c r="I25" s="7">
        <v>58866570</v>
      </c>
      <c r="J25" s="7">
        <v>58721170</v>
      </c>
      <c r="K25" s="7">
        <v>52523090</v>
      </c>
      <c r="L25" s="7">
        <v>20000550</v>
      </c>
      <c r="M25" s="7">
        <v>20445960</v>
      </c>
      <c r="N25" s="7">
        <v>23799360</v>
      </c>
      <c r="O25" s="7">
        <v>28703880</v>
      </c>
      <c r="P25" s="7">
        <v>32057160</v>
      </c>
      <c r="Q25" s="7">
        <v>35394970</v>
      </c>
      <c r="R25" s="7">
        <v>36602420</v>
      </c>
      <c r="S25" s="7">
        <v>40630900</v>
      </c>
      <c r="T25" s="7">
        <v>42195700</v>
      </c>
      <c r="U25" s="7">
        <v>44767540</v>
      </c>
      <c r="V25" s="7">
        <v>50531810</v>
      </c>
      <c r="W25" s="7">
        <v>58866570</v>
      </c>
      <c r="X25" s="7">
        <v>58721170</v>
      </c>
      <c r="Y25" s="7">
        <v>52523090</v>
      </c>
      <c r="Z25" s="7"/>
      <c r="AA25" s="7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7502-F586-8E4A-945A-7B3843294864}">
  <dimension ref="A1:H63"/>
  <sheetViews>
    <sheetView workbookViewId="0">
      <selection activeCell="D3" sqref="D3"/>
    </sheetView>
  </sheetViews>
  <sheetFormatPr baseColWidth="10" defaultRowHeight="16" x14ac:dyDescent="0.2"/>
  <cols>
    <col min="5" max="5" width="16.33203125" bestFit="1" customWidth="1"/>
  </cols>
  <sheetData>
    <row r="1" spans="1:8" x14ac:dyDescent="0.2">
      <c r="A1" t="s">
        <v>1403</v>
      </c>
    </row>
    <row r="2" spans="1:8" x14ac:dyDescent="0.2">
      <c r="A2" t="s">
        <v>1404</v>
      </c>
    </row>
    <row r="3" spans="1:8" x14ac:dyDescent="0.2">
      <c r="A3" t="s">
        <v>516</v>
      </c>
      <c r="B3" t="s">
        <v>1405</v>
      </c>
      <c r="C3" t="s">
        <v>1406</v>
      </c>
      <c r="D3" t="s">
        <v>1407</v>
      </c>
      <c r="E3" t="s">
        <v>1408</v>
      </c>
      <c r="F3" t="s">
        <v>1409</v>
      </c>
      <c r="G3" t="s">
        <v>1410</v>
      </c>
      <c r="H3" t="s">
        <v>1411</v>
      </c>
    </row>
    <row r="4" spans="1:8" x14ac:dyDescent="0.2">
      <c r="A4" s="11">
        <v>44105</v>
      </c>
      <c r="B4">
        <v>3</v>
      </c>
      <c r="C4">
        <v>18</v>
      </c>
      <c r="D4">
        <v>4</v>
      </c>
      <c r="E4">
        <v>3.35</v>
      </c>
      <c r="G4">
        <v>4.25</v>
      </c>
      <c r="H4">
        <v>4.25</v>
      </c>
    </row>
    <row r="5" spans="1:8" x14ac:dyDescent="0.2">
      <c r="A5" s="11">
        <v>44136</v>
      </c>
      <c r="B5">
        <v>3</v>
      </c>
      <c r="C5">
        <v>18</v>
      </c>
      <c r="D5">
        <v>4</v>
      </c>
      <c r="E5">
        <v>3.35</v>
      </c>
      <c r="G5">
        <v>4.25</v>
      </c>
      <c r="H5">
        <v>4.25</v>
      </c>
    </row>
    <row r="6" spans="1:8" x14ac:dyDescent="0.2">
      <c r="A6" s="11">
        <v>44166</v>
      </c>
      <c r="B6">
        <v>3</v>
      </c>
      <c r="C6">
        <v>18</v>
      </c>
      <c r="D6">
        <v>4</v>
      </c>
      <c r="E6">
        <v>3.35</v>
      </c>
      <c r="G6">
        <v>4.25</v>
      </c>
      <c r="H6">
        <v>4.25</v>
      </c>
    </row>
    <row r="7" spans="1:8" x14ac:dyDescent="0.2">
      <c r="A7" s="11">
        <v>44197</v>
      </c>
      <c r="B7">
        <v>3</v>
      </c>
      <c r="C7">
        <v>18</v>
      </c>
      <c r="D7">
        <v>4</v>
      </c>
      <c r="E7">
        <v>3.35</v>
      </c>
      <c r="G7">
        <v>4.25</v>
      </c>
      <c r="H7">
        <v>4.25</v>
      </c>
    </row>
    <row r="8" spans="1:8" x14ac:dyDescent="0.2">
      <c r="A8" s="11">
        <v>44228</v>
      </c>
      <c r="B8">
        <v>3</v>
      </c>
      <c r="C8">
        <v>18</v>
      </c>
      <c r="D8">
        <v>4</v>
      </c>
      <c r="E8">
        <v>3.35</v>
      </c>
      <c r="G8">
        <v>4.25</v>
      </c>
      <c r="H8">
        <v>4.25</v>
      </c>
    </row>
    <row r="9" spans="1:8" x14ac:dyDescent="0.2">
      <c r="A9" s="11">
        <v>44256</v>
      </c>
      <c r="B9">
        <v>3</v>
      </c>
      <c r="C9">
        <v>18</v>
      </c>
      <c r="D9">
        <v>4</v>
      </c>
      <c r="E9">
        <v>3.35</v>
      </c>
      <c r="G9">
        <v>4.25</v>
      </c>
      <c r="H9">
        <v>4.25</v>
      </c>
    </row>
    <row r="10" spans="1:8" x14ac:dyDescent="0.2">
      <c r="A10" s="11">
        <v>44287</v>
      </c>
      <c r="B10">
        <v>3.5</v>
      </c>
      <c r="C10">
        <v>18</v>
      </c>
      <c r="D10">
        <v>4</v>
      </c>
      <c r="E10">
        <v>3.35</v>
      </c>
      <c r="G10">
        <v>4.25</v>
      </c>
      <c r="H10">
        <v>4.25</v>
      </c>
    </row>
    <row r="11" spans="1:8" x14ac:dyDescent="0.2">
      <c r="A11" s="11">
        <v>44317</v>
      </c>
      <c r="B11">
        <v>4</v>
      </c>
      <c r="C11">
        <v>18</v>
      </c>
      <c r="D11">
        <v>4</v>
      </c>
      <c r="E11">
        <v>3.35</v>
      </c>
      <c r="G11">
        <v>4.25</v>
      </c>
      <c r="H11">
        <v>4.25</v>
      </c>
    </row>
    <row r="12" spans="1:8" x14ac:dyDescent="0.2">
      <c r="A12" s="11">
        <v>44348</v>
      </c>
      <c r="B12">
        <v>4</v>
      </c>
      <c r="C12">
        <v>18</v>
      </c>
      <c r="D12">
        <v>4</v>
      </c>
      <c r="E12">
        <v>3.35</v>
      </c>
      <c r="G12">
        <v>4.25</v>
      </c>
      <c r="H12">
        <v>4.25</v>
      </c>
    </row>
    <row r="13" spans="1:8" x14ac:dyDescent="0.2">
      <c r="A13" s="11">
        <v>44378</v>
      </c>
      <c r="B13">
        <v>4</v>
      </c>
      <c r="C13">
        <v>18</v>
      </c>
      <c r="D13">
        <v>4</v>
      </c>
      <c r="E13">
        <v>3.35</v>
      </c>
      <c r="G13">
        <v>4.25</v>
      </c>
      <c r="H13">
        <v>4.25</v>
      </c>
    </row>
    <row r="14" spans="1:8" x14ac:dyDescent="0.2">
      <c r="A14" s="11">
        <v>44409</v>
      </c>
      <c r="B14">
        <v>4</v>
      </c>
      <c r="C14">
        <v>18</v>
      </c>
      <c r="D14">
        <v>4</v>
      </c>
      <c r="E14">
        <v>3.35</v>
      </c>
      <c r="G14">
        <v>4.25</v>
      </c>
      <c r="H14">
        <v>4.25</v>
      </c>
    </row>
    <row r="15" spans="1:8" x14ac:dyDescent="0.2">
      <c r="A15" s="11">
        <v>44440</v>
      </c>
      <c r="B15">
        <v>4</v>
      </c>
      <c r="C15">
        <v>18</v>
      </c>
      <c r="D15">
        <v>4</v>
      </c>
      <c r="E15">
        <v>3.35</v>
      </c>
      <c r="G15">
        <v>4.25</v>
      </c>
      <c r="H15">
        <v>4.25</v>
      </c>
    </row>
    <row r="16" spans="1:8" x14ac:dyDescent="0.2">
      <c r="A16" s="11">
        <v>44470</v>
      </c>
      <c r="B16">
        <v>4</v>
      </c>
      <c r="C16">
        <v>18</v>
      </c>
      <c r="D16">
        <v>4</v>
      </c>
      <c r="E16">
        <v>3.35</v>
      </c>
      <c r="G16">
        <v>4.25</v>
      </c>
      <c r="H16">
        <v>4.25</v>
      </c>
    </row>
    <row r="17" spans="1:8" x14ac:dyDescent="0.2">
      <c r="A17" s="11">
        <v>44501</v>
      </c>
      <c r="B17">
        <v>4</v>
      </c>
      <c r="C17">
        <v>18</v>
      </c>
      <c r="D17">
        <v>4</v>
      </c>
      <c r="E17">
        <v>3.35</v>
      </c>
      <c r="G17">
        <v>4.25</v>
      </c>
      <c r="H17">
        <v>4.25</v>
      </c>
    </row>
    <row r="18" spans="1:8" x14ac:dyDescent="0.2">
      <c r="A18" s="11">
        <v>44531</v>
      </c>
      <c r="B18">
        <v>4</v>
      </c>
      <c r="C18">
        <v>18</v>
      </c>
      <c r="D18">
        <v>4</v>
      </c>
      <c r="E18">
        <v>3.35</v>
      </c>
      <c r="G18">
        <v>4.25</v>
      </c>
      <c r="H18">
        <v>4.25</v>
      </c>
    </row>
    <row r="19" spans="1:8" x14ac:dyDescent="0.2">
      <c r="A19" s="11">
        <v>44562</v>
      </c>
      <c r="B19">
        <v>4</v>
      </c>
      <c r="C19">
        <v>18</v>
      </c>
      <c r="D19">
        <v>4</v>
      </c>
      <c r="E19">
        <v>3.35</v>
      </c>
      <c r="G19">
        <v>4.25</v>
      </c>
      <c r="H19">
        <v>4.25</v>
      </c>
    </row>
    <row r="20" spans="1:8" x14ac:dyDescent="0.2">
      <c r="A20" s="11">
        <v>44593</v>
      </c>
      <c r="B20">
        <v>4</v>
      </c>
      <c r="C20">
        <v>18</v>
      </c>
      <c r="D20">
        <v>4</v>
      </c>
      <c r="E20">
        <v>3.35</v>
      </c>
      <c r="G20">
        <v>4.25</v>
      </c>
      <c r="H20">
        <v>4.25</v>
      </c>
    </row>
    <row r="21" spans="1:8" x14ac:dyDescent="0.2">
      <c r="A21" s="11">
        <v>44621</v>
      </c>
      <c r="B21">
        <v>4</v>
      </c>
      <c r="C21">
        <v>18</v>
      </c>
      <c r="D21">
        <v>4</v>
      </c>
      <c r="E21">
        <v>3.35</v>
      </c>
      <c r="G21">
        <v>4.25</v>
      </c>
      <c r="H21">
        <v>4.25</v>
      </c>
    </row>
    <row r="22" spans="1:8" x14ac:dyDescent="0.2">
      <c r="A22" s="11">
        <v>44652</v>
      </c>
      <c r="B22">
        <v>4</v>
      </c>
      <c r="C22">
        <v>18</v>
      </c>
      <c r="D22">
        <v>4</v>
      </c>
      <c r="E22">
        <v>3.35</v>
      </c>
      <c r="F22">
        <v>3.75</v>
      </c>
      <c r="G22">
        <v>4.25</v>
      </c>
      <c r="H22">
        <v>4.25</v>
      </c>
    </row>
    <row r="23" spans="1:8" x14ac:dyDescent="0.2">
      <c r="A23" s="11">
        <v>44682</v>
      </c>
      <c r="B23">
        <v>4.5</v>
      </c>
      <c r="C23">
        <v>18</v>
      </c>
      <c r="D23">
        <v>4.4000000000000004</v>
      </c>
      <c r="E23">
        <v>3.35</v>
      </c>
      <c r="F23">
        <v>4.1500000000000004</v>
      </c>
      <c r="G23">
        <v>4.6500000000000004</v>
      </c>
      <c r="H23">
        <v>4.6500000000000004</v>
      </c>
    </row>
    <row r="24" spans="1:8" x14ac:dyDescent="0.2">
      <c r="A24" s="11">
        <v>44713</v>
      </c>
      <c r="B24">
        <v>4.5</v>
      </c>
      <c r="C24">
        <v>18</v>
      </c>
      <c r="D24">
        <v>4.9000000000000004</v>
      </c>
      <c r="E24">
        <v>3.35</v>
      </c>
      <c r="F24">
        <v>4.6500000000000004</v>
      </c>
      <c r="G24">
        <v>5.15</v>
      </c>
      <c r="H24">
        <v>5.15</v>
      </c>
    </row>
    <row r="25" spans="1:8" x14ac:dyDescent="0.2">
      <c r="A25" s="11">
        <v>44743</v>
      </c>
      <c r="B25">
        <v>4.5</v>
      </c>
      <c r="C25">
        <v>18</v>
      </c>
      <c r="D25">
        <v>4.9000000000000004</v>
      </c>
      <c r="E25">
        <v>3.35</v>
      </c>
      <c r="F25">
        <v>4.6500000000000004</v>
      </c>
      <c r="G25">
        <v>5.15</v>
      </c>
      <c r="H25">
        <v>5.15</v>
      </c>
    </row>
    <row r="26" spans="1:8" x14ac:dyDescent="0.2">
      <c r="A26" s="11">
        <v>44774</v>
      </c>
      <c r="B26">
        <v>4.5</v>
      </c>
      <c r="C26">
        <v>18</v>
      </c>
      <c r="D26">
        <v>5.4</v>
      </c>
      <c r="E26">
        <v>3.35</v>
      </c>
      <c r="F26">
        <v>5.15</v>
      </c>
      <c r="G26">
        <v>5.65</v>
      </c>
      <c r="H26">
        <v>5.65</v>
      </c>
    </row>
    <row r="27" spans="1:8" x14ac:dyDescent="0.2">
      <c r="A27" s="11">
        <v>44805</v>
      </c>
      <c r="B27">
        <v>4.5</v>
      </c>
      <c r="C27">
        <v>18</v>
      </c>
      <c r="D27">
        <v>5.9</v>
      </c>
      <c r="E27">
        <v>3.35</v>
      </c>
      <c r="F27">
        <v>5.65</v>
      </c>
      <c r="G27">
        <v>6.15</v>
      </c>
      <c r="H27">
        <v>6.15</v>
      </c>
    </row>
    <row r="28" spans="1:8" x14ac:dyDescent="0.2">
      <c r="A28" s="11">
        <v>44835</v>
      </c>
      <c r="B28">
        <v>4.5</v>
      </c>
      <c r="C28">
        <v>18</v>
      </c>
      <c r="D28">
        <v>5.9</v>
      </c>
      <c r="E28">
        <v>3.35</v>
      </c>
      <c r="F28">
        <v>5.65</v>
      </c>
      <c r="G28">
        <v>6.15</v>
      </c>
      <c r="H28">
        <v>6.15</v>
      </c>
    </row>
    <row r="29" spans="1:8" x14ac:dyDescent="0.2">
      <c r="A29" s="11">
        <v>44866</v>
      </c>
      <c r="B29">
        <v>4.5</v>
      </c>
      <c r="C29">
        <v>18</v>
      </c>
      <c r="D29">
        <v>5.9</v>
      </c>
      <c r="E29">
        <v>3.35</v>
      </c>
      <c r="F29">
        <v>5.65</v>
      </c>
      <c r="G29">
        <v>6.15</v>
      </c>
      <c r="H29">
        <v>6.15</v>
      </c>
    </row>
    <row r="30" spans="1:8" x14ac:dyDescent="0.2">
      <c r="A30" s="11">
        <v>44896</v>
      </c>
      <c r="B30">
        <v>4.5</v>
      </c>
      <c r="C30">
        <v>18</v>
      </c>
      <c r="D30">
        <v>6.25</v>
      </c>
      <c r="E30">
        <v>3.35</v>
      </c>
      <c r="F30">
        <v>6</v>
      </c>
      <c r="G30">
        <v>6.5</v>
      </c>
      <c r="H30">
        <v>6.5</v>
      </c>
    </row>
    <row r="31" spans="1:8" x14ac:dyDescent="0.2">
      <c r="A31" s="11">
        <v>44927</v>
      </c>
      <c r="B31">
        <v>4.5</v>
      </c>
      <c r="C31">
        <v>18</v>
      </c>
      <c r="D31">
        <v>6.25</v>
      </c>
      <c r="E31">
        <v>3.35</v>
      </c>
      <c r="F31">
        <v>6</v>
      </c>
      <c r="G31">
        <v>6.5</v>
      </c>
      <c r="H31">
        <v>6.5</v>
      </c>
    </row>
    <row r="32" spans="1:8" x14ac:dyDescent="0.2">
      <c r="A32" s="11">
        <v>44958</v>
      </c>
      <c r="B32">
        <v>4.5</v>
      </c>
      <c r="C32">
        <v>18</v>
      </c>
      <c r="D32">
        <v>6.5</v>
      </c>
      <c r="E32">
        <v>3.35</v>
      </c>
      <c r="F32">
        <v>6.25</v>
      </c>
      <c r="G32">
        <v>6.75</v>
      </c>
      <c r="H32">
        <v>6.75</v>
      </c>
    </row>
    <row r="33" spans="1:8" x14ac:dyDescent="0.2">
      <c r="A33" s="11">
        <v>44986</v>
      </c>
      <c r="B33">
        <v>4.5</v>
      </c>
      <c r="C33">
        <v>18</v>
      </c>
      <c r="D33">
        <v>6.5</v>
      </c>
      <c r="E33">
        <v>3.35</v>
      </c>
      <c r="F33">
        <v>6.25</v>
      </c>
      <c r="G33">
        <v>6.75</v>
      </c>
      <c r="H33">
        <v>6.75</v>
      </c>
    </row>
    <row r="34" spans="1:8" x14ac:dyDescent="0.2">
      <c r="A34" s="11">
        <v>45017</v>
      </c>
      <c r="B34">
        <v>4.5</v>
      </c>
      <c r="C34">
        <v>18</v>
      </c>
      <c r="D34">
        <v>6.5</v>
      </c>
      <c r="E34">
        <v>3.35</v>
      </c>
      <c r="F34">
        <v>6.25</v>
      </c>
      <c r="G34">
        <v>6.75</v>
      </c>
      <c r="H34">
        <v>6.75</v>
      </c>
    </row>
    <row r="35" spans="1:8" x14ac:dyDescent="0.2">
      <c r="A35" s="11">
        <v>45047</v>
      </c>
      <c r="B35">
        <v>4.5</v>
      </c>
      <c r="C35">
        <v>18</v>
      </c>
      <c r="D35">
        <v>6.5</v>
      </c>
      <c r="E35">
        <v>3.35</v>
      </c>
      <c r="F35">
        <v>6.25</v>
      </c>
      <c r="G35">
        <v>6.75</v>
      </c>
      <c r="H35">
        <v>6.75</v>
      </c>
    </row>
    <row r="36" spans="1:8" x14ac:dyDescent="0.2">
      <c r="A36" s="11">
        <v>45078</v>
      </c>
      <c r="B36">
        <v>4.5</v>
      </c>
      <c r="C36">
        <v>18</v>
      </c>
      <c r="D36">
        <v>6.5</v>
      </c>
      <c r="E36">
        <v>3.35</v>
      </c>
      <c r="F36">
        <v>6.25</v>
      </c>
      <c r="G36">
        <v>6.75</v>
      </c>
      <c r="H36">
        <v>6.75</v>
      </c>
    </row>
    <row r="37" spans="1:8" x14ac:dyDescent="0.2">
      <c r="A37" s="11">
        <v>45108</v>
      </c>
      <c r="B37">
        <v>4.5</v>
      </c>
      <c r="C37">
        <v>18</v>
      </c>
      <c r="D37">
        <v>6.5</v>
      </c>
      <c r="E37">
        <v>3.35</v>
      </c>
      <c r="F37">
        <v>6.25</v>
      </c>
      <c r="G37">
        <v>6.75</v>
      </c>
      <c r="H37">
        <v>6.75</v>
      </c>
    </row>
    <row r="38" spans="1:8" x14ac:dyDescent="0.2">
      <c r="A38" s="11">
        <v>45139</v>
      </c>
      <c r="B38">
        <v>4.5</v>
      </c>
      <c r="C38">
        <v>18</v>
      </c>
      <c r="D38">
        <v>6.5</v>
      </c>
      <c r="E38">
        <v>3.35</v>
      </c>
      <c r="F38">
        <v>6.25</v>
      </c>
      <c r="G38">
        <v>6.75</v>
      </c>
      <c r="H38">
        <v>6.75</v>
      </c>
    </row>
    <row r="39" spans="1:8" x14ac:dyDescent="0.2">
      <c r="A39" s="11">
        <v>45170</v>
      </c>
      <c r="B39">
        <v>4.5</v>
      </c>
      <c r="C39">
        <v>18</v>
      </c>
      <c r="D39">
        <v>6.5</v>
      </c>
      <c r="E39">
        <v>3.35</v>
      </c>
      <c r="F39">
        <v>6.25</v>
      </c>
      <c r="G39">
        <v>6.75</v>
      </c>
      <c r="H39">
        <v>6.75</v>
      </c>
    </row>
    <row r="40" spans="1:8" x14ac:dyDescent="0.2">
      <c r="A40" s="11">
        <v>45200</v>
      </c>
      <c r="B40">
        <v>4.5</v>
      </c>
      <c r="C40">
        <v>18</v>
      </c>
      <c r="D40">
        <v>6.5</v>
      </c>
      <c r="E40">
        <v>3.35</v>
      </c>
      <c r="F40">
        <v>6.25</v>
      </c>
      <c r="G40">
        <v>6.75</v>
      </c>
      <c r="H40">
        <v>6.75</v>
      </c>
    </row>
    <row r="41" spans="1:8" x14ac:dyDescent="0.2">
      <c r="A41" s="11">
        <v>45231</v>
      </c>
      <c r="B41">
        <v>4.5</v>
      </c>
      <c r="C41">
        <v>18</v>
      </c>
      <c r="D41">
        <v>6.5</v>
      </c>
      <c r="E41">
        <v>3.35</v>
      </c>
      <c r="F41">
        <v>6.25</v>
      </c>
      <c r="G41">
        <v>6.75</v>
      </c>
      <c r="H41">
        <v>6.75</v>
      </c>
    </row>
    <row r="42" spans="1:8" x14ac:dyDescent="0.2">
      <c r="A42" s="11">
        <v>45261</v>
      </c>
      <c r="B42">
        <v>4.5</v>
      </c>
      <c r="C42">
        <v>18</v>
      </c>
      <c r="D42">
        <v>6.5</v>
      </c>
      <c r="E42">
        <v>3.35</v>
      </c>
      <c r="F42">
        <v>6.25</v>
      </c>
      <c r="G42">
        <v>6.75</v>
      </c>
      <c r="H42">
        <v>6.75</v>
      </c>
    </row>
    <row r="43" spans="1:8" x14ac:dyDescent="0.2">
      <c r="A43" s="11">
        <v>45292</v>
      </c>
      <c r="B43">
        <v>4.5</v>
      </c>
      <c r="C43">
        <v>18</v>
      </c>
      <c r="D43">
        <v>6.5</v>
      </c>
      <c r="E43">
        <v>3.35</v>
      </c>
      <c r="F43">
        <v>6.25</v>
      </c>
      <c r="G43">
        <v>6.75</v>
      </c>
      <c r="H43">
        <v>6.75</v>
      </c>
    </row>
    <row r="44" spans="1:8" x14ac:dyDescent="0.2">
      <c r="A44" s="11">
        <v>45323</v>
      </c>
      <c r="B44">
        <v>4.5</v>
      </c>
      <c r="C44">
        <v>18</v>
      </c>
      <c r="D44">
        <v>6.5</v>
      </c>
      <c r="E44">
        <v>3.35</v>
      </c>
      <c r="F44">
        <v>6.25</v>
      </c>
      <c r="G44">
        <v>6.75</v>
      </c>
      <c r="H44">
        <v>6.75</v>
      </c>
    </row>
    <row r="45" spans="1:8" x14ac:dyDescent="0.2">
      <c r="A45" s="11">
        <v>45352</v>
      </c>
      <c r="B45">
        <v>4.5</v>
      </c>
      <c r="C45">
        <v>18</v>
      </c>
      <c r="D45">
        <v>6.5</v>
      </c>
      <c r="E45">
        <v>3.35</v>
      </c>
      <c r="F45">
        <v>6.25</v>
      </c>
      <c r="G45">
        <v>6.75</v>
      </c>
      <c r="H45">
        <v>6.75</v>
      </c>
    </row>
    <row r="46" spans="1:8" x14ac:dyDescent="0.2">
      <c r="A46" s="11">
        <v>45383</v>
      </c>
      <c r="B46">
        <v>4.5</v>
      </c>
      <c r="C46">
        <v>18</v>
      </c>
      <c r="D46">
        <v>6.5</v>
      </c>
      <c r="E46">
        <v>3.35</v>
      </c>
      <c r="F46">
        <v>6.25</v>
      </c>
      <c r="G46">
        <v>6.75</v>
      </c>
      <c r="H46">
        <v>6.75</v>
      </c>
    </row>
    <row r="47" spans="1:8" x14ac:dyDescent="0.2">
      <c r="A47" s="11">
        <v>45413</v>
      </c>
      <c r="B47">
        <v>4.5</v>
      </c>
      <c r="C47">
        <v>18</v>
      </c>
      <c r="D47">
        <v>6.5</v>
      </c>
      <c r="E47">
        <v>3.35</v>
      </c>
      <c r="F47">
        <v>6.25</v>
      </c>
      <c r="G47">
        <v>6.75</v>
      </c>
      <c r="H47">
        <v>6.75</v>
      </c>
    </row>
    <row r="48" spans="1:8" x14ac:dyDescent="0.2">
      <c r="A48" s="11">
        <v>45444</v>
      </c>
      <c r="B48">
        <v>4.5</v>
      </c>
      <c r="C48">
        <v>18</v>
      </c>
      <c r="D48">
        <v>6.5</v>
      </c>
      <c r="E48">
        <v>3.35</v>
      </c>
      <c r="F48">
        <v>6.25</v>
      </c>
      <c r="G48">
        <v>6.75</v>
      </c>
      <c r="H48">
        <v>6.75</v>
      </c>
    </row>
    <row r="49" spans="1:8" x14ac:dyDescent="0.2">
      <c r="A49" s="11">
        <v>45474</v>
      </c>
      <c r="B49">
        <v>4.5</v>
      </c>
      <c r="C49">
        <v>18</v>
      </c>
      <c r="D49">
        <v>6.5</v>
      </c>
      <c r="E49">
        <v>3.35</v>
      </c>
      <c r="F49">
        <v>6.25</v>
      </c>
      <c r="G49">
        <v>6.75</v>
      </c>
      <c r="H49">
        <v>6.75</v>
      </c>
    </row>
    <row r="50" spans="1:8" x14ac:dyDescent="0.2">
      <c r="A50" s="11">
        <v>45505</v>
      </c>
      <c r="B50">
        <v>4.5</v>
      </c>
      <c r="C50">
        <v>18</v>
      </c>
      <c r="D50">
        <v>6.5</v>
      </c>
      <c r="E50">
        <v>3.35</v>
      </c>
      <c r="F50">
        <v>6.25</v>
      </c>
      <c r="G50">
        <v>6.75</v>
      </c>
      <c r="H50">
        <v>6.75</v>
      </c>
    </row>
    <row r="51" spans="1:8" x14ac:dyDescent="0.2">
      <c r="A51" s="11">
        <v>45536</v>
      </c>
      <c r="B51">
        <v>4.5</v>
      </c>
      <c r="C51">
        <v>18</v>
      </c>
      <c r="D51">
        <v>6.5</v>
      </c>
      <c r="E51">
        <v>3.35</v>
      </c>
      <c r="F51">
        <v>6.25</v>
      </c>
      <c r="G51">
        <v>6.75</v>
      </c>
      <c r="H51">
        <v>6.75</v>
      </c>
    </row>
    <row r="52" spans="1:8" x14ac:dyDescent="0.2">
      <c r="A52" s="11">
        <v>45566</v>
      </c>
      <c r="B52">
        <v>4.5</v>
      </c>
      <c r="C52">
        <v>18</v>
      </c>
      <c r="D52">
        <v>6.5</v>
      </c>
      <c r="E52">
        <v>3.35</v>
      </c>
      <c r="F52">
        <v>6.25</v>
      </c>
      <c r="G52">
        <v>6.75</v>
      </c>
      <c r="H52">
        <v>6.75</v>
      </c>
    </row>
    <row r="53" spans="1:8" x14ac:dyDescent="0.2">
      <c r="A53" s="11">
        <v>45597</v>
      </c>
      <c r="B53">
        <v>4.5</v>
      </c>
      <c r="C53">
        <v>18</v>
      </c>
      <c r="D53">
        <v>6.5</v>
      </c>
      <c r="E53">
        <v>3.35</v>
      </c>
      <c r="F53">
        <v>6.25</v>
      </c>
      <c r="G53">
        <v>6.75</v>
      </c>
      <c r="H53">
        <v>6.75</v>
      </c>
    </row>
    <row r="54" spans="1:8" x14ac:dyDescent="0.2">
      <c r="A54" s="11">
        <v>45627</v>
      </c>
      <c r="B54">
        <v>4.25</v>
      </c>
      <c r="C54">
        <v>18</v>
      </c>
      <c r="D54">
        <v>6.5</v>
      </c>
      <c r="E54">
        <v>3.35</v>
      </c>
      <c r="F54">
        <v>6.25</v>
      </c>
      <c r="G54">
        <v>6.75</v>
      </c>
      <c r="H54">
        <v>6.75</v>
      </c>
    </row>
    <row r="55" spans="1:8" x14ac:dyDescent="0.2">
      <c r="A55" s="11">
        <v>45658</v>
      </c>
      <c r="B55">
        <v>4</v>
      </c>
      <c r="C55">
        <v>18</v>
      </c>
      <c r="D55">
        <v>6.5</v>
      </c>
      <c r="E55">
        <v>3.35</v>
      </c>
      <c r="F55">
        <v>6.25</v>
      </c>
      <c r="G55">
        <v>6.75</v>
      </c>
      <c r="H55">
        <v>6.75</v>
      </c>
    </row>
    <row r="56" spans="1:8" x14ac:dyDescent="0.2">
      <c r="A56" s="11">
        <v>45689</v>
      </c>
      <c r="B56">
        <v>4</v>
      </c>
      <c r="C56">
        <v>18</v>
      </c>
      <c r="D56">
        <v>6.25</v>
      </c>
      <c r="E56">
        <v>3.35</v>
      </c>
      <c r="F56">
        <v>6</v>
      </c>
      <c r="G56">
        <v>6.5</v>
      </c>
      <c r="H56">
        <v>6.5</v>
      </c>
    </row>
    <row r="57" spans="1:8" x14ac:dyDescent="0.2">
      <c r="A57" s="11">
        <v>45717</v>
      </c>
      <c r="B57">
        <v>4</v>
      </c>
      <c r="C57">
        <v>18</v>
      </c>
      <c r="D57">
        <v>6.25</v>
      </c>
      <c r="E57">
        <v>3.35</v>
      </c>
      <c r="F57">
        <v>6</v>
      </c>
      <c r="G57">
        <v>6.5</v>
      </c>
      <c r="H57">
        <v>6.5</v>
      </c>
    </row>
    <row r="58" spans="1:8" x14ac:dyDescent="0.2">
      <c r="A58" s="11">
        <v>45748</v>
      </c>
      <c r="B58">
        <v>4</v>
      </c>
      <c r="C58">
        <v>18</v>
      </c>
      <c r="D58">
        <v>6</v>
      </c>
      <c r="E58">
        <v>3.35</v>
      </c>
      <c r="F58">
        <v>5.75</v>
      </c>
      <c r="G58">
        <v>6.25</v>
      </c>
      <c r="H58">
        <v>6.25</v>
      </c>
    </row>
    <row r="59" spans="1:8" x14ac:dyDescent="0.2">
      <c r="A59" s="11">
        <v>45778</v>
      </c>
      <c r="B59">
        <v>4</v>
      </c>
      <c r="C59">
        <v>18</v>
      </c>
      <c r="D59">
        <v>6</v>
      </c>
      <c r="E59">
        <v>3.35</v>
      </c>
      <c r="F59">
        <v>5.75</v>
      </c>
      <c r="G59">
        <v>6.25</v>
      </c>
      <c r="H59">
        <v>6.25</v>
      </c>
    </row>
    <row r="60" spans="1:8" x14ac:dyDescent="0.2">
      <c r="A60" s="11">
        <v>45809</v>
      </c>
      <c r="B60">
        <v>4</v>
      </c>
      <c r="C60">
        <v>18</v>
      </c>
      <c r="D60">
        <v>5.5</v>
      </c>
      <c r="E60">
        <v>3.35</v>
      </c>
      <c r="F60">
        <v>5.25</v>
      </c>
      <c r="G60">
        <v>5.75</v>
      </c>
      <c r="H60">
        <v>5.75</v>
      </c>
    </row>
    <row r="61" spans="1:8" x14ac:dyDescent="0.2">
      <c r="A61" s="11">
        <v>45839</v>
      </c>
      <c r="B61">
        <v>4</v>
      </c>
      <c r="C61">
        <v>18</v>
      </c>
      <c r="D61">
        <v>5.5</v>
      </c>
      <c r="E61">
        <v>3.35</v>
      </c>
      <c r="F61">
        <v>5.25</v>
      </c>
      <c r="G61">
        <v>5.75</v>
      </c>
      <c r="H61">
        <v>5.75</v>
      </c>
    </row>
    <row r="62" spans="1:8" x14ac:dyDescent="0.2">
      <c r="A62" s="11">
        <v>45870</v>
      </c>
      <c r="B62">
        <v>4</v>
      </c>
      <c r="C62">
        <v>18</v>
      </c>
      <c r="D62">
        <v>5.5</v>
      </c>
      <c r="E62">
        <v>3.35</v>
      </c>
      <c r="F62">
        <v>5.25</v>
      </c>
      <c r="G62">
        <v>5.75</v>
      </c>
      <c r="H62">
        <v>5.75</v>
      </c>
    </row>
    <row r="63" spans="1:8" x14ac:dyDescent="0.2">
      <c r="A63" s="11">
        <v>45901</v>
      </c>
      <c r="B63">
        <v>3.75</v>
      </c>
      <c r="C63">
        <v>18</v>
      </c>
      <c r="D63">
        <v>5.5</v>
      </c>
      <c r="E63">
        <v>3.35</v>
      </c>
      <c r="F63">
        <v>5.25</v>
      </c>
      <c r="G63">
        <v>5.75</v>
      </c>
      <c r="H63">
        <v>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197-7D27-F44B-96D5-E0882DB27BE4}">
  <dimension ref="A1:M72"/>
  <sheetViews>
    <sheetView topLeftCell="A51" workbookViewId="0">
      <selection activeCell="A66" sqref="A66:XFD66"/>
    </sheetView>
  </sheetViews>
  <sheetFormatPr baseColWidth="10" defaultRowHeight="16" x14ac:dyDescent="0.2"/>
  <sheetData>
    <row r="1" spans="1:13" x14ac:dyDescent="0.2">
      <c r="A1" t="s">
        <v>269</v>
      </c>
    </row>
    <row r="2" spans="1:13" x14ac:dyDescent="0.2">
      <c r="A2" t="s">
        <v>1387</v>
      </c>
    </row>
    <row r="3" spans="1:13" x14ac:dyDescent="0.2">
      <c r="A3" t="s">
        <v>271</v>
      </c>
      <c r="B3" t="s">
        <v>272</v>
      </c>
      <c r="C3" t="s">
        <v>273</v>
      </c>
      <c r="D3" t="s">
        <v>273</v>
      </c>
      <c r="E3" t="s">
        <v>273</v>
      </c>
      <c r="F3" t="s">
        <v>273</v>
      </c>
      <c r="G3" t="s">
        <v>273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s">
        <v>276</v>
      </c>
    </row>
    <row r="4" spans="1:13" x14ac:dyDescent="0.2">
      <c r="A4" t="s">
        <v>55</v>
      </c>
      <c r="B4" t="s">
        <v>55</v>
      </c>
      <c r="C4" t="s">
        <v>47</v>
      </c>
      <c r="D4" t="s">
        <v>277</v>
      </c>
      <c r="E4" t="s">
        <v>278</v>
      </c>
      <c r="F4" t="s">
        <v>279</v>
      </c>
      <c r="G4" t="s">
        <v>280</v>
      </c>
      <c r="H4" t="s">
        <v>47</v>
      </c>
      <c r="I4" t="s">
        <v>281</v>
      </c>
      <c r="J4" t="s">
        <v>282</v>
      </c>
      <c r="K4" t="s">
        <v>283</v>
      </c>
      <c r="L4" t="s">
        <v>55</v>
      </c>
      <c r="M4" t="s">
        <v>55</v>
      </c>
    </row>
    <row r="5" spans="1:13" x14ac:dyDescent="0.2">
      <c r="A5" t="s">
        <v>284</v>
      </c>
      <c r="B5">
        <v>100</v>
      </c>
      <c r="C5">
        <v>22.617560000000001</v>
      </c>
      <c r="D5">
        <v>15.255850000000001</v>
      </c>
      <c r="E5">
        <v>4.1189400000000003</v>
      </c>
      <c r="F5">
        <v>0.83316999999999997</v>
      </c>
      <c r="G5">
        <v>2.4096000000000002</v>
      </c>
      <c r="H5">
        <v>13.151899999999999</v>
      </c>
      <c r="I5">
        <v>2.1381299999999999</v>
      </c>
      <c r="J5">
        <v>7.9496799999999999</v>
      </c>
      <c r="K5">
        <v>3.0640900000000002</v>
      </c>
      <c r="L5">
        <v>64.230540000000005</v>
      </c>
      <c r="M5">
        <v>24.377579999999998</v>
      </c>
    </row>
    <row r="6" spans="1:13" x14ac:dyDescent="0.2">
      <c r="A6" s="11">
        <v>44075</v>
      </c>
      <c r="B6">
        <v>1.32</v>
      </c>
      <c r="C6">
        <v>4.0599999999999996</v>
      </c>
      <c r="D6">
        <v>8.3699999999999992</v>
      </c>
      <c r="E6">
        <v>-1.81</v>
      </c>
      <c r="F6">
        <v>-6.01</v>
      </c>
      <c r="G6">
        <v>-23.41</v>
      </c>
      <c r="H6">
        <v>-8.65</v>
      </c>
      <c r="I6">
        <v>1.28</v>
      </c>
      <c r="J6">
        <v>-14.36</v>
      </c>
      <c r="K6">
        <v>-4.2699999999999996</v>
      </c>
      <c r="L6">
        <v>1.87</v>
      </c>
      <c r="M6">
        <v>7.19</v>
      </c>
    </row>
    <row r="7" spans="1:13" x14ac:dyDescent="0.2">
      <c r="A7" s="11">
        <v>44105</v>
      </c>
      <c r="B7">
        <v>1.31</v>
      </c>
      <c r="C7">
        <v>4.33</v>
      </c>
      <c r="D7">
        <v>7.05</v>
      </c>
      <c r="E7">
        <v>2.93</v>
      </c>
      <c r="F7">
        <v>-0.2</v>
      </c>
      <c r="G7">
        <v>-22.95</v>
      </c>
      <c r="H7">
        <v>-11.14</v>
      </c>
      <c r="I7">
        <v>-0.08</v>
      </c>
      <c r="J7">
        <v>-18.32</v>
      </c>
      <c r="K7">
        <v>-4.2699999999999996</v>
      </c>
      <c r="L7">
        <v>2.21</v>
      </c>
      <c r="M7">
        <v>6.18</v>
      </c>
    </row>
    <row r="8" spans="1:13" x14ac:dyDescent="0.2">
      <c r="A8" s="11">
        <v>44136</v>
      </c>
      <c r="B8">
        <v>2.29</v>
      </c>
      <c r="C8">
        <v>3.8</v>
      </c>
      <c r="D8">
        <v>4.6100000000000003</v>
      </c>
      <c r="E8">
        <v>8.66</v>
      </c>
      <c r="F8">
        <v>10.38</v>
      </c>
      <c r="G8">
        <v>-21.51</v>
      </c>
      <c r="H8">
        <v>-7.01</v>
      </c>
      <c r="I8">
        <v>0</v>
      </c>
      <c r="J8">
        <v>-15.92</v>
      </c>
      <c r="K8">
        <v>6.73</v>
      </c>
      <c r="L8">
        <v>3.23</v>
      </c>
      <c r="M8">
        <v>4.79</v>
      </c>
    </row>
    <row r="9" spans="1:13" x14ac:dyDescent="0.2">
      <c r="A9" s="11">
        <v>44166</v>
      </c>
      <c r="B9">
        <v>1.95</v>
      </c>
      <c r="C9">
        <v>-0.6</v>
      </c>
      <c r="D9">
        <v>-0.92</v>
      </c>
      <c r="E9">
        <v>2.99</v>
      </c>
      <c r="F9">
        <v>16.670000000000002</v>
      </c>
      <c r="G9">
        <v>-15.99</v>
      </c>
      <c r="H9">
        <v>-6.1</v>
      </c>
      <c r="I9">
        <v>0.4</v>
      </c>
      <c r="J9">
        <v>-11.17</v>
      </c>
      <c r="K9">
        <v>-0.85</v>
      </c>
      <c r="L9">
        <v>4.49</v>
      </c>
      <c r="M9">
        <v>1.1100000000000001</v>
      </c>
    </row>
    <row r="10" spans="1:13" x14ac:dyDescent="0.2">
      <c r="A10" s="11">
        <v>44197</v>
      </c>
      <c r="B10">
        <v>2.5099999999999998</v>
      </c>
      <c r="C10">
        <v>-1.56</v>
      </c>
      <c r="D10">
        <v>-2.93</v>
      </c>
      <c r="E10">
        <v>4.24</v>
      </c>
      <c r="F10">
        <v>12.35</v>
      </c>
      <c r="G10">
        <v>-9.44</v>
      </c>
      <c r="H10">
        <v>-3.82</v>
      </c>
      <c r="I10">
        <v>0.4</v>
      </c>
      <c r="J10">
        <v>-6.82</v>
      </c>
      <c r="K10">
        <v>-0.85</v>
      </c>
      <c r="L10">
        <v>5.47</v>
      </c>
      <c r="M10">
        <v>-0.26</v>
      </c>
    </row>
    <row r="11" spans="1:13" x14ac:dyDescent="0.2">
      <c r="A11" s="11">
        <v>44228</v>
      </c>
      <c r="B11">
        <v>4.83</v>
      </c>
      <c r="C11">
        <v>3.01</v>
      </c>
      <c r="D11">
        <v>1.81</v>
      </c>
      <c r="E11">
        <v>4.0199999999999996</v>
      </c>
      <c r="F11">
        <v>17.09</v>
      </c>
      <c r="G11">
        <v>5.29</v>
      </c>
      <c r="H11">
        <v>2.0299999999999998</v>
      </c>
      <c r="I11">
        <v>0.32</v>
      </c>
      <c r="J11">
        <v>3.14</v>
      </c>
      <c r="K11">
        <v>0.86</v>
      </c>
      <c r="L11">
        <v>6.06</v>
      </c>
      <c r="M11">
        <v>3.58</v>
      </c>
    </row>
    <row r="12" spans="1:13" x14ac:dyDescent="0.2">
      <c r="A12" s="11">
        <v>44256</v>
      </c>
      <c r="B12">
        <v>7.89</v>
      </c>
      <c r="C12">
        <v>7.28</v>
      </c>
      <c r="D12">
        <v>3.44</v>
      </c>
      <c r="E12">
        <v>11.94</v>
      </c>
      <c r="F12">
        <v>19.96</v>
      </c>
      <c r="G12">
        <v>38.49</v>
      </c>
      <c r="H12">
        <v>9.75</v>
      </c>
      <c r="I12">
        <v>0.32</v>
      </c>
      <c r="J12">
        <v>19.61</v>
      </c>
      <c r="K12">
        <v>-2.46</v>
      </c>
      <c r="L12">
        <v>7.84</v>
      </c>
      <c r="M12">
        <v>5.63</v>
      </c>
    </row>
    <row r="13" spans="1:13" x14ac:dyDescent="0.2">
      <c r="A13" s="11">
        <v>44287</v>
      </c>
      <c r="B13">
        <v>10.74</v>
      </c>
      <c r="C13">
        <v>9.94</v>
      </c>
      <c r="D13">
        <v>4.5999999999999996</v>
      </c>
      <c r="E13">
        <v>15.58</v>
      </c>
      <c r="F13">
        <v>20.64</v>
      </c>
      <c r="G13">
        <v>80.760000000000005</v>
      </c>
      <c r="H13">
        <v>21.27</v>
      </c>
      <c r="I13">
        <v>0.63</v>
      </c>
      <c r="J13">
        <v>46.03</v>
      </c>
      <c r="K13">
        <v>-2.46</v>
      </c>
      <c r="L13">
        <v>9.44</v>
      </c>
      <c r="M13">
        <v>7.52</v>
      </c>
    </row>
    <row r="14" spans="1:13" x14ac:dyDescent="0.2">
      <c r="A14" s="11">
        <v>44317</v>
      </c>
      <c r="B14">
        <v>13.11</v>
      </c>
      <c r="C14">
        <v>9.4</v>
      </c>
      <c r="D14">
        <v>4.25</v>
      </c>
      <c r="E14">
        <v>18.37</v>
      </c>
      <c r="F14">
        <v>13.25</v>
      </c>
      <c r="G14">
        <v>59.52</v>
      </c>
      <c r="H14">
        <v>36.74</v>
      </c>
      <c r="I14">
        <v>0.71</v>
      </c>
      <c r="J14">
        <v>83.05</v>
      </c>
      <c r="K14">
        <v>0.19</v>
      </c>
      <c r="L14">
        <v>11.25</v>
      </c>
      <c r="M14">
        <v>8.25</v>
      </c>
    </row>
    <row r="15" spans="1:13" x14ac:dyDescent="0.2">
      <c r="A15" s="11">
        <v>44348</v>
      </c>
      <c r="B15">
        <v>12.07</v>
      </c>
      <c r="C15">
        <v>8.59</v>
      </c>
      <c r="D15">
        <v>3.28</v>
      </c>
      <c r="E15">
        <v>18.63</v>
      </c>
      <c r="F15">
        <v>15.33</v>
      </c>
      <c r="G15">
        <v>46.97</v>
      </c>
      <c r="H15">
        <v>29.32</v>
      </c>
      <c r="I15">
        <v>0.71</v>
      </c>
      <c r="J15">
        <v>61.81</v>
      </c>
      <c r="K15">
        <v>-2.77</v>
      </c>
      <c r="L15">
        <v>10.96</v>
      </c>
      <c r="M15">
        <v>6.72</v>
      </c>
    </row>
    <row r="16" spans="1:13" x14ac:dyDescent="0.2">
      <c r="A16" s="11">
        <v>44378</v>
      </c>
      <c r="B16">
        <v>11.57</v>
      </c>
      <c r="C16">
        <v>6.34</v>
      </c>
      <c r="D16">
        <v>0.12</v>
      </c>
      <c r="E16">
        <v>22.94</v>
      </c>
      <c r="F16">
        <v>12.55</v>
      </c>
      <c r="G16">
        <v>42.25</v>
      </c>
      <c r="H16">
        <v>27.01</v>
      </c>
      <c r="I16">
        <v>0.87</v>
      </c>
      <c r="J16">
        <v>53.7</v>
      </c>
      <c r="K16">
        <v>-2.77</v>
      </c>
      <c r="L16">
        <v>11.46</v>
      </c>
      <c r="M16">
        <v>4.5199999999999996</v>
      </c>
    </row>
    <row r="17" spans="1:13" x14ac:dyDescent="0.2">
      <c r="A17" s="11">
        <v>44409</v>
      </c>
      <c r="B17">
        <v>11.64</v>
      </c>
      <c r="C17">
        <v>5.93</v>
      </c>
      <c r="D17">
        <v>-0.8</v>
      </c>
      <c r="E17">
        <v>28.69</v>
      </c>
      <c r="F17">
        <v>7.16</v>
      </c>
      <c r="G17">
        <v>34.49</v>
      </c>
      <c r="H17">
        <v>28.15</v>
      </c>
      <c r="I17">
        <v>1.03</v>
      </c>
      <c r="J17">
        <v>52.68</v>
      </c>
      <c r="K17">
        <v>2.9</v>
      </c>
      <c r="L17">
        <v>11.56</v>
      </c>
      <c r="M17">
        <v>3.76</v>
      </c>
    </row>
    <row r="18" spans="1:13" x14ac:dyDescent="0.2">
      <c r="A18" s="11">
        <v>44440</v>
      </c>
      <c r="B18">
        <v>11.8</v>
      </c>
      <c r="C18">
        <v>5.98</v>
      </c>
      <c r="D18">
        <v>-2.5499999999999998</v>
      </c>
      <c r="E18">
        <v>29.48</v>
      </c>
      <c r="F18">
        <v>30.79</v>
      </c>
      <c r="G18">
        <v>48.96</v>
      </c>
      <c r="H18">
        <v>29.49</v>
      </c>
      <c r="I18">
        <v>1.03</v>
      </c>
      <c r="J18">
        <v>51.74</v>
      </c>
      <c r="K18">
        <v>10.83</v>
      </c>
      <c r="L18">
        <v>11.57</v>
      </c>
      <c r="M18">
        <v>2.59</v>
      </c>
    </row>
    <row r="19" spans="1:13" x14ac:dyDescent="0.2">
      <c r="A19" s="11">
        <v>44470</v>
      </c>
      <c r="B19">
        <v>13.83</v>
      </c>
      <c r="C19">
        <v>7.38</v>
      </c>
      <c r="D19">
        <v>0.06</v>
      </c>
      <c r="E19">
        <v>18.41</v>
      </c>
      <c r="F19">
        <v>16.57</v>
      </c>
      <c r="G19">
        <v>86.36</v>
      </c>
      <c r="H19">
        <v>38.61</v>
      </c>
      <c r="I19">
        <v>1.98</v>
      </c>
      <c r="J19">
        <v>70.05</v>
      </c>
      <c r="K19">
        <v>10.83</v>
      </c>
      <c r="L19">
        <v>12.87</v>
      </c>
      <c r="M19">
        <v>4.25</v>
      </c>
    </row>
    <row r="20" spans="1:13" x14ac:dyDescent="0.2">
      <c r="A20" s="11">
        <v>44501</v>
      </c>
      <c r="B20">
        <v>14.87</v>
      </c>
      <c r="C20">
        <v>10.210000000000001</v>
      </c>
      <c r="D20">
        <v>4.82</v>
      </c>
      <c r="E20">
        <v>13.41</v>
      </c>
      <c r="F20">
        <v>26.18</v>
      </c>
      <c r="G20">
        <v>71.11</v>
      </c>
      <c r="H20">
        <v>44.37</v>
      </c>
      <c r="I20">
        <v>3.08</v>
      </c>
      <c r="J20">
        <v>81.849999999999994</v>
      </c>
      <c r="K20">
        <v>12.01</v>
      </c>
      <c r="L20">
        <v>12.34</v>
      </c>
      <c r="M20">
        <v>6.83</v>
      </c>
    </row>
    <row r="21" spans="1:13" x14ac:dyDescent="0.2">
      <c r="A21" s="11">
        <v>44531</v>
      </c>
      <c r="B21">
        <v>14.27</v>
      </c>
      <c r="C21">
        <v>13.78</v>
      </c>
      <c r="D21">
        <v>9.68</v>
      </c>
      <c r="E21">
        <v>19.28</v>
      </c>
      <c r="F21">
        <v>18.87</v>
      </c>
      <c r="G21">
        <v>47.5</v>
      </c>
      <c r="H21">
        <v>38.08</v>
      </c>
      <c r="I21">
        <v>3.07</v>
      </c>
      <c r="J21">
        <v>65.23</v>
      </c>
      <c r="K21">
        <v>15.74</v>
      </c>
      <c r="L21">
        <v>10.71</v>
      </c>
      <c r="M21">
        <v>9.3699999999999992</v>
      </c>
    </row>
    <row r="22" spans="1:13" x14ac:dyDescent="0.2">
      <c r="A22" s="11">
        <v>44562</v>
      </c>
      <c r="B22">
        <v>13.68</v>
      </c>
      <c r="C22">
        <v>15.6</v>
      </c>
      <c r="D22">
        <v>10.4</v>
      </c>
      <c r="E22">
        <v>20.48</v>
      </c>
      <c r="F22">
        <v>30.03</v>
      </c>
      <c r="G22">
        <v>55.4</v>
      </c>
      <c r="H22">
        <v>34.36</v>
      </c>
      <c r="I22">
        <v>3.07</v>
      </c>
      <c r="J22">
        <v>56.18</v>
      </c>
      <c r="K22">
        <v>15.74</v>
      </c>
      <c r="L22">
        <v>9.5</v>
      </c>
      <c r="M22">
        <v>9.5500000000000007</v>
      </c>
    </row>
    <row r="23" spans="1:13" x14ac:dyDescent="0.2">
      <c r="A23" s="11">
        <v>44593</v>
      </c>
      <c r="B23">
        <v>13.43</v>
      </c>
      <c r="C23">
        <v>13.87</v>
      </c>
      <c r="D23">
        <v>8.19</v>
      </c>
      <c r="E23">
        <v>24.23</v>
      </c>
      <c r="F23">
        <v>22.08</v>
      </c>
      <c r="G23">
        <v>46.14</v>
      </c>
      <c r="H23">
        <v>30.84</v>
      </c>
      <c r="I23">
        <v>3.15</v>
      </c>
      <c r="J23">
        <v>49.95</v>
      </c>
      <c r="K23">
        <v>12.07</v>
      </c>
      <c r="L23">
        <v>10.24</v>
      </c>
      <c r="M23">
        <v>8.67</v>
      </c>
    </row>
    <row r="24" spans="1:13" x14ac:dyDescent="0.2">
      <c r="A24" s="11">
        <v>44621</v>
      </c>
      <c r="B24">
        <v>14.63</v>
      </c>
      <c r="C24">
        <v>15.94</v>
      </c>
      <c r="D24">
        <v>8.44</v>
      </c>
      <c r="E24">
        <v>25.27</v>
      </c>
      <c r="F24">
        <v>21.69</v>
      </c>
      <c r="G24">
        <v>69.2</v>
      </c>
      <c r="H24">
        <v>31.78</v>
      </c>
      <c r="I24">
        <v>3.15</v>
      </c>
      <c r="J24">
        <v>50.14</v>
      </c>
      <c r="K24">
        <v>9.99</v>
      </c>
      <c r="L24">
        <v>11.26</v>
      </c>
      <c r="M24">
        <v>9.2899999999999991</v>
      </c>
    </row>
    <row r="25" spans="1:13" x14ac:dyDescent="0.2">
      <c r="A25" s="11">
        <v>44652</v>
      </c>
      <c r="B25">
        <v>15.38</v>
      </c>
      <c r="C25">
        <v>15.18</v>
      </c>
      <c r="D25">
        <v>8.48</v>
      </c>
      <c r="E25">
        <v>23.95</v>
      </c>
      <c r="F25">
        <v>12</v>
      </c>
      <c r="G25">
        <v>69.069999999999993</v>
      </c>
      <c r="H25">
        <v>38.840000000000003</v>
      </c>
      <c r="I25">
        <v>2.83</v>
      </c>
      <c r="J25">
        <v>62.85</v>
      </c>
      <c r="K25">
        <v>9.99</v>
      </c>
      <c r="L25">
        <v>11.39</v>
      </c>
      <c r="M25">
        <v>9.1300000000000008</v>
      </c>
    </row>
    <row r="26" spans="1:13" x14ac:dyDescent="0.2">
      <c r="A26" s="11">
        <v>44682</v>
      </c>
      <c r="B26">
        <v>16.63</v>
      </c>
      <c r="C26">
        <v>18.84</v>
      </c>
      <c r="D26">
        <v>11.78</v>
      </c>
      <c r="E26">
        <v>24.07</v>
      </c>
      <c r="F26">
        <v>23</v>
      </c>
      <c r="G26">
        <v>79.5</v>
      </c>
      <c r="H26">
        <v>49</v>
      </c>
      <c r="I26">
        <v>2.83</v>
      </c>
      <c r="J26">
        <v>74.650000000000006</v>
      </c>
      <c r="K26">
        <v>20.149999999999999</v>
      </c>
      <c r="L26">
        <v>10.27</v>
      </c>
      <c r="M26">
        <v>10.58</v>
      </c>
    </row>
    <row r="27" spans="1:13" x14ac:dyDescent="0.2">
      <c r="A27" s="11">
        <v>44713</v>
      </c>
      <c r="B27">
        <v>16.23</v>
      </c>
      <c r="C27">
        <v>18.63</v>
      </c>
      <c r="D27">
        <v>13.71</v>
      </c>
      <c r="E27">
        <v>18.53</v>
      </c>
      <c r="F27">
        <v>7.56</v>
      </c>
      <c r="G27">
        <v>77.290000000000006</v>
      </c>
      <c r="H27">
        <v>50.95</v>
      </c>
      <c r="I27">
        <v>2.83</v>
      </c>
      <c r="J27">
        <v>70.989999999999995</v>
      </c>
      <c r="K27">
        <v>36.15</v>
      </c>
      <c r="L27">
        <v>9.35</v>
      </c>
      <c r="M27">
        <v>11.78</v>
      </c>
    </row>
    <row r="28" spans="1:13" x14ac:dyDescent="0.2">
      <c r="A28" s="11">
        <v>44743</v>
      </c>
      <c r="B28">
        <v>14.07</v>
      </c>
      <c r="C28">
        <v>14.78</v>
      </c>
      <c r="D28">
        <v>10.77</v>
      </c>
      <c r="E28">
        <v>12.88</v>
      </c>
      <c r="F28">
        <v>5.5</v>
      </c>
      <c r="G28">
        <v>65.94</v>
      </c>
      <c r="H28">
        <v>44.62</v>
      </c>
      <c r="I28">
        <v>2.67</v>
      </c>
      <c r="J28">
        <v>59.41</v>
      </c>
      <c r="K28">
        <v>36.25</v>
      </c>
      <c r="L28">
        <v>8.24</v>
      </c>
      <c r="M28">
        <v>9.2799999999999994</v>
      </c>
    </row>
    <row r="29" spans="1:13" x14ac:dyDescent="0.2">
      <c r="A29" s="11">
        <v>44774</v>
      </c>
      <c r="B29">
        <v>12.48</v>
      </c>
      <c r="C29">
        <v>14.74</v>
      </c>
      <c r="D29">
        <v>12.55</v>
      </c>
      <c r="E29">
        <v>8.42</v>
      </c>
      <c r="F29">
        <v>7.41</v>
      </c>
      <c r="G29">
        <v>59.94</v>
      </c>
      <c r="H29">
        <v>35.03</v>
      </c>
      <c r="I29">
        <v>5.17</v>
      </c>
      <c r="J29">
        <v>45.86</v>
      </c>
      <c r="K29">
        <v>28.29</v>
      </c>
      <c r="L29">
        <v>7.51</v>
      </c>
      <c r="M29">
        <v>10.06</v>
      </c>
    </row>
    <row r="30" spans="1:13" x14ac:dyDescent="0.2">
      <c r="A30" s="11">
        <v>44805</v>
      </c>
      <c r="B30">
        <v>10.55</v>
      </c>
      <c r="C30">
        <v>11.54</v>
      </c>
      <c r="D30">
        <v>11.03</v>
      </c>
      <c r="E30">
        <v>4.34</v>
      </c>
      <c r="F30">
        <v>-2.42</v>
      </c>
      <c r="G30">
        <v>44.72</v>
      </c>
      <c r="H30">
        <v>33.11</v>
      </c>
      <c r="I30">
        <v>5.17</v>
      </c>
      <c r="J30">
        <v>46</v>
      </c>
      <c r="K30">
        <v>20.48</v>
      </c>
      <c r="L30">
        <v>6.12</v>
      </c>
      <c r="M30">
        <v>8.02</v>
      </c>
    </row>
    <row r="31" spans="1:13" x14ac:dyDescent="0.2">
      <c r="A31" s="11">
        <v>44835</v>
      </c>
      <c r="B31">
        <v>8.67</v>
      </c>
      <c r="C31">
        <v>11.17</v>
      </c>
      <c r="D31">
        <v>8.4499999999999993</v>
      </c>
      <c r="E31">
        <v>8</v>
      </c>
      <c r="F31">
        <v>10.130000000000001</v>
      </c>
      <c r="G31">
        <v>43.57</v>
      </c>
      <c r="H31">
        <v>25.4</v>
      </c>
      <c r="I31">
        <v>4.1900000000000004</v>
      </c>
      <c r="J31">
        <v>29.09</v>
      </c>
      <c r="K31">
        <v>31.02</v>
      </c>
      <c r="L31">
        <v>4.42</v>
      </c>
      <c r="M31">
        <v>6.6</v>
      </c>
    </row>
    <row r="32" spans="1:13" x14ac:dyDescent="0.2">
      <c r="A32" s="11">
        <v>44866</v>
      </c>
      <c r="B32">
        <v>6.12</v>
      </c>
      <c r="C32">
        <v>5.94</v>
      </c>
      <c r="D32">
        <v>1.51</v>
      </c>
      <c r="E32">
        <v>7.86</v>
      </c>
      <c r="F32">
        <v>-0.05</v>
      </c>
      <c r="G32">
        <v>48.23</v>
      </c>
      <c r="H32">
        <v>19.71</v>
      </c>
      <c r="I32">
        <v>2.99</v>
      </c>
      <c r="J32">
        <v>23.76</v>
      </c>
      <c r="K32">
        <v>20.079999999999998</v>
      </c>
      <c r="L32">
        <v>3.44</v>
      </c>
      <c r="M32">
        <v>2.52</v>
      </c>
    </row>
    <row r="33" spans="1:13" x14ac:dyDescent="0.2">
      <c r="A33" s="11">
        <v>44896</v>
      </c>
      <c r="B33">
        <v>5.0199999999999996</v>
      </c>
      <c r="C33">
        <v>2.67</v>
      </c>
      <c r="D33">
        <v>-1.02</v>
      </c>
      <c r="E33">
        <v>4.01</v>
      </c>
      <c r="F33">
        <v>-0.39</v>
      </c>
      <c r="G33">
        <v>39.43</v>
      </c>
      <c r="H33">
        <v>18.09</v>
      </c>
      <c r="I33">
        <v>2.6</v>
      </c>
      <c r="J33">
        <v>22.69</v>
      </c>
      <c r="K33">
        <v>16.559999999999999</v>
      </c>
      <c r="L33">
        <v>3.37</v>
      </c>
      <c r="M33">
        <v>0.89</v>
      </c>
    </row>
    <row r="34" spans="1:13" x14ac:dyDescent="0.2">
      <c r="A34" s="11">
        <v>44927</v>
      </c>
      <c r="B34">
        <v>4.8</v>
      </c>
      <c r="C34">
        <v>4.0599999999999996</v>
      </c>
      <c r="D34">
        <v>2.67</v>
      </c>
      <c r="E34">
        <v>4.7</v>
      </c>
      <c r="F34">
        <v>-9.9700000000000006</v>
      </c>
      <c r="G34">
        <v>23.79</v>
      </c>
      <c r="H34">
        <v>15</v>
      </c>
      <c r="I34">
        <v>2.6</v>
      </c>
      <c r="J34">
        <v>17.88</v>
      </c>
      <c r="K34">
        <v>15.82</v>
      </c>
      <c r="L34">
        <v>3.06</v>
      </c>
      <c r="M34">
        <v>3.13</v>
      </c>
    </row>
    <row r="35" spans="1:13" x14ac:dyDescent="0.2">
      <c r="A35" s="11">
        <v>44958</v>
      </c>
      <c r="B35">
        <v>3.85</v>
      </c>
      <c r="C35">
        <v>3.64</v>
      </c>
      <c r="D35">
        <v>3.81</v>
      </c>
      <c r="E35">
        <v>0</v>
      </c>
      <c r="F35">
        <v>-3.33</v>
      </c>
      <c r="G35">
        <v>14.47</v>
      </c>
      <c r="H35">
        <v>13.96</v>
      </c>
      <c r="I35">
        <v>3.59</v>
      </c>
      <c r="J35">
        <v>15.82</v>
      </c>
      <c r="K35">
        <v>15.63</v>
      </c>
      <c r="L35">
        <v>1.94</v>
      </c>
      <c r="M35">
        <v>2.76</v>
      </c>
    </row>
    <row r="36" spans="1:13" x14ac:dyDescent="0.2">
      <c r="A36" s="11">
        <v>44986</v>
      </c>
      <c r="B36">
        <v>1.41</v>
      </c>
      <c r="C36">
        <v>2.52</v>
      </c>
      <c r="D36">
        <v>5.42</v>
      </c>
      <c r="E36">
        <v>-4.51</v>
      </c>
      <c r="F36">
        <v>-2.84</v>
      </c>
      <c r="G36">
        <v>-1.19</v>
      </c>
      <c r="H36">
        <v>8.69</v>
      </c>
      <c r="I36">
        <v>3.21</v>
      </c>
      <c r="J36">
        <v>6.1</v>
      </c>
      <c r="K36">
        <v>21.44</v>
      </c>
      <c r="L36">
        <v>-0.7</v>
      </c>
      <c r="M36">
        <v>2.3199999999999998</v>
      </c>
    </row>
    <row r="37" spans="1:13" x14ac:dyDescent="0.2">
      <c r="A37" s="11">
        <v>45017</v>
      </c>
      <c r="B37">
        <v>-0.79</v>
      </c>
      <c r="C37">
        <v>1.89</v>
      </c>
      <c r="D37">
        <v>3.88</v>
      </c>
      <c r="E37">
        <v>-6.7</v>
      </c>
      <c r="F37">
        <v>7.88</v>
      </c>
      <c r="G37">
        <v>1.64</v>
      </c>
      <c r="H37">
        <v>0.99</v>
      </c>
      <c r="I37">
        <v>3.51</v>
      </c>
      <c r="J37">
        <v>-4.9400000000000004</v>
      </c>
      <c r="K37">
        <v>20.13</v>
      </c>
      <c r="L37">
        <v>-2.2799999999999998</v>
      </c>
      <c r="M37">
        <v>0.4</v>
      </c>
    </row>
    <row r="38" spans="1:13" x14ac:dyDescent="0.2">
      <c r="A38" s="11">
        <v>45047</v>
      </c>
      <c r="B38">
        <v>-3.61</v>
      </c>
      <c r="C38">
        <v>-1.9</v>
      </c>
      <c r="D38">
        <v>1.63</v>
      </c>
      <c r="E38">
        <v>-9.51</v>
      </c>
      <c r="F38">
        <v>2.19</v>
      </c>
      <c r="G38">
        <v>-13.66</v>
      </c>
      <c r="H38">
        <v>-9.17</v>
      </c>
      <c r="I38">
        <v>2.52</v>
      </c>
      <c r="J38">
        <v>-16.23</v>
      </c>
      <c r="K38">
        <v>9.49</v>
      </c>
      <c r="L38">
        <v>-3.03</v>
      </c>
      <c r="M38">
        <v>-1.54</v>
      </c>
    </row>
    <row r="39" spans="1:13" x14ac:dyDescent="0.2">
      <c r="A39" s="11">
        <v>45078</v>
      </c>
      <c r="B39">
        <v>-4.18</v>
      </c>
      <c r="C39">
        <v>-2.98</v>
      </c>
      <c r="D39">
        <v>1.32</v>
      </c>
      <c r="E39">
        <v>-9.66</v>
      </c>
      <c r="F39">
        <v>0.53</v>
      </c>
      <c r="G39">
        <v>-21.43</v>
      </c>
      <c r="H39">
        <v>-12.51</v>
      </c>
      <c r="I39">
        <v>5.12</v>
      </c>
      <c r="J39">
        <v>-19.489999999999998</v>
      </c>
      <c r="K39">
        <v>1.1200000000000001</v>
      </c>
      <c r="L39">
        <v>-2.78</v>
      </c>
      <c r="M39">
        <v>-1.3</v>
      </c>
    </row>
    <row r="40" spans="1:13" x14ac:dyDescent="0.2">
      <c r="A40" s="11">
        <v>45108</v>
      </c>
      <c r="B40">
        <v>-1.23</v>
      </c>
      <c r="C40">
        <v>8.24</v>
      </c>
      <c r="D40">
        <v>15.09</v>
      </c>
      <c r="E40">
        <v>-5.76</v>
      </c>
      <c r="F40">
        <v>8.9499999999999993</v>
      </c>
      <c r="G40">
        <v>-13.66</v>
      </c>
      <c r="H40">
        <v>-12.73</v>
      </c>
      <c r="I40">
        <v>5.12</v>
      </c>
      <c r="J40">
        <v>-19.64</v>
      </c>
      <c r="K40">
        <v>0.3</v>
      </c>
      <c r="L40">
        <v>-2.58</v>
      </c>
      <c r="M40">
        <v>8.32</v>
      </c>
    </row>
    <row r="41" spans="1:13" x14ac:dyDescent="0.2">
      <c r="A41" s="11">
        <v>45139</v>
      </c>
      <c r="B41">
        <v>-0.46</v>
      </c>
      <c r="C41">
        <v>6.73</v>
      </c>
      <c r="D41">
        <v>11.43</v>
      </c>
      <c r="E41">
        <v>-6.8</v>
      </c>
      <c r="F41">
        <v>6.53</v>
      </c>
      <c r="G41">
        <v>-1.93</v>
      </c>
      <c r="H41">
        <v>-6.34</v>
      </c>
      <c r="I41">
        <v>2.46</v>
      </c>
      <c r="J41">
        <v>-9.74</v>
      </c>
      <c r="K41">
        <v>-1.03</v>
      </c>
      <c r="L41">
        <v>-2.2999999999999998</v>
      </c>
      <c r="M41">
        <v>6.19</v>
      </c>
    </row>
    <row r="42" spans="1:13" x14ac:dyDescent="0.2">
      <c r="A42" s="11">
        <v>45170</v>
      </c>
      <c r="B42">
        <v>-7.0000000000000007E-2</v>
      </c>
      <c r="C42">
        <v>4.38</v>
      </c>
      <c r="D42">
        <v>3.79</v>
      </c>
      <c r="E42">
        <v>-2.14</v>
      </c>
      <c r="F42">
        <v>18.96</v>
      </c>
      <c r="G42">
        <v>15.62</v>
      </c>
      <c r="H42">
        <v>-3.35</v>
      </c>
      <c r="I42">
        <v>1.79</v>
      </c>
      <c r="J42">
        <v>-4.66</v>
      </c>
      <c r="K42">
        <v>-2.56</v>
      </c>
      <c r="L42">
        <v>-1.27</v>
      </c>
      <c r="M42">
        <v>1.88</v>
      </c>
    </row>
    <row r="43" spans="1:13" x14ac:dyDescent="0.2">
      <c r="A43" s="11">
        <v>45200</v>
      </c>
      <c r="B43">
        <v>-0.26</v>
      </c>
      <c r="C43">
        <v>2.2599999999999998</v>
      </c>
      <c r="D43">
        <v>3.17</v>
      </c>
      <c r="E43">
        <v>-1.1399999999999999</v>
      </c>
      <c r="F43">
        <v>11.64</v>
      </c>
      <c r="G43">
        <v>-2.17</v>
      </c>
      <c r="H43">
        <v>-1.58</v>
      </c>
      <c r="I43">
        <v>1.79</v>
      </c>
      <c r="J43">
        <v>-0.48</v>
      </c>
      <c r="K43">
        <v>-6.8</v>
      </c>
      <c r="L43">
        <v>-1.06</v>
      </c>
      <c r="M43">
        <v>1.46</v>
      </c>
    </row>
    <row r="44" spans="1:13" x14ac:dyDescent="0.2">
      <c r="A44" s="11">
        <v>45231</v>
      </c>
      <c r="B44">
        <v>0.39</v>
      </c>
      <c r="C44">
        <v>5.16</v>
      </c>
      <c r="D44">
        <v>8.84</v>
      </c>
      <c r="E44">
        <v>-2.96</v>
      </c>
      <c r="F44">
        <v>8.7200000000000006</v>
      </c>
      <c r="G44">
        <v>-7.13</v>
      </c>
      <c r="H44">
        <v>-4.05</v>
      </c>
      <c r="I44">
        <v>1.79</v>
      </c>
      <c r="J44">
        <v>-5.74</v>
      </c>
      <c r="K44">
        <v>-2.91</v>
      </c>
      <c r="L44">
        <v>-0.78</v>
      </c>
      <c r="M44">
        <v>5.15</v>
      </c>
    </row>
    <row r="45" spans="1:13" x14ac:dyDescent="0.2">
      <c r="A45" s="11">
        <v>45261</v>
      </c>
      <c r="B45">
        <v>0.86</v>
      </c>
      <c r="C45">
        <v>5.73</v>
      </c>
      <c r="D45">
        <v>9.32</v>
      </c>
      <c r="E45">
        <v>-5.2</v>
      </c>
      <c r="F45">
        <v>6.77</v>
      </c>
      <c r="G45">
        <v>-0.13</v>
      </c>
      <c r="H45">
        <v>-1.39</v>
      </c>
      <c r="I45">
        <v>1.79</v>
      </c>
      <c r="J45">
        <v>-2.68</v>
      </c>
      <c r="K45">
        <v>0.44</v>
      </c>
      <c r="L45">
        <v>-0.78</v>
      </c>
      <c r="M45">
        <v>5.39</v>
      </c>
    </row>
    <row r="46" spans="1:13" x14ac:dyDescent="0.2">
      <c r="A46" s="11">
        <v>45292</v>
      </c>
      <c r="B46">
        <v>0.33</v>
      </c>
      <c r="C46">
        <v>4.07</v>
      </c>
      <c r="D46">
        <v>6.91</v>
      </c>
      <c r="E46">
        <v>-6.39</v>
      </c>
      <c r="F46">
        <v>10.58</v>
      </c>
      <c r="G46">
        <v>0.2</v>
      </c>
      <c r="H46">
        <v>-0.45</v>
      </c>
      <c r="I46">
        <v>1.41</v>
      </c>
      <c r="J46">
        <v>-1.1200000000000001</v>
      </c>
      <c r="K46">
        <v>0.32</v>
      </c>
      <c r="L46">
        <v>-1.2</v>
      </c>
      <c r="M46">
        <v>3.85</v>
      </c>
    </row>
    <row r="47" spans="1:13" x14ac:dyDescent="0.2">
      <c r="A47" s="11">
        <v>45323</v>
      </c>
      <c r="B47">
        <v>0.2</v>
      </c>
      <c r="C47">
        <v>4.55</v>
      </c>
      <c r="D47">
        <v>7.07</v>
      </c>
      <c r="E47">
        <v>-6.52</v>
      </c>
      <c r="F47">
        <v>3.45</v>
      </c>
      <c r="G47">
        <v>8.24</v>
      </c>
      <c r="H47">
        <v>-1.71</v>
      </c>
      <c r="I47">
        <v>0.28999999999999998</v>
      </c>
      <c r="J47">
        <v>-3.81</v>
      </c>
      <c r="K47">
        <v>3.02</v>
      </c>
      <c r="L47">
        <v>-1.27</v>
      </c>
      <c r="M47">
        <v>4.1399999999999997</v>
      </c>
    </row>
    <row r="48" spans="1:13" x14ac:dyDescent="0.2">
      <c r="A48" s="11">
        <v>45352</v>
      </c>
      <c r="B48">
        <v>0.26</v>
      </c>
      <c r="C48">
        <v>4.57</v>
      </c>
      <c r="D48">
        <v>7.05</v>
      </c>
      <c r="E48">
        <v>-4.25</v>
      </c>
      <c r="F48">
        <v>-0.36</v>
      </c>
      <c r="G48">
        <v>4.87</v>
      </c>
      <c r="H48">
        <v>-2.75</v>
      </c>
      <c r="I48">
        <v>0.52</v>
      </c>
      <c r="J48">
        <v>-3.51</v>
      </c>
      <c r="K48">
        <v>-2.56</v>
      </c>
      <c r="L48">
        <v>-0.85</v>
      </c>
      <c r="M48">
        <v>4.82</v>
      </c>
    </row>
    <row r="49" spans="1:13" x14ac:dyDescent="0.2">
      <c r="A49" s="11">
        <v>45383</v>
      </c>
      <c r="B49">
        <v>1.19</v>
      </c>
      <c r="C49">
        <v>5.23</v>
      </c>
      <c r="D49">
        <v>8.07</v>
      </c>
      <c r="E49">
        <v>-4.7699999999999996</v>
      </c>
      <c r="F49">
        <v>-0.27</v>
      </c>
      <c r="G49">
        <v>4.97</v>
      </c>
      <c r="H49">
        <v>-0.85</v>
      </c>
      <c r="I49">
        <v>0.3</v>
      </c>
      <c r="J49">
        <v>-0.06</v>
      </c>
      <c r="K49">
        <v>-3.88</v>
      </c>
      <c r="L49">
        <v>-0.14000000000000001</v>
      </c>
      <c r="M49">
        <v>6.09</v>
      </c>
    </row>
    <row r="50" spans="1:13" x14ac:dyDescent="0.2">
      <c r="A50" s="11">
        <v>45413</v>
      </c>
      <c r="B50">
        <v>2.74</v>
      </c>
      <c r="C50">
        <v>7.42</v>
      </c>
      <c r="D50">
        <v>9.93</v>
      </c>
      <c r="E50">
        <v>-3.87</v>
      </c>
      <c r="F50">
        <v>5.73</v>
      </c>
      <c r="G50">
        <v>9.8000000000000007</v>
      </c>
      <c r="H50">
        <v>1.01</v>
      </c>
      <c r="I50">
        <v>1.19</v>
      </c>
      <c r="J50">
        <v>1.98</v>
      </c>
      <c r="K50">
        <v>-1.95</v>
      </c>
      <c r="L50">
        <v>1</v>
      </c>
      <c r="M50">
        <v>7.75</v>
      </c>
    </row>
    <row r="51" spans="1:13" x14ac:dyDescent="0.2">
      <c r="A51" s="11">
        <v>45444</v>
      </c>
      <c r="B51">
        <v>3.43</v>
      </c>
      <c r="C51">
        <v>9.1999999999999993</v>
      </c>
      <c r="D51">
        <v>11.14</v>
      </c>
      <c r="E51">
        <v>-1.01</v>
      </c>
      <c r="F51">
        <v>10.7</v>
      </c>
      <c r="G51">
        <v>12.55</v>
      </c>
      <c r="H51">
        <v>0.48</v>
      </c>
      <c r="I51">
        <v>-1.31</v>
      </c>
      <c r="J51">
        <v>1.9</v>
      </c>
      <c r="K51">
        <v>-2.37</v>
      </c>
      <c r="L51">
        <v>1.5</v>
      </c>
      <c r="M51">
        <v>8.91</v>
      </c>
    </row>
    <row r="52" spans="1:13" x14ac:dyDescent="0.2">
      <c r="A52" s="11">
        <v>45474</v>
      </c>
      <c r="B52">
        <v>2.1</v>
      </c>
      <c r="C52">
        <v>3.18</v>
      </c>
      <c r="D52">
        <v>3.5</v>
      </c>
      <c r="E52">
        <v>-1.85</v>
      </c>
      <c r="F52">
        <v>5.2</v>
      </c>
      <c r="G52">
        <v>9.1199999999999992</v>
      </c>
      <c r="H52">
        <v>1.93</v>
      </c>
      <c r="I52">
        <v>-1.45</v>
      </c>
      <c r="J52">
        <v>3.69</v>
      </c>
      <c r="K52">
        <v>-0.97</v>
      </c>
      <c r="L52">
        <v>1.58</v>
      </c>
      <c r="M52">
        <v>3.6</v>
      </c>
    </row>
    <row r="53" spans="1:13" x14ac:dyDescent="0.2">
      <c r="A53" s="11">
        <v>45505</v>
      </c>
      <c r="B53">
        <v>1.25</v>
      </c>
      <c r="C53">
        <v>2.52</v>
      </c>
      <c r="D53">
        <v>3.06</v>
      </c>
      <c r="E53">
        <v>-1.84</v>
      </c>
      <c r="F53">
        <v>10.75</v>
      </c>
      <c r="G53">
        <v>1.77</v>
      </c>
      <c r="H53">
        <v>-0.54</v>
      </c>
      <c r="I53">
        <v>-1.45</v>
      </c>
      <c r="J53">
        <v>-0.44</v>
      </c>
      <c r="K53">
        <v>-0.22</v>
      </c>
      <c r="L53">
        <v>1</v>
      </c>
      <c r="M53">
        <v>3.21</v>
      </c>
    </row>
    <row r="54" spans="1:13" x14ac:dyDescent="0.2">
      <c r="A54" s="11">
        <v>45536</v>
      </c>
      <c r="B54">
        <v>1.91</v>
      </c>
      <c r="C54">
        <v>6.48</v>
      </c>
      <c r="D54">
        <v>11.48</v>
      </c>
      <c r="E54">
        <v>-1.46</v>
      </c>
      <c r="F54">
        <v>1.04</v>
      </c>
      <c r="G54">
        <v>-13.04</v>
      </c>
      <c r="H54">
        <v>-3.85</v>
      </c>
      <c r="I54">
        <v>-0.8</v>
      </c>
      <c r="J54">
        <v>-5.74</v>
      </c>
      <c r="K54">
        <v>-0.22</v>
      </c>
      <c r="L54">
        <v>1.07</v>
      </c>
      <c r="M54">
        <v>9.81</v>
      </c>
    </row>
    <row r="55" spans="1:13" x14ac:dyDescent="0.2">
      <c r="A55" s="11">
        <v>45566</v>
      </c>
      <c r="B55">
        <v>2.75</v>
      </c>
      <c r="C55">
        <v>8.26</v>
      </c>
      <c r="D55">
        <v>13.49</v>
      </c>
      <c r="E55">
        <v>-1.34</v>
      </c>
      <c r="F55">
        <v>4.51</v>
      </c>
      <c r="G55">
        <v>-11.8</v>
      </c>
      <c r="H55">
        <v>-4.3099999999999996</v>
      </c>
      <c r="I55">
        <v>-0.88</v>
      </c>
      <c r="J55">
        <v>-7.61</v>
      </c>
      <c r="K55">
        <v>3.44</v>
      </c>
      <c r="L55">
        <v>1.78</v>
      </c>
      <c r="M55">
        <v>12.15</v>
      </c>
    </row>
    <row r="56" spans="1:13" x14ac:dyDescent="0.2">
      <c r="A56" s="11">
        <v>45597</v>
      </c>
      <c r="B56">
        <v>2.16</v>
      </c>
      <c r="C56">
        <v>5.49</v>
      </c>
      <c r="D56">
        <v>8.48</v>
      </c>
      <c r="E56">
        <v>-0.61</v>
      </c>
      <c r="F56">
        <v>6.3</v>
      </c>
      <c r="G56">
        <v>-7.74</v>
      </c>
      <c r="H56">
        <v>-4.03</v>
      </c>
      <c r="I56">
        <v>-0.88</v>
      </c>
      <c r="J56">
        <v>-5.23</v>
      </c>
      <c r="K56">
        <v>-2.54</v>
      </c>
      <c r="L56">
        <v>2.0699999999999998</v>
      </c>
      <c r="M56">
        <v>8.86</v>
      </c>
    </row>
    <row r="57" spans="1:13" x14ac:dyDescent="0.2">
      <c r="A57" s="11">
        <v>45627</v>
      </c>
      <c r="B57">
        <v>2.57</v>
      </c>
      <c r="C57">
        <v>6.02</v>
      </c>
      <c r="D57">
        <v>8.5299999999999994</v>
      </c>
      <c r="E57">
        <v>2.4</v>
      </c>
      <c r="F57">
        <v>5.7</v>
      </c>
      <c r="G57">
        <v>-6.77</v>
      </c>
      <c r="H57">
        <v>-2.57</v>
      </c>
      <c r="I57">
        <v>-0.8</v>
      </c>
      <c r="J57">
        <v>-3.81</v>
      </c>
      <c r="K57">
        <v>-0.56999999999999995</v>
      </c>
      <c r="L57">
        <v>2.14</v>
      </c>
      <c r="M57">
        <v>8.9499999999999993</v>
      </c>
    </row>
    <row r="58" spans="1:13" x14ac:dyDescent="0.2">
      <c r="A58" s="11">
        <v>45658</v>
      </c>
      <c r="B58">
        <v>2.5099999999999998</v>
      </c>
      <c r="C58">
        <v>4.58</v>
      </c>
      <c r="D58">
        <v>5.83</v>
      </c>
      <c r="E58">
        <v>3.01</v>
      </c>
      <c r="F58">
        <v>1.56</v>
      </c>
      <c r="G58">
        <v>-0.53</v>
      </c>
      <c r="H58">
        <v>-1.87</v>
      </c>
      <c r="I58">
        <v>-0.44</v>
      </c>
      <c r="J58">
        <v>-2.58</v>
      </c>
      <c r="K58">
        <v>-0.89</v>
      </c>
      <c r="L58">
        <v>2.65</v>
      </c>
      <c r="M58">
        <v>7.52</v>
      </c>
    </row>
    <row r="59" spans="1:13" x14ac:dyDescent="0.2">
      <c r="A59" s="11">
        <v>45689</v>
      </c>
      <c r="B59">
        <v>2.4500000000000002</v>
      </c>
      <c r="C59">
        <v>2.92</v>
      </c>
      <c r="D59">
        <v>3.43</v>
      </c>
      <c r="E59">
        <v>4.97</v>
      </c>
      <c r="F59">
        <v>1.29</v>
      </c>
      <c r="G59">
        <v>-4.0599999999999996</v>
      </c>
      <c r="H59">
        <v>-0.97</v>
      </c>
      <c r="I59">
        <v>-0.28999999999999998</v>
      </c>
      <c r="J59">
        <v>-0.82</v>
      </c>
      <c r="K59">
        <v>-1.66</v>
      </c>
      <c r="L59">
        <v>3</v>
      </c>
      <c r="M59">
        <v>6.17</v>
      </c>
    </row>
    <row r="60" spans="1:13" x14ac:dyDescent="0.2">
      <c r="A60" s="11">
        <v>45717</v>
      </c>
      <c r="B60">
        <v>2.25</v>
      </c>
      <c r="C60">
        <v>1.26</v>
      </c>
      <c r="D60">
        <v>1.78</v>
      </c>
      <c r="E60">
        <v>1.62</v>
      </c>
      <c r="F60">
        <v>10.79</v>
      </c>
      <c r="G60">
        <v>-7.64</v>
      </c>
      <c r="H60">
        <v>0</v>
      </c>
      <c r="I60">
        <v>-0.15</v>
      </c>
      <c r="J60">
        <v>-1.57</v>
      </c>
      <c r="K60">
        <v>4.63</v>
      </c>
      <c r="L60">
        <v>3.21</v>
      </c>
      <c r="M60">
        <v>4.93</v>
      </c>
    </row>
    <row r="61" spans="1:13" x14ac:dyDescent="0.2">
      <c r="A61" s="11">
        <v>45748</v>
      </c>
      <c r="B61">
        <v>0.85</v>
      </c>
      <c r="C61">
        <v>-0.91</v>
      </c>
      <c r="D61">
        <v>0.3</v>
      </c>
      <c r="E61">
        <v>1.52</v>
      </c>
      <c r="F61">
        <v>1.79</v>
      </c>
      <c r="G61">
        <v>-15.55</v>
      </c>
      <c r="H61">
        <v>-3.76</v>
      </c>
      <c r="I61">
        <v>0.15</v>
      </c>
      <c r="J61">
        <v>-5.58</v>
      </c>
      <c r="K61">
        <v>-0.92</v>
      </c>
      <c r="L61">
        <v>2.62</v>
      </c>
      <c r="M61">
        <v>3.3</v>
      </c>
    </row>
    <row r="62" spans="1:13" x14ac:dyDescent="0.2">
      <c r="A62" s="11">
        <v>45778</v>
      </c>
      <c r="B62">
        <v>0.13</v>
      </c>
      <c r="C62">
        <v>-1.75</v>
      </c>
      <c r="D62">
        <v>-1.25</v>
      </c>
      <c r="E62">
        <v>1.28</v>
      </c>
      <c r="F62">
        <v>0.56999999999999995</v>
      </c>
      <c r="G62">
        <v>-11.54</v>
      </c>
      <c r="H62">
        <v>-4.8</v>
      </c>
      <c r="I62">
        <v>0.66</v>
      </c>
      <c r="J62">
        <v>-8.09</v>
      </c>
      <c r="K62">
        <v>1.62</v>
      </c>
      <c r="L62">
        <v>2.11</v>
      </c>
      <c r="M62">
        <v>1.93</v>
      </c>
    </row>
    <row r="63" spans="1:13" x14ac:dyDescent="0.2">
      <c r="A63" s="11">
        <v>45809</v>
      </c>
      <c r="B63">
        <v>-0.19</v>
      </c>
      <c r="C63">
        <v>-3.22</v>
      </c>
      <c r="D63">
        <v>-3.65</v>
      </c>
      <c r="E63">
        <v>2.16</v>
      </c>
      <c r="F63">
        <v>-0.35</v>
      </c>
      <c r="G63">
        <v>-10.77</v>
      </c>
      <c r="H63">
        <v>-3.13</v>
      </c>
      <c r="I63">
        <v>0.66</v>
      </c>
      <c r="J63">
        <v>-5.78</v>
      </c>
      <c r="K63">
        <v>1.89</v>
      </c>
      <c r="L63">
        <v>1.9</v>
      </c>
      <c r="M63">
        <v>-0.26</v>
      </c>
    </row>
    <row r="64" spans="1:13" x14ac:dyDescent="0.2">
      <c r="A64" s="11">
        <v>45839</v>
      </c>
      <c r="B64">
        <v>-0.57999999999999996</v>
      </c>
      <c r="C64">
        <v>-4.95</v>
      </c>
      <c r="D64">
        <v>-6.29</v>
      </c>
      <c r="E64">
        <v>3.4</v>
      </c>
      <c r="F64">
        <v>1.06</v>
      </c>
      <c r="G64">
        <v>-11.15</v>
      </c>
      <c r="H64">
        <v>-2.4300000000000002</v>
      </c>
      <c r="I64">
        <v>0.52</v>
      </c>
      <c r="J64">
        <v>-4.96</v>
      </c>
      <c r="K64">
        <v>3.31</v>
      </c>
      <c r="L64">
        <v>2.0499999999999998</v>
      </c>
      <c r="M64">
        <v>-2.15</v>
      </c>
    </row>
    <row r="65" spans="1:13" x14ac:dyDescent="0.2">
      <c r="A65" s="11">
        <v>45870</v>
      </c>
      <c r="B65">
        <v>0.52</v>
      </c>
      <c r="C65">
        <v>-2.1</v>
      </c>
      <c r="D65">
        <v>-3.06</v>
      </c>
      <c r="E65">
        <v>5.56</v>
      </c>
      <c r="F65">
        <v>3.3</v>
      </c>
      <c r="G65">
        <v>-9.8699999999999992</v>
      </c>
      <c r="H65">
        <v>-3.17</v>
      </c>
      <c r="I65">
        <v>0.52</v>
      </c>
      <c r="J65">
        <v>-4.72</v>
      </c>
      <c r="K65">
        <v>-1.1100000000000001</v>
      </c>
      <c r="L65">
        <v>2.5499999999999998</v>
      </c>
      <c r="M65">
        <v>0.21</v>
      </c>
    </row>
    <row r="66" spans="1:13" x14ac:dyDescent="0.2">
      <c r="A66" s="11"/>
    </row>
    <row r="67" spans="1:13" x14ac:dyDescent="0.2">
      <c r="A67" t="s">
        <v>285</v>
      </c>
      <c r="B67" t="s">
        <v>1389</v>
      </c>
      <c r="C67" t="s">
        <v>1389</v>
      </c>
      <c r="D67" t="s">
        <v>1389</v>
      </c>
      <c r="E67" t="s">
        <v>1389</v>
      </c>
      <c r="F67" t="s">
        <v>1389</v>
      </c>
      <c r="G67" t="s">
        <v>1389</v>
      </c>
      <c r="H67" t="s">
        <v>1389</v>
      </c>
      <c r="I67" t="s">
        <v>1389</v>
      </c>
      <c r="J67" t="s">
        <v>1389</v>
      </c>
      <c r="K67" t="s">
        <v>1389</v>
      </c>
      <c r="L67" t="s">
        <v>1389</v>
      </c>
      <c r="M67" t="s">
        <v>1389</v>
      </c>
    </row>
    <row r="68" spans="1:13" x14ac:dyDescent="0.2">
      <c r="A68" t="s">
        <v>9</v>
      </c>
      <c r="B68">
        <v>11.82</v>
      </c>
      <c r="C68">
        <v>8</v>
      </c>
      <c r="D68">
        <v>2.2400000000000002</v>
      </c>
      <c r="E68">
        <v>20.86</v>
      </c>
      <c r="F68">
        <v>13.68</v>
      </c>
      <c r="G68">
        <v>50.66</v>
      </c>
      <c r="H68">
        <v>28.31</v>
      </c>
      <c r="I68">
        <v>0.79</v>
      </c>
      <c r="J68">
        <v>58.37</v>
      </c>
      <c r="K68">
        <v>-0.99</v>
      </c>
      <c r="L68">
        <v>10.93</v>
      </c>
      <c r="M68">
        <v>6.12</v>
      </c>
    </row>
    <row r="69" spans="1:13" x14ac:dyDescent="0.2">
      <c r="A69" t="s">
        <v>11</v>
      </c>
      <c r="B69">
        <v>14.94</v>
      </c>
      <c r="C69">
        <v>16.420000000000002</v>
      </c>
      <c r="D69">
        <v>11.45</v>
      </c>
      <c r="E69">
        <v>17.309999999999999</v>
      </c>
      <c r="F69">
        <v>10.89</v>
      </c>
      <c r="G69">
        <v>70.27</v>
      </c>
      <c r="H69">
        <v>43.59</v>
      </c>
      <c r="I69">
        <v>3.26</v>
      </c>
      <c r="J69">
        <v>62.36</v>
      </c>
      <c r="K69">
        <v>25.72</v>
      </c>
      <c r="L69">
        <v>9.34</v>
      </c>
      <c r="M69">
        <v>10.17</v>
      </c>
    </row>
    <row r="70" spans="1:13" x14ac:dyDescent="0.2">
      <c r="A70" t="s">
        <v>1270</v>
      </c>
      <c r="B70">
        <v>-2.0699999999999998</v>
      </c>
      <c r="C70">
        <v>2.37</v>
      </c>
      <c r="D70">
        <v>6.68</v>
      </c>
      <c r="E70">
        <v>-7.7</v>
      </c>
      <c r="F70">
        <v>5.16</v>
      </c>
      <c r="G70">
        <v>-10.25</v>
      </c>
      <c r="H70">
        <v>-8.1300000000000008</v>
      </c>
      <c r="I70">
        <v>3.74</v>
      </c>
      <c r="J70">
        <v>-14.29</v>
      </c>
      <c r="K70">
        <v>5.68</v>
      </c>
      <c r="L70">
        <v>-2.6</v>
      </c>
      <c r="M70">
        <v>2.41</v>
      </c>
    </row>
    <row r="71" spans="1:13" x14ac:dyDescent="0.2">
      <c r="A71" t="s">
        <v>1390</v>
      </c>
      <c r="B71">
        <v>2.14</v>
      </c>
      <c r="C71">
        <v>5.42</v>
      </c>
      <c r="D71">
        <v>6.97</v>
      </c>
      <c r="E71">
        <v>-2.68</v>
      </c>
      <c r="F71">
        <v>6.29</v>
      </c>
      <c r="G71">
        <v>7.5</v>
      </c>
      <c r="H71">
        <v>0.39</v>
      </c>
      <c r="I71">
        <v>-0.56000000000000005</v>
      </c>
      <c r="J71">
        <v>1.39</v>
      </c>
      <c r="K71">
        <v>-1.91</v>
      </c>
      <c r="L71">
        <v>0.98</v>
      </c>
      <c r="M71">
        <v>5.84</v>
      </c>
    </row>
    <row r="72" spans="1:13" x14ac:dyDescent="0.2">
      <c r="A72" t="s">
        <v>1391</v>
      </c>
      <c r="B72">
        <v>0.14000000000000001</v>
      </c>
      <c r="C72">
        <v>-2.61</v>
      </c>
      <c r="D72">
        <v>-2.85</v>
      </c>
      <c r="E72">
        <v>2.8</v>
      </c>
      <c r="F72">
        <v>1.27</v>
      </c>
      <c r="G72">
        <v>-11.81</v>
      </c>
      <c r="H72">
        <v>-3.46</v>
      </c>
      <c r="I72">
        <v>0.5</v>
      </c>
      <c r="J72">
        <v>-5.83</v>
      </c>
      <c r="K72">
        <v>0.93</v>
      </c>
      <c r="L72">
        <v>2.25</v>
      </c>
      <c r="M72">
        <v>0.56999999999999995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90ED-F0A6-9F41-A052-B4AFB3A2D102}">
  <dimension ref="A1:N106"/>
  <sheetViews>
    <sheetView topLeftCell="A63" workbookViewId="0">
      <selection activeCell="K83" sqref="K83"/>
    </sheetView>
  </sheetViews>
  <sheetFormatPr baseColWidth="10" defaultRowHeight="16" x14ac:dyDescent="0.2"/>
  <cols>
    <col min="14" max="14" width="108.83203125" bestFit="1" customWidth="1"/>
  </cols>
  <sheetData>
    <row r="1" spans="1:14" x14ac:dyDescent="0.2">
      <c r="A1" t="s">
        <v>1392</v>
      </c>
    </row>
    <row r="2" spans="1:14" x14ac:dyDescent="0.2">
      <c r="A2" t="s">
        <v>1402</v>
      </c>
    </row>
    <row r="3" spans="1:14" x14ac:dyDescent="0.2">
      <c r="A3" t="s">
        <v>55</v>
      </c>
      <c r="B3" t="s">
        <v>1388</v>
      </c>
      <c r="C3" t="s">
        <v>511</v>
      </c>
      <c r="D3" t="s">
        <v>512</v>
      </c>
      <c r="E3" t="s">
        <v>1388</v>
      </c>
      <c r="F3" t="s">
        <v>511</v>
      </c>
      <c r="G3" t="s">
        <v>512</v>
      </c>
      <c r="H3" t="s">
        <v>1388</v>
      </c>
      <c r="I3" t="s">
        <v>511</v>
      </c>
      <c r="J3" t="s">
        <v>512</v>
      </c>
      <c r="K3" t="s">
        <v>1388</v>
      </c>
      <c r="L3" t="s">
        <v>1388</v>
      </c>
      <c r="M3" t="s">
        <v>1388</v>
      </c>
      <c r="N3" t="s">
        <v>1388</v>
      </c>
    </row>
    <row r="4" spans="1:14" x14ac:dyDescent="0.2">
      <c r="A4" t="s">
        <v>284</v>
      </c>
      <c r="B4">
        <v>100</v>
      </c>
      <c r="C4">
        <v>100</v>
      </c>
      <c r="D4">
        <v>100</v>
      </c>
      <c r="E4">
        <v>54.11</v>
      </c>
      <c r="F4">
        <v>64.8</v>
      </c>
      <c r="G4">
        <v>44.81</v>
      </c>
      <c r="H4">
        <v>45.9</v>
      </c>
      <c r="I4">
        <v>35.200000000000003</v>
      </c>
      <c r="J4">
        <v>55.19</v>
      </c>
      <c r="K4">
        <v>51.72</v>
      </c>
      <c r="L4">
        <v>48.29</v>
      </c>
      <c r="M4">
        <v>42.2</v>
      </c>
      <c r="N4">
        <v>57.8</v>
      </c>
    </row>
    <row r="5" spans="1:14" x14ac:dyDescent="0.2">
      <c r="A5" t="s">
        <v>271</v>
      </c>
      <c r="B5" t="s">
        <v>1393</v>
      </c>
      <c r="C5" t="s">
        <v>1393</v>
      </c>
      <c r="D5" t="s">
        <v>1393</v>
      </c>
      <c r="E5" t="s">
        <v>1400</v>
      </c>
      <c r="F5" t="s">
        <v>1400</v>
      </c>
      <c r="G5" t="s">
        <v>1400</v>
      </c>
      <c r="H5" t="s">
        <v>1401</v>
      </c>
      <c r="I5" t="s">
        <v>1401</v>
      </c>
      <c r="J5" t="s">
        <v>1401</v>
      </c>
      <c r="K5" t="s">
        <v>1396</v>
      </c>
      <c r="L5" t="s">
        <v>1397</v>
      </c>
      <c r="M5" t="s">
        <v>1398</v>
      </c>
      <c r="N5" t="s">
        <v>1399</v>
      </c>
    </row>
    <row r="6" spans="1:14" x14ac:dyDescent="0.2">
      <c r="A6" s="11">
        <v>43009</v>
      </c>
      <c r="B6">
        <v>136.1</v>
      </c>
      <c r="C6">
        <v>133.5</v>
      </c>
      <c r="D6">
        <v>138.30000000000001</v>
      </c>
      <c r="E6">
        <v>134.19999999999999</v>
      </c>
      <c r="F6">
        <v>131.9</v>
      </c>
      <c r="G6">
        <v>137.1</v>
      </c>
      <c r="H6">
        <v>138.30000000000001</v>
      </c>
      <c r="I6">
        <v>136.5</v>
      </c>
      <c r="J6">
        <v>139.30000000000001</v>
      </c>
      <c r="K6">
        <v>135.69999999999999</v>
      </c>
      <c r="L6">
        <v>136.5</v>
      </c>
      <c r="M6">
        <v>135.30000000000001</v>
      </c>
      <c r="N6">
        <v>136.69999999999999</v>
      </c>
    </row>
    <row r="7" spans="1:14" x14ac:dyDescent="0.2">
      <c r="A7" s="11">
        <v>43040</v>
      </c>
      <c r="B7">
        <v>137.6</v>
      </c>
      <c r="C7">
        <v>134.80000000000001</v>
      </c>
      <c r="D7">
        <v>140</v>
      </c>
      <c r="E7">
        <v>135.1</v>
      </c>
      <c r="F7">
        <v>132.69999999999999</v>
      </c>
      <c r="G7">
        <v>138.19999999999999</v>
      </c>
      <c r="H7">
        <v>140.6</v>
      </c>
      <c r="I7">
        <v>138.80000000000001</v>
      </c>
      <c r="J7">
        <v>141.5</v>
      </c>
      <c r="K7">
        <v>136.6</v>
      </c>
      <c r="L7">
        <v>138.69999999999999</v>
      </c>
      <c r="M7">
        <v>136.1</v>
      </c>
      <c r="N7">
        <v>138.69999999999999</v>
      </c>
    </row>
    <row r="8" spans="1:14" x14ac:dyDescent="0.2">
      <c r="A8" s="11">
        <v>43070</v>
      </c>
      <c r="B8">
        <v>137.19999999999999</v>
      </c>
      <c r="C8">
        <v>134.1</v>
      </c>
      <c r="D8">
        <v>139.80000000000001</v>
      </c>
      <c r="E8">
        <v>135.4</v>
      </c>
      <c r="F8">
        <v>133</v>
      </c>
      <c r="G8">
        <v>138.4</v>
      </c>
      <c r="H8">
        <v>139.19999999999999</v>
      </c>
      <c r="I8">
        <v>136.1</v>
      </c>
      <c r="J8">
        <v>141</v>
      </c>
      <c r="K8">
        <v>136.9</v>
      </c>
      <c r="L8">
        <v>137.5</v>
      </c>
      <c r="M8">
        <v>136.30000000000001</v>
      </c>
      <c r="N8">
        <v>137.69999999999999</v>
      </c>
    </row>
    <row r="9" spans="1:14" x14ac:dyDescent="0.2">
      <c r="A9" s="11">
        <v>43101</v>
      </c>
      <c r="B9">
        <v>136.9</v>
      </c>
      <c r="C9">
        <v>134.1</v>
      </c>
      <c r="D9">
        <v>139.30000000000001</v>
      </c>
      <c r="E9">
        <v>136</v>
      </c>
      <c r="F9">
        <v>133.9</v>
      </c>
      <c r="G9">
        <v>138.69999999999999</v>
      </c>
      <c r="H9">
        <v>137.9</v>
      </c>
      <c r="I9">
        <v>134.5</v>
      </c>
      <c r="J9">
        <v>139.69999999999999</v>
      </c>
      <c r="K9">
        <v>137.4</v>
      </c>
      <c r="L9">
        <v>136.30000000000001</v>
      </c>
      <c r="M9">
        <v>136.69999999999999</v>
      </c>
      <c r="N9">
        <v>137</v>
      </c>
    </row>
    <row r="10" spans="1:14" x14ac:dyDescent="0.2">
      <c r="A10" s="11">
        <v>43132</v>
      </c>
      <c r="B10">
        <v>136.4</v>
      </c>
      <c r="C10">
        <v>134</v>
      </c>
      <c r="D10">
        <v>138.5</v>
      </c>
      <c r="E10">
        <v>136.5</v>
      </c>
      <c r="F10">
        <v>134.6</v>
      </c>
      <c r="G10">
        <v>138.9</v>
      </c>
      <c r="H10">
        <v>136.19999999999999</v>
      </c>
      <c r="I10">
        <v>132.80000000000001</v>
      </c>
      <c r="J10">
        <v>138.1</v>
      </c>
      <c r="K10">
        <v>137.80000000000001</v>
      </c>
      <c r="L10">
        <v>134.80000000000001</v>
      </c>
      <c r="M10">
        <v>137</v>
      </c>
      <c r="N10">
        <v>135.9</v>
      </c>
    </row>
    <row r="11" spans="1:14" x14ac:dyDescent="0.2">
      <c r="A11" s="11">
        <v>43160</v>
      </c>
      <c r="B11">
        <v>136.5</v>
      </c>
      <c r="C11">
        <v>134</v>
      </c>
      <c r="D11">
        <v>138.69999999999999</v>
      </c>
      <c r="E11">
        <v>137.19999999999999</v>
      </c>
      <c r="F11">
        <v>135.19999999999999</v>
      </c>
      <c r="G11">
        <v>139.69999999999999</v>
      </c>
      <c r="H11">
        <v>135.69999999999999</v>
      </c>
      <c r="I11">
        <v>131.69999999999999</v>
      </c>
      <c r="J11">
        <v>137.9</v>
      </c>
      <c r="K11">
        <v>138.5</v>
      </c>
      <c r="L11">
        <v>134.30000000000001</v>
      </c>
      <c r="M11">
        <v>137.69999999999999</v>
      </c>
      <c r="N11">
        <v>135.6</v>
      </c>
    </row>
    <row r="12" spans="1:14" x14ac:dyDescent="0.2">
      <c r="A12" s="11">
        <v>43191</v>
      </c>
      <c r="B12">
        <v>137.1</v>
      </c>
      <c r="C12">
        <v>134.80000000000001</v>
      </c>
      <c r="D12">
        <v>139.1</v>
      </c>
      <c r="E12">
        <v>138.1</v>
      </c>
      <c r="F12">
        <v>136.1</v>
      </c>
      <c r="G12">
        <v>140.6</v>
      </c>
      <c r="H12">
        <v>135.9</v>
      </c>
      <c r="I12">
        <v>132.30000000000001</v>
      </c>
      <c r="J12">
        <v>138</v>
      </c>
      <c r="K12">
        <v>139.4</v>
      </c>
      <c r="L12">
        <v>134.6</v>
      </c>
      <c r="M12">
        <v>138.6</v>
      </c>
      <c r="N12">
        <v>136</v>
      </c>
    </row>
    <row r="13" spans="1:14" x14ac:dyDescent="0.2">
      <c r="A13" s="11">
        <v>43221</v>
      </c>
      <c r="B13">
        <v>137.80000000000001</v>
      </c>
      <c r="C13">
        <v>135.4</v>
      </c>
      <c r="D13">
        <v>139.80000000000001</v>
      </c>
      <c r="E13">
        <v>138.80000000000001</v>
      </c>
      <c r="F13">
        <v>136.69999999999999</v>
      </c>
      <c r="G13">
        <v>141.4</v>
      </c>
      <c r="H13">
        <v>136.6</v>
      </c>
      <c r="I13">
        <v>133</v>
      </c>
      <c r="J13">
        <v>138.5</v>
      </c>
      <c r="K13">
        <v>140</v>
      </c>
      <c r="L13">
        <v>135.30000000000001</v>
      </c>
      <c r="M13">
        <v>139.30000000000001</v>
      </c>
      <c r="N13">
        <v>136.69999999999999</v>
      </c>
    </row>
    <row r="14" spans="1:14" x14ac:dyDescent="0.2">
      <c r="A14" s="11">
        <v>43252</v>
      </c>
      <c r="B14">
        <v>138.5</v>
      </c>
      <c r="C14">
        <v>136.19999999999999</v>
      </c>
      <c r="D14">
        <v>140.5</v>
      </c>
      <c r="E14">
        <v>139</v>
      </c>
      <c r="F14">
        <v>136.80000000000001</v>
      </c>
      <c r="G14">
        <v>141.80000000000001</v>
      </c>
      <c r="H14">
        <v>138</v>
      </c>
      <c r="I14">
        <v>135.19999999999999</v>
      </c>
      <c r="J14">
        <v>139.5</v>
      </c>
      <c r="K14">
        <v>140.19999999999999</v>
      </c>
      <c r="L14">
        <v>136.80000000000001</v>
      </c>
      <c r="M14">
        <v>139.69999999999999</v>
      </c>
      <c r="N14">
        <v>137.69999999999999</v>
      </c>
    </row>
    <row r="15" spans="1:14" x14ac:dyDescent="0.2">
      <c r="A15" s="11">
        <v>43282</v>
      </c>
      <c r="B15">
        <v>139.80000000000001</v>
      </c>
      <c r="C15">
        <v>137.5</v>
      </c>
      <c r="D15">
        <v>141.80000000000001</v>
      </c>
      <c r="E15">
        <v>139.6</v>
      </c>
      <c r="F15">
        <v>137.6</v>
      </c>
      <c r="G15">
        <v>142.1</v>
      </c>
      <c r="H15">
        <v>140</v>
      </c>
      <c r="I15">
        <v>137.4</v>
      </c>
      <c r="J15">
        <v>141.6</v>
      </c>
      <c r="K15">
        <v>140.80000000000001</v>
      </c>
      <c r="L15">
        <v>138.69999999999999</v>
      </c>
      <c r="M15">
        <v>140.19999999999999</v>
      </c>
      <c r="N15">
        <v>139.5</v>
      </c>
    </row>
    <row r="16" spans="1:14" x14ac:dyDescent="0.2">
      <c r="A16" s="11">
        <v>43313</v>
      </c>
      <c r="B16">
        <v>140.4</v>
      </c>
      <c r="C16">
        <v>138</v>
      </c>
      <c r="D16">
        <v>142.5</v>
      </c>
      <c r="E16">
        <v>140.30000000000001</v>
      </c>
      <c r="F16">
        <v>138.4</v>
      </c>
      <c r="G16">
        <v>142.69999999999999</v>
      </c>
      <c r="H16">
        <v>140.6</v>
      </c>
      <c r="I16">
        <v>137.30000000000001</v>
      </c>
      <c r="J16">
        <v>142.4</v>
      </c>
      <c r="K16">
        <v>141.5</v>
      </c>
      <c r="L16">
        <v>139.30000000000001</v>
      </c>
      <c r="M16">
        <v>140.80000000000001</v>
      </c>
      <c r="N16">
        <v>140.19999999999999</v>
      </c>
    </row>
    <row r="17" spans="1:14" x14ac:dyDescent="0.2">
      <c r="A17" s="11">
        <v>43344</v>
      </c>
      <c r="B17">
        <v>140.19999999999999</v>
      </c>
      <c r="C17">
        <v>138.1</v>
      </c>
      <c r="D17">
        <v>142.1</v>
      </c>
      <c r="E17">
        <v>141</v>
      </c>
      <c r="F17">
        <v>139.19999999999999</v>
      </c>
      <c r="G17">
        <v>143.30000000000001</v>
      </c>
      <c r="H17">
        <v>139.4</v>
      </c>
      <c r="I17">
        <v>136.1</v>
      </c>
      <c r="J17">
        <v>141.19999999999999</v>
      </c>
      <c r="K17">
        <v>142.1</v>
      </c>
      <c r="L17">
        <v>138.4</v>
      </c>
      <c r="M17">
        <v>141.30000000000001</v>
      </c>
      <c r="N17">
        <v>139.6</v>
      </c>
    </row>
    <row r="18" spans="1:14" x14ac:dyDescent="0.2">
      <c r="A18" s="11">
        <v>43374</v>
      </c>
      <c r="B18">
        <v>140.69999999999999</v>
      </c>
      <c r="C18">
        <v>138.9</v>
      </c>
      <c r="D18">
        <v>142.19999999999999</v>
      </c>
      <c r="E18">
        <v>142.1</v>
      </c>
      <c r="F18">
        <v>140</v>
      </c>
      <c r="G18">
        <v>144.6</v>
      </c>
      <c r="H18">
        <v>139</v>
      </c>
      <c r="I18">
        <v>136.9</v>
      </c>
      <c r="J18">
        <v>140.19999999999999</v>
      </c>
      <c r="K18">
        <v>143.1</v>
      </c>
      <c r="L18">
        <v>138</v>
      </c>
      <c r="M18">
        <v>142.30000000000001</v>
      </c>
      <c r="N18">
        <v>139.4</v>
      </c>
    </row>
    <row r="19" spans="1:14" x14ac:dyDescent="0.2">
      <c r="A19" s="11">
        <v>43405</v>
      </c>
      <c r="B19">
        <v>140.80000000000001</v>
      </c>
      <c r="C19">
        <v>139</v>
      </c>
      <c r="D19">
        <v>142.4</v>
      </c>
      <c r="E19">
        <v>142.5</v>
      </c>
      <c r="F19">
        <v>140.19999999999999</v>
      </c>
      <c r="G19">
        <v>145.4</v>
      </c>
      <c r="H19">
        <v>138.9</v>
      </c>
      <c r="I19">
        <v>137</v>
      </c>
      <c r="J19">
        <v>139.9</v>
      </c>
      <c r="K19">
        <v>143.80000000000001</v>
      </c>
      <c r="L19">
        <v>137.6</v>
      </c>
      <c r="M19">
        <v>143.1</v>
      </c>
      <c r="N19">
        <v>139.1</v>
      </c>
    </row>
    <row r="20" spans="1:14" x14ac:dyDescent="0.2">
      <c r="A20" s="11">
        <v>43435</v>
      </c>
      <c r="B20">
        <v>140.1</v>
      </c>
      <c r="C20">
        <v>138</v>
      </c>
      <c r="D20">
        <v>141.9</v>
      </c>
      <c r="E20">
        <v>142.69999999999999</v>
      </c>
      <c r="F20">
        <v>139.9</v>
      </c>
      <c r="G20">
        <v>146.30000000000001</v>
      </c>
      <c r="H20">
        <v>137</v>
      </c>
      <c r="I20">
        <v>134.80000000000001</v>
      </c>
      <c r="J20">
        <v>138.30000000000001</v>
      </c>
      <c r="K20">
        <v>144.5</v>
      </c>
      <c r="L20">
        <v>135.4</v>
      </c>
      <c r="M20">
        <v>144.1</v>
      </c>
      <c r="N20">
        <v>137.19999999999999</v>
      </c>
    </row>
    <row r="21" spans="1:14" x14ac:dyDescent="0.2">
      <c r="A21" s="11">
        <v>43466</v>
      </c>
      <c r="B21">
        <v>139.6</v>
      </c>
      <c r="C21">
        <v>138</v>
      </c>
      <c r="D21">
        <v>141</v>
      </c>
      <c r="E21">
        <v>142.9</v>
      </c>
      <c r="F21">
        <v>140.4</v>
      </c>
      <c r="G21">
        <v>146.19999999999999</v>
      </c>
      <c r="H21">
        <v>135.69999999999999</v>
      </c>
      <c r="I21">
        <v>133.69999999999999</v>
      </c>
      <c r="J21">
        <v>136.80000000000001</v>
      </c>
      <c r="K21">
        <v>144.80000000000001</v>
      </c>
      <c r="L21">
        <v>134.1</v>
      </c>
      <c r="M21">
        <v>144.1</v>
      </c>
      <c r="N21">
        <v>136.30000000000001</v>
      </c>
    </row>
    <row r="22" spans="1:14" x14ac:dyDescent="0.2">
      <c r="A22" s="11">
        <v>43497</v>
      </c>
      <c r="B22">
        <v>139.9</v>
      </c>
      <c r="C22">
        <v>138.6</v>
      </c>
      <c r="D22">
        <v>141</v>
      </c>
      <c r="E22">
        <v>143.4</v>
      </c>
      <c r="F22">
        <v>141</v>
      </c>
      <c r="G22">
        <v>146.6</v>
      </c>
      <c r="H22">
        <v>135.6</v>
      </c>
      <c r="I22">
        <v>134.19999999999999</v>
      </c>
      <c r="J22">
        <v>136.5</v>
      </c>
      <c r="K22">
        <v>145.19999999999999</v>
      </c>
      <c r="L22">
        <v>134.1</v>
      </c>
      <c r="M22">
        <v>144.5</v>
      </c>
      <c r="N22">
        <v>136.4</v>
      </c>
    </row>
    <row r="23" spans="1:14" x14ac:dyDescent="0.2">
      <c r="A23" s="11">
        <v>43525</v>
      </c>
      <c r="B23">
        <v>140.4</v>
      </c>
      <c r="C23">
        <v>139.5</v>
      </c>
      <c r="D23">
        <v>141.19999999999999</v>
      </c>
      <c r="E23">
        <v>143.69999999999999</v>
      </c>
      <c r="F23">
        <v>141.4</v>
      </c>
      <c r="G23">
        <v>146.69999999999999</v>
      </c>
      <c r="H23">
        <v>136.5</v>
      </c>
      <c r="I23">
        <v>136</v>
      </c>
      <c r="J23">
        <v>136.69999999999999</v>
      </c>
      <c r="K23">
        <v>145.5</v>
      </c>
      <c r="L23">
        <v>135</v>
      </c>
      <c r="M23">
        <v>144.69999999999999</v>
      </c>
      <c r="N23">
        <v>137.30000000000001</v>
      </c>
    </row>
    <row r="24" spans="1:14" x14ac:dyDescent="0.2">
      <c r="A24" s="11">
        <v>43556</v>
      </c>
      <c r="B24">
        <v>141.19999999999999</v>
      </c>
      <c r="C24">
        <v>140.6</v>
      </c>
      <c r="D24">
        <v>141.69999999999999</v>
      </c>
      <c r="E24">
        <v>144.1</v>
      </c>
      <c r="F24">
        <v>141.80000000000001</v>
      </c>
      <c r="G24">
        <v>146.9</v>
      </c>
      <c r="H24">
        <v>137.69999999999999</v>
      </c>
      <c r="I24">
        <v>138.19999999999999</v>
      </c>
      <c r="J24">
        <v>137.4</v>
      </c>
      <c r="K24">
        <v>145.80000000000001</v>
      </c>
      <c r="L24">
        <v>136.19999999999999</v>
      </c>
      <c r="M24">
        <v>144.9</v>
      </c>
      <c r="N24">
        <v>138.4</v>
      </c>
    </row>
    <row r="25" spans="1:14" x14ac:dyDescent="0.2">
      <c r="A25" s="11">
        <v>43586</v>
      </c>
      <c r="B25">
        <v>142</v>
      </c>
      <c r="C25">
        <v>141.5</v>
      </c>
      <c r="D25">
        <v>142.4</v>
      </c>
      <c r="E25">
        <v>144.30000000000001</v>
      </c>
      <c r="F25">
        <v>142.1</v>
      </c>
      <c r="G25">
        <v>147.19999999999999</v>
      </c>
      <c r="H25">
        <v>139.19999999999999</v>
      </c>
      <c r="I25">
        <v>140.30000000000001</v>
      </c>
      <c r="J25">
        <v>138.6</v>
      </c>
      <c r="K25">
        <v>146.1</v>
      </c>
      <c r="L25">
        <v>137.5</v>
      </c>
      <c r="M25">
        <v>145.19999999999999</v>
      </c>
      <c r="N25">
        <v>139.6</v>
      </c>
    </row>
    <row r="26" spans="1:14" x14ac:dyDescent="0.2">
      <c r="A26" s="11">
        <v>43617</v>
      </c>
      <c r="B26">
        <v>142.9</v>
      </c>
      <c r="C26">
        <v>142.1</v>
      </c>
      <c r="D26">
        <v>143.6</v>
      </c>
      <c r="E26">
        <v>144.5</v>
      </c>
      <c r="F26">
        <v>142.1</v>
      </c>
      <c r="G26">
        <v>147.5</v>
      </c>
      <c r="H26">
        <v>141.1</v>
      </c>
      <c r="I26">
        <v>142.30000000000001</v>
      </c>
      <c r="J26">
        <v>140.4</v>
      </c>
      <c r="K26">
        <v>146.30000000000001</v>
      </c>
      <c r="L26">
        <v>139.30000000000001</v>
      </c>
      <c r="M26">
        <v>145.6</v>
      </c>
      <c r="N26">
        <v>140.9</v>
      </c>
    </row>
    <row r="27" spans="1:14" x14ac:dyDescent="0.2">
      <c r="A27" s="11">
        <v>43647</v>
      </c>
      <c r="B27">
        <v>144.19999999999999</v>
      </c>
      <c r="C27">
        <v>143.30000000000001</v>
      </c>
      <c r="D27">
        <v>144.9</v>
      </c>
      <c r="E27">
        <v>145.30000000000001</v>
      </c>
      <c r="F27">
        <v>143</v>
      </c>
      <c r="G27">
        <v>148.19999999999999</v>
      </c>
      <c r="H27">
        <v>142.80000000000001</v>
      </c>
      <c r="I27">
        <v>143.80000000000001</v>
      </c>
      <c r="J27">
        <v>142.30000000000001</v>
      </c>
      <c r="K27">
        <v>147</v>
      </c>
      <c r="L27">
        <v>141</v>
      </c>
      <c r="M27">
        <v>146.19999999999999</v>
      </c>
      <c r="N27">
        <v>142.6</v>
      </c>
    </row>
    <row r="28" spans="1:14" x14ac:dyDescent="0.2">
      <c r="A28" s="11">
        <v>43678</v>
      </c>
      <c r="B28">
        <v>145</v>
      </c>
      <c r="C28">
        <v>144.19999999999999</v>
      </c>
      <c r="D28">
        <v>145.69999999999999</v>
      </c>
      <c r="E28">
        <v>145.9</v>
      </c>
      <c r="F28">
        <v>143.80000000000001</v>
      </c>
      <c r="G28">
        <v>148.69999999999999</v>
      </c>
      <c r="H28">
        <v>143.80000000000001</v>
      </c>
      <c r="I28">
        <v>144.9</v>
      </c>
      <c r="J28">
        <v>143.19999999999999</v>
      </c>
      <c r="K28">
        <v>147.80000000000001</v>
      </c>
      <c r="L28">
        <v>141.9</v>
      </c>
      <c r="M28">
        <v>146.9</v>
      </c>
      <c r="N28">
        <v>143.5</v>
      </c>
    </row>
    <row r="29" spans="1:14" x14ac:dyDescent="0.2">
      <c r="A29" s="11">
        <v>43709</v>
      </c>
      <c r="B29">
        <v>145.80000000000001</v>
      </c>
      <c r="C29">
        <v>144.69999999999999</v>
      </c>
      <c r="D29">
        <v>146.69999999999999</v>
      </c>
      <c r="E29">
        <v>146.4</v>
      </c>
      <c r="F29">
        <v>144.19999999999999</v>
      </c>
      <c r="G29">
        <v>149.1</v>
      </c>
      <c r="H29">
        <v>145</v>
      </c>
      <c r="I29">
        <v>145.5</v>
      </c>
      <c r="J29">
        <v>144.80000000000001</v>
      </c>
      <c r="K29">
        <v>148.19999999999999</v>
      </c>
      <c r="L29">
        <v>143.1</v>
      </c>
      <c r="M29">
        <v>147.19999999999999</v>
      </c>
      <c r="N29">
        <v>144.6</v>
      </c>
    </row>
    <row r="30" spans="1:14" x14ac:dyDescent="0.2">
      <c r="A30" s="11">
        <v>43739</v>
      </c>
      <c r="B30">
        <v>147.19999999999999</v>
      </c>
      <c r="C30">
        <v>146</v>
      </c>
      <c r="D30">
        <v>148.30000000000001</v>
      </c>
      <c r="E30">
        <v>146.80000000000001</v>
      </c>
      <c r="F30">
        <v>144.69999999999999</v>
      </c>
      <c r="G30">
        <v>149.30000000000001</v>
      </c>
      <c r="H30">
        <v>147.80000000000001</v>
      </c>
      <c r="I30">
        <v>148.30000000000001</v>
      </c>
      <c r="J30">
        <v>147.5</v>
      </c>
      <c r="K30">
        <v>148.5</v>
      </c>
      <c r="L30">
        <v>145.9</v>
      </c>
      <c r="M30">
        <v>147.5</v>
      </c>
      <c r="N30">
        <v>147.1</v>
      </c>
    </row>
    <row r="31" spans="1:14" x14ac:dyDescent="0.2">
      <c r="A31" s="11">
        <v>43770</v>
      </c>
      <c r="B31">
        <v>148.6</v>
      </c>
      <c r="C31">
        <v>147</v>
      </c>
      <c r="D31">
        <v>149.9</v>
      </c>
      <c r="E31">
        <v>147.1</v>
      </c>
      <c r="F31">
        <v>145.1</v>
      </c>
      <c r="G31">
        <v>149.69999999999999</v>
      </c>
      <c r="H31">
        <v>150.19999999999999</v>
      </c>
      <c r="I31">
        <v>150.4</v>
      </c>
      <c r="J31">
        <v>150.1</v>
      </c>
      <c r="K31">
        <v>148.9</v>
      </c>
      <c r="L31">
        <v>148.19999999999999</v>
      </c>
      <c r="M31">
        <v>147.9</v>
      </c>
      <c r="N31">
        <v>149.1</v>
      </c>
    </row>
    <row r="32" spans="1:14" x14ac:dyDescent="0.2">
      <c r="A32" s="11">
        <v>43800</v>
      </c>
      <c r="B32">
        <v>150.4</v>
      </c>
      <c r="C32">
        <v>148.30000000000001</v>
      </c>
      <c r="D32">
        <v>152.30000000000001</v>
      </c>
      <c r="E32">
        <v>147.80000000000001</v>
      </c>
      <c r="F32">
        <v>145.6</v>
      </c>
      <c r="G32">
        <v>150.6</v>
      </c>
      <c r="H32">
        <v>153.6</v>
      </c>
      <c r="I32">
        <v>153.30000000000001</v>
      </c>
      <c r="J32">
        <v>153.69999999999999</v>
      </c>
      <c r="K32">
        <v>149.5</v>
      </c>
      <c r="L32">
        <v>151.4</v>
      </c>
      <c r="M32">
        <v>148.80000000000001</v>
      </c>
      <c r="N32">
        <v>151.69999999999999</v>
      </c>
    </row>
    <row r="33" spans="1:14" x14ac:dyDescent="0.2">
      <c r="A33" s="11">
        <v>43831</v>
      </c>
      <c r="B33">
        <v>150.19999999999999</v>
      </c>
      <c r="C33">
        <v>148.19999999999999</v>
      </c>
      <c r="D33">
        <v>151.9</v>
      </c>
      <c r="E33">
        <v>148.6</v>
      </c>
      <c r="F33">
        <v>146.4</v>
      </c>
      <c r="G33">
        <v>151.30000000000001</v>
      </c>
      <c r="H33">
        <v>152.1</v>
      </c>
      <c r="I33">
        <v>151.5</v>
      </c>
      <c r="J33">
        <v>152.5</v>
      </c>
      <c r="K33">
        <v>150.30000000000001</v>
      </c>
      <c r="L33">
        <v>150</v>
      </c>
      <c r="M33">
        <v>149.5</v>
      </c>
      <c r="N33">
        <v>150.69999999999999</v>
      </c>
    </row>
    <row r="34" spans="1:14" x14ac:dyDescent="0.2">
      <c r="A34" s="11">
        <v>43862</v>
      </c>
      <c r="B34">
        <v>149.1</v>
      </c>
      <c r="C34">
        <v>147.69999999999999</v>
      </c>
      <c r="D34">
        <v>150.4</v>
      </c>
      <c r="E34">
        <v>149</v>
      </c>
      <c r="F34">
        <v>146.80000000000001</v>
      </c>
      <c r="G34">
        <v>151.69999999999999</v>
      </c>
      <c r="H34">
        <v>149.30000000000001</v>
      </c>
      <c r="I34">
        <v>149.19999999999999</v>
      </c>
      <c r="J34">
        <v>149.5</v>
      </c>
      <c r="K34">
        <v>150.9</v>
      </c>
      <c r="L34">
        <v>147.30000000000001</v>
      </c>
      <c r="M34">
        <v>150</v>
      </c>
      <c r="N34">
        <v>148.5</v>
      </c>
    </row>
    <row r="35" spans="1:14" x14ac:dyDescent="0.2">
      <c r="A35" s="11">
        <v>43891</v>
      </c>
      <c r="B35">
        <v>148.6</v>
      </c>
      <c r="C35">
        <v>147.30000000000001</v>
      </c>
      <c r="D35">
        <v>149.80000000000001</v>
      </c>
      <c r="E35">
        <v>149.19999999999999</v>
      </c>
      <c r="F35">
        <v>146.9</v>
      </c>
      <c r="G35">
        <v>152</v>
      </c>
      <c r="H35">
        <v>148</v>
      </c>
      <c r="I35">
        <v>147.9</v>
      </c>
      <c r="J35">
        <v>148</v>
      </c>
      <c r="L35">
        <v>148</v>
      </c>
      <c r="N35">
        <v>148</v>
      </c>
    </row>
    <row r="36" spans="1:14" x14ac:dyDescent="0.2">
      <c r="A36" s="11">
        <v>43922</v>
      </c>
      <c r="B36">
        <v>151.4</v>
      </c>
      <c r="C36">
        <v>150.9</v>
      </c>
      <c r="D36">
        <v>151.9</v>
      </c>
      <c r="E36">
        <v>150.9</v>
      </c>
      <c r="F36">
        <v>149.9</v>
      </c>
      <c r="G36">
        <v>152.19999999999999</v>
      </c>
      <c r="H36">
        <v>152</v>
      </c>
      <c r="I36">
        <v>152.80000000000001</v>
      </c>
      <c r="J36">
        <v>151.6</v>
      </c>
      <c r="L36">
        <v>152</v>
      </c>
      <c r="N36">
        <v>152</v>
      </c>
    </row>
    <row r="37" spans="1:14" x14ac:dyDescent="0.2">
      <c r="A37" s="11">
        <v>43952</v>
      </c>
      <c r="B37">
        <v>150.9</v>
      </c>
      <c r="C37">
        <v>150.6</v>
      </c>
      <c r="D37">
        <v>151.19999999999999</v>
      </c>
      <c r="E37">
        <v>151.4</v>
      </c>
      <c r="F37">
        <v>150.19999999999999</v>
      </c>
      <c r="G37">
        <v>152.80000000000001</v>
      </c>
      <c r="H37">
        <v>150.4</v>
      </c>
      <c r="I37">
        <v>151.4</v>
      </c>
      <c r="J37">
        <v>149.9</v>
      </c>
      <c r="L37">
        <v>150.4</v>
      </c>
      <c r="N37">
        <v>150.4</v>
      </c>
    </row>
    <row r="38" spans="1:14" x14ac:dyDescent="0.2">
      <c r="A38" s="11">
        <v>43983</v>
      </c>
      <c r="B38">
        <v>151.80000000000001</v>
      </c>
      <c r="C38">
        <v>150.80000000000001</v>
      </c>
      <c r="D38">
        <v>152.69999999999999</v>
      </c>
      <c r="E38">
        <v>151.9</v>
      </c>
      <c r="F38">
        <v>149.19999999999999</v>
      </c>
      <c r="G38">
        <v>155.30000000000001</v>
      </c>
      <c r="H38">
        <v>151.69999999999999</v>
      </c>
      <c r="I38">
        <v>153.80000000000001</v>
      </c>
      <c r="J38">
        <v>150.6</v>
      </c>
      <c r="K38">
        <v>153.80000000000001</v>
      </c>
      <c r="L38">
        <v>149.69999999999999</v>
      </c>
      <c r="M38">
        <v>153.69999999999999</v>
      </c>
      <c r="N38">
        <v>150.5</v>
      </c>
    </row>
    <row r="39" spans="1:14" x14ac:dyDescent="0.2">
      <c r="A39" s="11">
        <v>44013</v>
      </c>
      <c r="B39">
        <v>153.9</v>
      </c>
      <c r="C39">
        <v>152.9</v>
      </c>
      <c r="D39">
        <v>154.69999999999999</v>
      </c>
      <c r="E39">
        <v>153.19999999999999</v>
      </c>
      <c r="F39">
        <v>151</v>
      </c>
      <c r="G39">
        <v>156</v>
      </c>
      <c r="H39">
        <v>154.69999999999999</v>
      </c>
      <c r="I39">
        <v>156.6</v>
      </c>
      <c r="J39">
        <v>153.6</v>
      </c>
      <c r="K39">
        <v>154.80000000000001</v>
      </c>
      <c r="L39">
        <v>152.9</v>
      </c>
      <c r="M39">
        <v>154.69999999999999</v>
      </c>
      <c r="N39">
        <v>153.30000000000001</v>
      </c>
    </row>
    <row r="40" spans="1:14" x14ac:dyDescent="0.2">
      <c r="A40" s="11">
        <v>44044</v>
      </c>
      <c r="B40">
        <v>154.69999999999999</v>
      </c>
      <c r="C40">
        <v>154</v>
      </c>
      <c r="D40">
        <v>155.4</v>
      </c>
      <c r="E40">
        <v>154.1</v>
      </c>
      <c r="F40">
        <v>152</v>
      </c>
      <c r="G40">
        <v>156.69999999999999</v>
      </c>
      <c r="H40">
        <v>155.6</v>
      </c>
      <c r="I40">
        <v>157.69999999999999</v>
      </c>
      <c r="J40">
        <v>154.4</v>
      </c>
      <c r="K40">
        <v>155.69999999999999</v>
      </c>
      <c r="L40">
        <v>153.80000000000001</v>
      </c>
      <c r="M40">
        <v>155.6</v>
      </c>
      <c r="N40">
        <v>154.19999999999999</v>
      </c>
    </row>
    <row r="41" spans="1:14" x14ac:dyDescent="0.2">
      <c r="A41" s="11">
        <v>44075</v>
      </c>
      <c r="B41">
        <v>156.4</v>
      </c>
      <c r="C41">
        <v>155.19999999999999</v>
      </c>
      <c r="D41">
        <v>157.5</v>
      </c>
      <c r="E41">
        <v>154.4</v>
      </c>
      <c r="F41">
        <v>152.19999999999999</v>
      </c>
      <c r="G41">
        <v>157.19999999999999</v>
      </c>
      <c r="H41">
        <v>158.80000000000001</v>
      </c>
      <c r="I41">
        <v>160.80000000000001</v>
      </c>
      <c r="J41">
        <v>157.80000000000001</v>
      </c>
      <c r="K41">
        <v>156</v>
      </c>
      <c r="L41">
        <v>156.9</v>
      </c>
      <c r="M41">
        <v>156</v>
      </c>
      <c r="N41">
        <v>156.80000000000001</v>
      </c>
    </row>
    <row r="42" spans="1:14" x14ac:dyDescent="0.2">
      <c r="A42" s="11">
        <v>44105</v>
      </c>
      <c r="B42">
        <v>158.4</v>
      </c>
      <c r="C42">
        <v>156.69999999999999</v>
      </c>
      <c r="D42">
        <v>159.80000000000001</v>
      </c>
      <c r="E42">
        <v>155.1</v>
      </c>
      <c r="F42">
        <v>153</v>
      </c>
      <c r="G42">
        <v>157.69999999999999</v>
      </c>
      <c r="H42">
        <v>162.19999999999999</v>
      </c>
      <c r="I42">
        <v>163.5</v>
      </c>
      <c r="J42">
        <v>161.5</v>
      </c>
      <c r="K42">
        <v>156.69999999999999</v>
      </c>
      <c r="L42">
        <v>160.1</v>
      </c>
      <c r="M42">
        <v>156.4</v>
      </c>
      <c r="N42">
        <v>159.69999999999999</v>
      </c>
    </row>
    <row r="43" spans="1:14" x14ac:dyDescent="0.2">
      <c r="A43" s="11">
        <v>44136</v>
      </c>
      <c r="B43">
        <v>158.9</v>
      </c>
      <c r="C43">
        <v>156.9</v>
      </c>
      <c r="D43">
        <v>160.69999999999999</v>
      </c>
      <c r="E43">
        <v>155.69999999999999</v>
      </c>
      <c r="F43">
        <v>153.5</v>
      </c>
      <c r="G43">
        <v>158.4</v>
      </c>
      <c r="H43">
        <v>162.80000000000001</v>
      </c>
      <c r="I43">
        <v>163.19999999999999</v>
      </c>
      <c r="J43">
        <v>162.6</v>
      </c>
      <c r="K43">
        <v>157.4</v>
      </c>
      <c r="L43">
        <v>160.69999999999999</v>
      </c>
      <c r="M43">
        <v>157.19999999999999</v>
      </c>
      <c r="N43">
        <v>160.30000000000001</v>
      </c>
    </row>
    <row r="44" spans="1:14" x14ac:dyDescent="0.2">
      <c r="A44" s="11">
        <v>44166</v>
      </c>
      <c r="B44">
        <v>157.30000000000001</v>
      </c>
      <c r="C44">
        <v>156</v>
      </c>
      <c r="D44">
        <v>158.5</v>
      </c>
      <c r="E44">
        <v>156.19999999999999</v>
      </c>
      <c r="F44">
        <v>153.80000000000001</v>
      </c>
      <c r="G44">
        <v>159.19999999999999</v>
      </c>
      <c r="H44">
        <v>158.69999999999999</v>
      </c>
      <c r="I44">
        <v>160.19999999999999</v>
      </c>
      <c r="J44">
        <v>157.9</v>
      </c>
      <c r="K44">
        <v>157.69999999999999</v>
      </c>
      <c r="L44">
        <v>156.9</v>
      </c>
      <c r="M44">
        <v>157.80000000000001</v>
      </c>
      <c r="N44">
        <v>157</v>
      </c>
    </row>
    <row r="45" spans="1:14" x14ac:dyDescent="0.2">
      <c r="A45" s="11">
        <v>44197</v>
      </c>
      <c r="B45">
        <v>156.30000000000001</v>
      </c>
      <c r="C45">
        <v>155.80000000000001</v>
      </c>
      <c r="D45">
        <v>156.80000000000001</v>
      </c>
      <c r="E45">
        <v>157.1</v>
      </c>
      <c r="F45">
        <v>154.80000000000001</v>
      </c>
      <c r="G45">
        <v>160.1</v>
      </c>
      <c r="H45">
        <v>155.5</v>
      </c>
      <c r="I45">
        <v>157.6</v>
      </c>
      <c r="J45">
        <v>154.30000000000001</v>
      </c>
      <c r="K45">
        <v>158.6</v>
      </c>
      <c r="L45">
        <v>153.9</v>
      </c>
      <c r="M45">
        <v>158.6</v>
      </c>
      <c r="N45">
        <v>154.69999999999999</v>
      </c>
    </row>
    <row r="46" spans="1:14" x14ac:dyDescent="0.2">
      <c r="A46" s="11">
        <v>44228</v>
      </c>
      <c r="B46">
        <v>156.6</v>
      </c>
      <c r="C46">
        <v>156.5</v>
      </c>
      <c r="D46">
        <v>156.69999999999999</v>
      </c>
      <c r="E46">
        <v>157.9</v>
      </c>
      <c r="F46">
        <v>155.69999999999999</v>
      </c>
      <c r="G46">
        <v>160.69999999999999</v>
      </c>
      <c r="H46">
        <v>155</v>
      </c>
      <c r="I46">
        <v>158</v>
      </c>
      <c r="J46">
        <v>153.5</v>
      </c>
      <c r="K46">
        <v>159.19999999999999</v>
      </c>
      <c r="L46">
        <v>153.80000000000001</v>
      </c>
      <c r="M46">
        <v>159.19999999999999</v>
      </c>
      <c r="N46">
        <v>154.69999999999999</v>
      </c>
    </row>
    <row r="47" spans="1:14" x14ac:dyDescent="0.2">
      <c r="A47" s="11">
        <v>44256</v>
      </c>
      <c r="B47">
        <v>156.80000000000001</v>
      </c>
      <c r="C47">
        <v>156.9</v>
      </c>
      <c r="D47">
        <v>156.69999999999999</v>
      </c>
      <c r="E47">
        <v>158.30000000000001</v>
      </c>
      <c r="F47">
        <v>156.19999999999999</v>
      </c>
      <c r="G47">
        <v>160.9</v>
      </c>
      <c r="H47">
        <v>155.1</v>
      </c>
      <c r="I47">
        <v>158.30000000000001</v>
      </c>
      <c r="J47">
        <v>153.4</v>
      </c>
      <c r="K47">
        <v>159.5</v>
      </c>
      <c r="L47">
        <v>154</v>
      </c>
      <c r="M47">
        <v>159.4</v>
      </c>
      <c r="N47">
        <v>154.9</v>
      </c>
    </row>
    <row r="48" spans="1:14" x14ac:dyDescent="0.2">
      <c r="A48" s="11">
        <v>44287</v>
      </c>
      <c r="B48">
        <v>157.80000000000001</v>
      </c>
      <c r="C48">
        <v>158</v>
      </c>
      <c r="D48">
        <v>157.6</v>
      </c>
      <c r="E48">
        <v>159.1</v>
      </c>
      <c r="F48">
        <v>157.1</v>
      </c>
      <c r="G48">
        <v>161.6</v>
      </c>
      <c r="H48">
        <v>156.30000000000001</v>
      </c>
      <c r="I48">
        <v>159.69999999999999</v>
      </c>
      <c r="J48">
        <v>154.4</v>
      </c>
      <c r="K48">
        <v>160.4</v>
      </c>
      <c r="L48">
        <v>155.1</v>
      </c>
      <c r="M48">
        <v>160.19999999999999</v>
      </c>
      <c r="N48">
        <v>156.1</v>
      </c>
    </row>
    <row r="49" spans="1:14" x14ac:dyDescent="0.2">
      <c r="A49" s="11">
        <v>44317</v>
      </c>
      <c r="B49">
        <v>160.4</v>
      </c>
      <c r="C49">
        <v>159.5</v>
      </c>
      <c r="D49">
        <v>161.1</v>
      </c>
      <c r="E49">
        <v>161.1</v>
      </c>
      <c r="F49">
        <v>158.1</v>
      </c>
      <c r="G49">
        <v>164.9</v>
      </c>
      <c r="H49">
        <v>159.4</v>
      </c>
      <c r="I49">
        <v>162.19999999999999</v>
      </c>
      <c r="J49">
        <v>157.9</v>
      </c>
      <c r="K49">
        <v>162.4</v>
      </c>
      <c r="L49">
        <v>158.19999999999999</v>
      </c>
      <c r="M49">
        <v>162.69999999999999</v>
      </c>
      <c r="N49">
        <v>158.69999999999999</v>
      </c>
    </row>
    <row r="50" spans="1:14" x14ac:dyDescent="0.2">
      <c r="A50" s="11">
        <v>44348</v>
      </c>
      <c r="B50">
        <v>161.30000000000001</v>
      </c>
      <c r="C50">
        <v>160.4</v>
      </c>
      <c r="D50">
        <v>162.1</v>
      </c>
      <c r="E50">
        <v>161.6</v>
      </c>
      <c r="F50">
        <v>158.5</v>
      </c>
      <c r="G50">
        <v>165.4</v>
      </c>
      <c r="H50">
        <v>161.1</v>
      </c>
      <c r="I50">
        <v>163.9</v>
      </c>
      <c r="J50">
        <v>159.5</v>
      </c>
      <c r="K50">
        <v>162.6</v>
      </c>
      <c r="L50">
        <v>160</v>
      </c>
      <c r="M50">
        <v>163.1</v>
      </c>
      <c r="N50">
        <v>160</v>
      </c>
    </row>
    <row r="51" spans="1:14" x14ac:dyDescent="0.2">
      <c r="A51" s="11">
        <v>44378</v>
      </c>
      <c r="B51">
        <v>162.5</v>
      </c>
      <c r="C51">
        <v>161.80000000000001</v>
      </c>
      <c r="D51">
        <v>163.19999999999999</v>
      </c>
      <c r="E51">
        <v>162.6</v>
      </c>
      <c r="F51">
        <v>159.6</v>
      </c>
      <c r="G51">
        <v>166.3</v>
      </c>
      <c r="H51">
        <v>162.6</v>
      </c>
      <c r="I51">
        <v>165.9</v>
      </c>
      <c r="J51">
        <v>160.69999999999999</v>
      </c>
      <c r="K51">
        <v>163.4</v>
      </c>
      <c r="L51">
        <v>161.80000000000001</v>
      </c>
      <c r="M51">
        <v>163.9</v>
      </c>
      <c r="N51">
        <v>161.6</v>
      </c>
    </row>
    <row r="52" spans="1:14" x14ac:dyDescent="0.2">
      <c r="A52" s="11">
        <v>44409</v>
      </c>
      <c r="B52">
        <v>162.9</v>
      </c>
      <c r="C52">
        <v>162.19999999999999</v>
      </c>
      <c r="D52">
        <v>163.6</v>
      </c>
      <c r="E52">
        <v>163.30000000000001</v>
      </c>
      <c r="F52">
        <v>160.4</v>
      </c>
      <c r="G52">
        <v>167</v>
      </c>
      <c r="H52">
        <v>162.5</v>
      </c>
      <c r="I52">
        <v>165.6</v>
      </c>
      <c r="J52">
        <v>160.9</v>
      </c>
      <c r="K52">
        <v>164.1</v>
      </c>
      <c r="L52">
        <v>161.69999999999999</v>
      </c>
      <c r="M52">
        <v>164.5</v>
      </c>
      <c r="N52">
        <v>161.80000000000001</v>
      </c>
    </row>
    <row r="53" spans="1:14" x14ac:dyDescent="0.2">
      <c r="A53" s="11">
        <v>44440</v>
      </c>
      <c r="B53">
        <v>163.19999999999999</v>
      </c>
      <c r="C53">
        <v>162.30000000000001</v>
      </c>
      <c r="D53">
        <v>164</v>
      </c>
      <c r="E53">
        <v>163.69999999999999</v>
      </c>
      <c r="F53">
        <v>160.6</v>
      </c>
      <c r="G53">
        <v>167.5</v>
      </c>
      <c r="H53">
        <v>162.69999999999999</v>
      </c>
      <c r="I53">
        <v>165.5</v>
      </c>
      <c r="J53">
        <v>161.1</v>
      </c>
      <c r="K53">
        <v>164.5</v>
      </c>
      <c r="L53">
        <v>161.9</v>
      </c>
      <c r="M53">
        <v>165.1</v>
      </c>
      <c r="N53">
        <v>161.80000000000001</v>
      </c>
    </row>
    <row r="54" spans="1:14" x14ac:dyDescent="0.2">
      <c r="A54" s="11">
        <v>44470</v>
      </c>
      <c r="B54">
        <v>165.5</v>
      </c>
      <c r="C54">
        <v>164.6</v>
      </c>
      <c r="D54">
        <v>166.3</v>
      </c>
      <c r="E54">
        <v>164.7</v>
      </c>
      <c r="F54">
        <v>161.80000000000001</v>
      </c>
      <c r="G54">
        <v>168.5</v>
      </c>
      <c r="H54">
        <v>166.5</v>
      </c>
      <c r="I54">
        <v>169.9</v>
      </c>
      <c r="J54">
        <v>164.6</v>
      </c>
      <c r="K54">
        <v>165.4</v>
      </c>
      <c r="L54">
        <v>165.8</v>
      </c>
      <c r="M54">
        <v>165.8</v>
      </c>
      <c r="N54">
        <v>165.4</v>
      </c>
    </row>
    <row r="55" spans="1:14" x14ac:dyDescent="0.2">
      <c r="A55" s="11">
        <v>44501</v>
      </c>
      <c r="B55">
        <v>166.7</v>
      </c>
      <c r="C55">
        <v>165.6</v>
      </c>
      <c r="D55">
        <v>167.6</v>
      </c>
      <c r="E55">
        <v>165.3</v>
      </c>
      <c r="F55">
        <v>162.30000000000001</v>
      </c>
      <c r="G55">
        <v>169.1</v>
      </c>
      <c r="H55">
        <v>168.3</v>
      </c>
      <c r="I55">
        <v>171.7</v>
      </c>
      <c r="J55">
        <v>166.5</v>
      </c>
      <c r="K55">
        <v>166.2</v>
      </c>
      <c r="L55">
        <v>167.3</v>
      </c>
      <c r="M55">
        <v>166.7</v>
      </c>
      <c r="N55">
        <v>166.7</v>
      </c>
    </row>
    <row r="56" spans="1:14" x14ac:dyDescent="0.2">
      <c r="A56" s="11">
        <v>44531</v>
      </c>
      <c r="B56">
        <v>166.2</v>
      </c>
      <c r="C56">
        <v>165.2</v>
      </c>
      <c r="D56">
        <v>167</v>
      </c>
      <c r="E56">
        <v>165.7</v>
      </c>
      <c r="F56">
        <v>162.5</v>
      </c>
      <c r="G56">
        <v>169.9</v>
      </c>
      <c r="H56">
        <v>166.7</v>
      </c>
      <c r="I56">
        <v>170.1</v>
      </c>
      <c r="J56">
        <v>164.7</v>
      </c>
      <c r="K56">
        <v>166.7</v>
      </c>
      <c r="L56">
        <v>165.6</v>
      </c>
      <c r="M56">
        <v>167.6</v>
      </c>
      <c r="N56">
        <v>165.1</v>
      </c>
    </row>
    <row r="57" spans="1:14" x14ac:dyDescent="0.2">
      <c r="A57" s="11">
        <v>44562</v>
      </c>
      <c r="B57">
        <v>165.7</v>
      </c>
      <c r="C57">
        <v>165</v>
      </c>
      <c r="D57">
        <v>166.4</v>
      </c>
      <c r="E57">
        <v>166.6</v>
      </c>
      <c r="F57">
        <v>163.4</v>
      </c>
      <c r="G57">
        <v>170.6</v>
      </c>
      <c r="H57">
        <v>164.8</v>
      </c>
      <c r="I57">
        <v>168</v>
      </c>
      <c r="J57">
        <v>163</v>
      </c>
      <c r="K57">
        <v>167.6</v>
      </c>
      <c r="L57">
        <v>163.80000000000001</v>
      </c>
      <c r="M57">
        <v>168.4</v>
      </c>
      <c r="N57">
        <v>163.80000000000001</v>
      </c>
    </row>
    <row r="58" spans="1:14" x14ac:dyDescent="0.2">
      <c r="A58" s="11">
        <v>44593</v>
      </c>
      <c r="B58">
        <v>166.1</v>
      </c>
      <c r="C58">
        <v>165.5</v>
      </c>
      <c r="D58">
        <v>166.7</v>
      </c>
      <c r="E58">
        <v>167.4</v>
      </c>
      <c r="F58">
        <v>164.3</v>
      </c>
      <c r="G58">
        <v>171.3</v>
      </c>
      <c r="H58">
        <v>164.8</v>
      </c>
      <c r="I58">
        <v>167.9</v>
      </c>
      <c r="J58">
        <v>163</v>
      </c>
      <c r="K58">
        <v>168.4</v>
      </c>
      <c r="L58">
        <v>163.80000000000001</v>
      </c>
      <c r="M58">
        <v>169.2</v>
      </c>
      <c r="N58">
        <v>164</v>
      </c>
    </row>
    <row r="59" spans="1:14" x14ac:dyDescent="0.2">
      <c r="A59" s="11">
        <v>44621</v>
      </c>
      <c r="B59">
        <v>167.7</v>
      </c>
      <c r="C59">
        <v>166.5</v>
      </c>
      <c r="D59">
        <v>168.7</v>
      </c>
      <c r="E59">
        <v>168.3</v>
      </c>
      <c r="F59">
        <v>165</v>
      </c>
      <c r="G59">
        <v>172.4</v>
      </c>
      <c r="H59">
        <v>166.9</v>
      </c>
      <c r="I59">
        <v>169.3</v>
      </c>
      <c r="J59">
        <v>165.7</v>
      </c>
      <c r="K59">
        <v>169.4</v>
      </c>
      <c r="L59">
        <v>165.9</v>
      </c>
      <c r="M59">
        <v>170.4</v>
      </c>
      <c r="N59">
        <v>165.7</v>
      </c>
    </row>
    <row r="60" spans="1:14" x14ac:dyDescent="0.2">
      <c r="A60" s="11">
        <v>44652</v>
      </c>
      <c r="B60">
        <v>170.1</v>
      </c>
      <c r="C60">
        <v>169.2</v>
      </c>
      <c r="D60">
        <v>170.8</v>
      </c>
      <c r="E60">
        <v>170.2</v>
      </c>
      <c r="F60">
        <v>167</v>
      </c>
      <c r="G60">
        <v>174.1</v>
      </c>
      <c r="H60">
        <v>169.8</v>
      </c>
      <c r="I60">
        <v>173.1</v>
      </c>
      <c r="J60">
        <v>168.1</v>
      </c>
      <c r="K60">
        <v>170.7</v>
      </c>
      <c r="L60">
        <v>169.3</v>
      </c>
      <c r="M60">
        <v>171.6</v>
      </c>
      <c r="N60">
        <v>168.8</v>
      </c>
    </row>
    <row r="61" spans="1:14" x14ac:dyDescent="0.2">
      <c r="A61" s="11">
        <v>44682</v>
      </c>
      <c r="B61">
        <v>171.7</v>
      </c>
      <c r="C61">
        <v>170.8</v>
      </c>
      <c r="D61">
        <v>172.5</v>
      </c>
      <c r="E61">
        <v>171.1</v>
      </c>
      <c r="F61">
        <v>167.8</v>
      </c>
      <c r="G61">
        <v>175.1</v>
      </c>
      <c r="H61">
        <v>172.5</v>
      </c>
      <c r="I61">
        <v>176.3</v>
      </c>
      <c r="J61">
        <v>170.3</v>
      </c>
      <c r="K61">
        <v>171.7</v>
      </c>
      <c r="L61">
        <v>171.7</v>
      </c>
      <c r="M61">
        <v>172.8</v>
      </c>
      <c r="N61">
        <v>170.9</v>
      </c>
    </row>
    <row r="62" spans="1:14" x14ac:dyDescent="0.2">
      <c r="A62" s="11">
        <v>44713</v>
      </c>
      <c r="B62">
        <v>172.6</v>
      </c>
      <c r="C62">
        <v>171.4</v>
      </c>
      <c r="D62">
        <v>173.6</v>
      </c>
      <c r="E62">
        <v>171.3</v>
      </c>
      <c r="F62">
        <v>167.9</v>
      </c>
      <c r="G62">
        <v>175.6</v>
      </c>
      <c r="H62">
        <v>174.1</v>
      </c>
      <c r="I62">
        <v>178.1</v>
      </c>
      <c r="J62">
        <v>172</v>
      </c>
      <c r="K62">
        <v>172.4</v>
      </c>
      <c r="L62">
        <v>172.8</v>
      </c>
      <c r="M62">
        <v>173.8</v>
      </c>
      <c r="N62">
        <v>171.7</v>
      </c>
    </row>
    <row r="63" spans="1:14" x14ac:dyDescent="0.2">
      <c r="A63" s="11">
        <v>44743</v>
      </c>
      <c r="B63">
        <v>173.4</v>
      </c>
      <c r="C63">
        <v>172.3</v>
      </c>
      <c r="D63">
        <v>174.3</v>
      </c>
      <c r="E63">
        <v>172.2</v>
      </c>
      <c r="F63">
        <v>168.8</v>
      </c>
      <c r="G63">
        <v>176.5</v>
      </c>
      <c r="H63">
        <v>174.7</v>
      </c>
      <c r="I63">
        <v>178.7</v>
      </c>
      <c r="J63">
        <v>172.4</v>
      </c>
      <c r="K63">
        <v>173.4</v>
      </c>
      <c r="L63">
        <v>173.3</v>
      </c>
      <c r="M63">
        <v>174.8</v>
      </c>
      <c r="N63">
        <v>172.3</v>
      </c>
    </row>
    <row r="64" spans="1:14" x14ac:dyDescent="0.2">
      <c r="A64" s="11">
        <v>44774</v>
      </c>
      <c r="B64">
        <v>174.3</v>
      </c>
      <c r="C64">
        <v>173.1</v>
      </c>
      <c r="D64">
        <v>175.3</v>
      </c>
      <c r="E64">
        <v>173.1</v>
      </c>
      <c r="F64">
        <v>169.8</v>
      </c>
      <c r="G64">
        <v>177.3</v>
      </c>
      <c r="H64">
        <v>175.7</v>
      </c>
      <c r="I64">
        <v>179.3</v>
      </c>
      <c r="J64">
        <v>173.6</v>
      </c>
      <c r="K64">
        <v>174.4</v>
      </c>
      <c r="L64">
        <v>174.2</v>
      </c>
      <c r="M64">
        <v>175.7</v>
      </c>
      <c r="N64">
        <v>173.2</v>
      </c>
    </row>
    <row r="65" spans="1:14" x14ac:dyDescent="0.2">
      <c r="A65" s="11">
        <v>44805</v>
      </c>
      <c r="B65">
        <v>175.3</v>
      </c>
      <c r="C65">
        <v>174.1</v>
      </c>
      <c r="D65">
        <v>176.4</v>
      </c>
      <c r="E65">
        <v>173.9</v>
      </c>
      <c r="F65">
        <v>170.5</v>
      </c>
      <c r="G65">
        <v>178.1</v>
      </c>
      <c r="H65">
        <v>177.1</v>
      </c>
      <c r="I65">
        <v>180.7</v>
      </c>
      <c r="J65">
        <v>175.2</v>
      </c>
      <c r="K65">
        <v>175.2</v>
      </c>
      <c r="L65">
        <v>175.6</v>
      </c>
      <c r="M65">
        <v>176.5</v>
      </c>
      <c r="N65">
        <v>174.5</v>
      </c>
    </row>
    <row r="66" spans="1:14" x14ac:dyDescent="0.2">
      <c r="A66" s="11">
        <v>44835</v>
      </c>
      <c r="B66">
        <v>176.7</v>
      </c>
      <c r="C66">
        <v>175.3</v>
      </c>
      <c r="D66">
        <v>177.9</v>
      </c>
      <c r="E66">
        <v>174.8</v>
      </c>
      <c r="F66">
        <v>171.6</v>
      </c>
      <c r="G66">
        <v>178.9</v>
      </c>
      <c r="H66">
        <v>178.9</v>
      </c>
      <c r="I66">
        <v>182.2</v>
      </c>
      <c r="J66">
        <v>177</v>
      </c>
      <c r="K66">
        <v>176.2</v>
      </c>
      <c r="L66">
        <v>177.2</v>
      </c>
      <c r="M66">
        <v>177.3</v>
      </c>
      <c r="N66">
        <v>176.2</v>
      </c>
    </row>
    <row r="67" spans="1:14" x14ac:dyDescent="0.2">
      <c r="A67" s="11">
        <v>44866</v>
      </c>
      <c r="B67">
        <v>176.5</v>
      </c>
      <c r="C67">
        <v>175</v>
      </c>
      <c r="D67">
        <v>177.8</v>
      </c>
      <c r="E67">
        <v>175.6</v>
      </c>
      <c r="F67">
        <v>172.2</v>
      </c>
      <c r="G67">
        <v>179.7</v>
      </c>
      <c r="H67">
        <v>177.6</v>
      </c>
      <c r="I67">
        <v>180.1</v>
      </c>
      <c r="J67">
        <v>176.3</v>
      </c>
      <c r="K67">
        <v>176.9</v>
      </c>
      <c r="L67">
        <v>176.1</v>
      </c>
      <c r="M67">
        <v>178.2</v>
      </c>
      <c r="N67">
        <v>175.3</v>
      </c>
    </row>
    <row r="68" spans="1:14" x14ac:dyDescent="0.2">
      <c r="A68" s="11">
        <v>44896</v>
      </c>
      <c r="B68">
        <v>175.7</v>
      </c>
      <c r="C68">
        <v>174.1</v>
      </c>
      <c r="D68">
        <v>177.1</v>
      </c>
      <c r="E68">
        <v>176.1</v>
      </c>
      <c r="F68">
        <v>172.4</v>
      </c>
      <c r="G68">
        <v>180.6</v>
      </c>
      <c r="H68">
        <v>175.3</v>
      </c>
      <c r="I68">
        <v>177.2</v>
      </c>
      <c r="J68">
        <v>174.2</v>
      </c>
      <c r="K68">
        <v>177.4</v>
      </c>
      <c r="L68">
        <v>173.8</v>
      </c>
      <c r="M68">
        <v>179.1</v>
      </c>
      <c r="N68">
        <v>173.2</v>
      </c>
    </row>
    <row r="69" spans="1:14" x14ac:dyDescent="0.2">
      <c r="A69" s="11">
        <v>44927</v>
      </c>
      <c r="B69">
        <v>176.5</v>
      </c>
      <c r="C69">
        <v>174.9</v>
      </c>
      <c r="D69">
        <v>177.8</v>
      </c>
      <c r="E69">
        <v>177</v>
      </c>
      <c r="F69">
        <v>173.4</v>
      </c>
      <c r="G69">
        <v>181.5</v>
      </c>
      <c r="H69">
        <v>175.9</v>
      </c>
      <c r="I69">
        <v>177.8</v>
      </c>
      <c r="J69">
        <v>174.7</v>
      </c>
      <c r="K69">
        <v>178.4</v>
      </c>
      <c r="L69">
        <v>174.4</v>
      </c>
      <c r="M69">
        <v>180</v>
      </c>
      <c r="N69">
        <v>173.9</v>
      </c>
    </row>
    <row r="70" spans="1:14" x14ac:dyDescent="0.2">
      <c r="A70" s="11">
        <v>44958</v>
      </c>
      <c r="B70">
        <v>176.8</v>
      </c>
      <c r="C70">
        <v>175.6</v>
      </c>
      <c r="D70">
        <v>177.9</v>
      </c>
      <c r="E70">
        <v>177.8</v>
      </c>
      <c r="F70">
        <v>174.4</v>
      </c>
      <c r="G70">
        <v>182.2</v>
      </c>
      <c r="H70">
        <v>175.6</v>
      </c>
      <c r="I70">
        <v>177.9</v>
      </c>
      <c r="J70">
        <v>174.4</v>
      </c>
      <c r="K70">
        <v>179.3</v>
      </c>
      <c r="L70">
        <v>174.1</v>
      </c>
      <c r="M70">
        <v>180.8</v>
      </c>
      <c r="N70">
        <v>173.9</v>
      </c>
    </row>
    <row r="71" spans="1:14" x14ac:dyDescent="0.2">
      <c r="A71" s="11">
        <v>44986</v>
      </c>
      <c r="B71">
        <v>177.2</v>
      </c>
      <c r="C71">
        <v>176.3</v>
      </c>
      <c r="D71">
        <v>178</v>
      </c>
      <c r="E71">
        <v>178.3</v>
      </c>
      <c r="F71">
        <v>174.8</v>
      </c>
      <c r="G71">
        <v>182.8</v>
      </c>
      <c r="H71">
        <v>175.9</v>
      </c>
      <c r="I71">
        <v>179.1</v>
      </c>
      <c r="J71">
        <v>174.2</v>
      </c>
      <c r="K71">
        <v>179.8</v>
      </c>
      <c r="L71">
        <v>174.5</v>
      </c>
      <c r="M71">
        <v>181.4</v>
      </c>
      <c r="N71">
        <v>174.2</v>
      </c>
    </row>
    <row r="72" spans="1:14" x14ac:dyDescent="0.2">
      <c r="A72" s="11">
        <v>45017</v>
      </c>
      <c r="B72">
        <v>178.1</v>
      </c>
      <c r="C72">
        <v>177.4</v>
      </c>
      <c r="D72">
        <v>178.8</v>
      </c>
      <c r="E72">
        <v>179.3</v>
      </c>
      <c r="F72">
        <v>175.9</v>
      </c>
      <c r="G72">
        <v>183.7</v>
      </c>
      <c r="H72">
        <v>176.8</v>
      </c>
      <c r="I72">
        <v>180.3</v>
      </c>
      <c r="J72">
        <v>174.8</v>
      </c>
      <c r="K72">
        <v>180.9</v>
      </c>
      <c r="L72">
        <v>175.3</v>
      </c>
      <c r="M72">
        <v>182.2</v>
      </c>
      <c r="N72">
        <v>175.2</v>
      </c>
    </row>
    <row r="73" spans="1:14" x14ac:dyDescent="0.2">
      <c r="A73" s="11">
        <v>45047</v>
      </c>
      <c r="B73">
        <v>179.1</v>
      </c>
      <c r="C73">
        <v>178.2</v>
      </c>
      <c r="D73">
        <v>179.8</v>
      </c>
      <c r="E73">
        <v>179.9</v>
      </c>
      <c r="F73">
        <v>176.4</v>
      </c>
      <c r="G73">
        <v>184.3</v>
      </c>
      <c r="H73">
        <v>178</v>
      </c>
      <c r="I73">
        <v>181.5</v>
      </c>
      <c r="J73">
        <v>176.2</v>
      </c>
      <c r="K73">
        <v>181.4</v>
      </c>
      <c r="L73">
        <v>176.5</v>
      </c>
      <c r="M73">
        <v>182.9</v>
      </c>
      <c r="N73">
        <v>176.2</v>
      </c>
    </row>
    <row r="74" spans="1:14" x14ac:dyDescent="0.2">
      <c r="A74" s="11">
        <v>45078</v>
      </c>
      <c r="B74">
        <v>181</v>
      </c>
      <c r="C74">
        <v>179.9</v>
      </c>
      <c r="D74">
        <v>181.9</v>
      </c>
      <c r="E74">
        <v>180.1</v>
      </c>
      <c r="F74">
        <v>176.4</v>
      </c>
      <c r="G74">
        <v>184.8</v>
      </c>
      <c r="H74">
        <v>181.9</v>
      </c>
      <c r="I74">
        <v>186.1</v>
      </c>
      <c r="J74">
        <v>179.6</v>
      </c>
      <c r="K74">
        <v>181.7</v>
      </c>
      <c r="L74">
        <v>180.1</v>
      </c>
      <c r="M74">
        <v>183.5</v>
      </c>
      <c r="N74">
        <v>179.1</v>
      </c>
    </row>
    <row r="75" spans="1:14" x14ac:dyDescent="0.2">
      <c r="A75" s="11">
        <v>45108</v>
      </c>
      <c r="B75">
        <v>186.3</v>
      </c>
      <c r="C75">
        <v>184.7</v>
      </c>
      <c r="D75">
        <v>187.6</v>
      </c>
      <c r="E75">
        <v>180.8</v>
      </c>
      <c r="F75">
        <v>177.2</v>
      </c>
      <c r="G75">
        <v>185.4</v>
      </c>
      <c r="H75">
        <v>192.7</v>
      </c>
      <c r="I75">
        <v>198.6</v>
      </c>
      <c r="J75">
        <v>189.4</v>
      </c>
      <c r="K75">
        <v>182.4</v>
      </c>
      <c r="L75">
        <v>190.4</v>
      </c>
      <c r="M75">
        <v>184.1</v>
      </c>
      <c r="N75">
        <v>187.8</v>
      </c>
    </row>
    <row r="76" spans="1:14" x14ac:dyDescent="0.2">
      <c r="A76" s="11">
        <v>45139</v>
      </c>
      <c r="B76">
        <v>186.2</v>
      </c>
      <c r="C76">
        <v>184.5</v>
      </c>
      <c r="D76">
        <v>187.6</v>
      </c>
      <c r="E76">
        <v>181.5</v>
      </c>
      <c r="F76">
        <v>177.9</v>
      </c>
      <c r="G76">
        <v>185.9</v>
      </c>
      <c r="H76">
        <v>191.6</v>
      </c>
      <c r="I76">
        <v>196.5</v>
      </c>
      <c r="J76">
        <v>188.9</v>
      </c>
      <c r="K76">
        <v>183.1</v>
      </c>
      <c r="L76">
        <v>189.4</v>
      </c>
      <c r="M76">
        <v>184.7</v>
      </c>
      <c r="N76">
        <v>187.1</v>
      </c>
    </row>
    <row r="77" spans="1:14" x14ac:dyDescent="0.2">
      <c r="A77" s="11">
        <v>45170</v>
      </c>
      <c r="B77">
        <v>184.1</v>
      </c>
      <c r="C77">
        <v>182.2</v>
      </c>
      <c r="D77">
        <v>185.8</v>
      </c>
      <c r="E77">
        <v>181.8</v>
      </c>
      <c r="F77">
        <v>178.1</v>
      </c>
      <c r="G77">
        <v>186.3</v>
      </c>
      <c r="H77">
        <v>187</v>
      </c>
      <c r="I77">
        <v>189.8</v>
      </c>
      <c r="J77">
        <v>185.5</v>
      </c>
      <c r="K77">
        <v>183.4</v>
      </c>
      <c r="L77">
        <v>185</v>
      </c>
      <c r="M77">
        <v>185.1</v>
      </c>
      <c r="N77">
        <v>183.5</v>
      </c>
    </row>
    <row r="78" spans="1:14" x14ac:dyDescent="0.2">
      <c r="A78" s="11">
        <v>45200</v>
      </c>
      <c r="B78">
        <v>185.3</v>
      </c>
      <c r="C78">
        <v>183.4</v>
      </c>
      <c r="D78">
        <v>187</v>
      </c>
      <c r="E78">
        <v>182.4</v>
      </c>
      <c r="F78">
        <v>178.9</v>
      </c>
      <c r="G78">
        <v>186.7</v>
      </c>
      <c r="H78">
        <v>188.8</v>
      </c>
      <c r="I78">
        <v>191.7</v>
      </c>
      <c r="J78">
        <v>187.3</v>
      </c>
      <c r="K78">
        <v>184</v>
      </c>
      <c r="L78">
        <v>186.7</v>
      </c>
      <c r="M78">
        <v>185.5</v>
      </c>
      <c r="N78">
        <v>185.2</v>
      </c>
    </row>
    <row r="79" spans="1:14" x14ac:dyDescent="0.2">
      <c r="A79" s="11">
        <v>45231</v>
      </c>
      <c r="B79">
        <v>186.3</v>
      </c>
      <c r="C79">
        <v>184.2</v>
      </c>
      <c r="D79">
        <v>188.2</v>
      </c>
      <c r="E79">
        <v>182.8</v>
      </c>
      <c r="F79">
        <v>179.2</v>
      </c>
      <c r="G79">
        <v>187.2</v>
      </c>
      <c r="H79">
        <v>190.5</v>
      </c>
      <c r="I79">
        <v>193.5</v>
      </c>
      <c r="J79">
        <v>189</v>
      </c>
      <c r="K79">
        <v>184.4</v>
      </c>
      <c r="L79">
        <v>188.4</v>
      </c>
      <c r="M79">
        <v>186</v>
      </c>
      <c r="N79">
        <v>186.6</v>
      </c>
    </row>
    <row r="80" spans="1:14" x14ac:dyDescent="0.2">
      <c r="A80" s="11">
        <v>45261</v>
      </c>
      <c r="B80">
        <v>185.7</v>
      </c>
      <c r="C80">
        <v>183.6</v>
      </c>
      <c r="D80">
        <v>187.6</v>
      </c>
      <c r="E80">
        <v>182.9</v>
      </c>
      <c r="F80">
        <v>179.2</v>
      </c>
      <c r="G80">
        <v>187.7</v>
      </c>
      <c r="H80">
        <v>189.1</v>
      </c>
      <c r="I80">
        <v>191.8</v>
      </c>
      <c r="J80">
        <v>187.6</v>
      </c>
      <c r="K80">
        <v>184.6</v>
      </c>
      <c r="L80">
        <v>187</v>
      </c>
      <c r="M80">
        <v>186.5</v>
      </c>
      <c r="N80">
        <v>185.2</v>
      </c>
    </row>
    <row r="81" spans="1:14" x14ac:dyDescent="0.2">
      <c r="A81" s="11">
        <v>45292</v>
      </c>
      <c r="B81">
        <v>185.5</v>
      </c>
      <c r="C81">
        <v>183.5</v>
      </c>
      <c r="D81">
        <v>187.3</v>
      </c>
      <c r="E81">
        <v>183.4</v>
      </c>
      <c r="F81">
        <v>179.7</v>
      </c>
      <c r="G81">
        <v>188.1</v>
      </c>
      <c r="H81">
        <v>188.1</v>
      </c>
      <c r="I81">
        <v>190.6</v>
      </c>
      <c r="J81">
        <v>186.6</v>
      </c>
      <c r="K81">
        <v>185.1</v>
      </c>
      <c r="L81">
        <v>186</v>
      </c>
      <c r="M81">
        <v>187</v>
      </c>
      <c r="N81">
        <v>184.5</v>
      </c>
    </row>
    <row r="82" spans="1:14" x14ac:dyDescent="0.2">
      <c r="A82" s="11">
        <v>45323</v>
      </c>
      <c r="B82">
        <v>185.8</v>
      </c>
      <c r="C82">
        <v>184</v>
      </c>
      <c r="D82">
        <v>187.4</v>
      </c>
      <c r="E82">
        <v>183.9</v>
      </c>
      <c r="F82">
        <v>180.2</v>
      </c>
      <c r="G82">
        <v>188.4</v>
      </c>
      <c r="H82">
        <v>188.2</v>
      </c>
      <c r="I82">
        <v>190.8</v>
      </c>
      <c r="J82">
        <v>186.7</v>
      </c>
      <c r="K82">
        <v>185.6</v>
      </c>
      <c r="L82">
        <v>186.1</v>
      </c>
      <c r="M82">
        <v>187.3</v>
      </c>
      <c r="N82">
        <v>184.8</v>
      </c>
    </row>
    <row r="83" spans="1:14" x14ac:dyDescent="0.2">
      <c r="A83" s="11">
        <v>45352</v>
      </c>
      <c r="B83">
        <v>185.8</v>
      </c>
      <c r="C83">
        <v>183.6</v>
      </c>
      <c r="D83">
        <v>187.8</v>
      </c>
      <c r="E83">
        <v>184.2</v>
      </c>
      <c r="F83">
        <v>180.5</v>
      </c>
      <c r="G83">
        <v>188.8</v>
      </c>
      <c r="H83">
        <v>187.7</v>
      </c>
      <c r="I83">
        <v>189.3</v>
      </c>
      <c r="J83">
        <v>186.8</v>
      </c>
      <c r="K83">
        <v>186</v>
      </c>
      <c r="L83">
        <v>185.6</v>
      </c>
      <c r="M83">
        <v>187.9</v>
      </c>
      <c r="N83">
        <v>184.3</v>
      </c>
    </row>
    <row r="84" spans="1:14" x14ac:dyDescent="0.2">
      <c r="A84" s="11">
        <v>45383</v>
      </c>
      <c r="B84">
        <v>186.7</v>
      </c>
      <c r="C84">
        <v>184.7</v>
      </c>
      <c r="D84">
        <v>188.5</v>
      </c>
      <c r="E84">
        <v>185.1</v>
      </c>
      <c r="F84">
        <v>181.5</v>
      </c>
      <c r="G84">
        <v>189.7</v>
      </c>
      <c r="H84">
        <v>188.7</v>
      </c>
      <c r="I84">
        <v>190.7</v>
      </c>
      <c r="J84">
        <v>187.6</v>
      </c>
      <c r="K84">
        <v>187</v>
      </c>
      <c r="L84">
        <v>186.5</v>
      </c>
      <c r="M84">
        <v>188.8</v>
      </c>
      <c r="N84">
        <v>185.3</v>
      </c>
    </row>
    <row r="85" spans="1:14" x14ac:dyDescent="0.2">
      <c r="A85" s="11">
        <v>45413</v>
      </c>
      <c r="B85">
        <v>187.7</v>
      </c>
      <c r="C85">
        <v>185.7</v>
      </c>
      <c r="D85">
        <v>189.4</v>
      </c>
      <c r="E85">
        <v>185.5</v>
      </c>
      <c r="F85">
        <v>181.9</v>
      </c>
      <c r="G85">
        <v>190.2</v>
      </c>
      <c r="H85">
        <v>190.1</v>
      </c>
      <c r="I85">
        <v>192.7</v>
      </c>
      <c r="J85">
        <v>188.8</v>
      </c>
      <c r="K85">
        <v>187.5</v>
      </c>
      <c r="L85">
        <v>187.8</v>
      </c>
      <c r="M85">
        <v>189.3</v>
      </c>
      <c r="N85">
        <v>186.5</v>
      </c>
    </row>
    <row r="86" spans="1:14" x14ac:dyDescent="0.2">
      <c r="A86" s="11">
        <v>45444</v>
      </c>
      <c r="B86">
        <v>190.2</v>
      </c>
      <c r="C86">
        <v>187.8</v>
      </c>
      <c r="D86">
        <v>192.2</v>
      </c>
      <c r="E86">
        <v>185.8</v>
      </c>
      <c r="F86">
        <v>182</v>
      </c>
      <c r="G86">
        <v>190.7</v>
      </c>
      <c r="H86">
        <v>195.4</v>
      </c>
      <c r="I86">
        <v>198.8</v>
      </c>
      <c r="J86">
        <v>193.4</v>
      </c>
      <c r="K86">
        <v>187.8</v>
      </c>
      <c r="L86">
        <v>192.8</v>
      </c>
      <c r="M86">
        <v>189.9</v>
      </c>
      <c r="N86">
        <v>190.4</v>
      </c>
    </row>
    <row r="87" spans="1:14" x14ac:dyDescent="0.2">
      <c r="A87" s="11">
        <v>45474</v>
      </c>
      <c r="B87">
        <v>193</v>
      </c>
      <c r="C87">
        <v>190.3</v>
      </c>
      <c r="D87">
        <v>195.3</v>
      </c>
      <c r="E87">
        <v>186.9</v>
      </c>
      <c r="F87">
        <v>183</v>
      </c>
      <c r="G87">
        <v>191.8</v>
      </c>
      <c r="H87">
        <v>200.1</v>
      </c>
      <c r="I87">
        <v>203.6</v>
      </c>
      <c r="J87">
        <v>198.2</v>
      </c>
      <c r="K87">
        <v>188.9</v>
      </c>
      <c r="L87">
        <v>197.3</v>
      </c>
      <c r="M87">
        <v>191.1</v>
      </c>
      <c r="N87">
        <v>194.3</v>
      </c>
    </row>
    <row r="88" spans="1:14" x14ac:dyDescent="0.2">
      <c r="A88" s="11">
        <v>45505</v>
      </c>
      <c r="B88">
        <v>193</v>
      </c>
      <c r="C88">
        <v>190.3</v>
      </c>
      <c r="D88">
        <v>195.4</v>
      </c>
      <c r="E88">
        <v>187.6</v>
      </c>
      <c r="F88">
        <v>183.9</v>
      </c>
      <c r="G88">
        <v>192.2</v>
      </c>
      <c r="H88">
        <v>199.4</v>
      </c>
      <c r="I88">
        <v>202</v>
      </c>
      <c r="J88">
        <v>197.9</v>
      </c>
      <c r="K88">
        <v>189.6</v>
      </c>
      <c r="L88">
        <v>196.7</v>
      </c>
      <c r="M88">
        <v>191.7</v>
      </c>
      <c r="N88">
        <v>194</v>
      </c>
    </row>
    <row r="89" spans="1:14" x14ac:dyDescent="0.2">
      <c r="A89" s="11">
        <v>45536</v>
      </c>
      <c r="B89">
        <v>194.2</v>
      </c>
      <c r="C89">
        <v>191.4</v>
      </c>
      <c r="D89">
        <v>196.7</v>
      </c>
      <c r="E89">
        <v>188.1</v>
      </c>
      <c r="F89">
        <v>184.3</v>
      </c>
      <c r="G89">
        <v>192.8</v>
      </c>
      <c r="H89">
        <v>201.5</v>
      </c>
      <c r="I89">
        <v>204.4</v>
      </c>
      <c r="J89">
        <v>199.9</v>
      </c>
      <c r="K89">
        <v>190.1</v>
      </c>
      <c r="L89">
        <v>198.6</v>
      </c>
      <c r="M89">
        <v>192.3</v>
      </c>
      <c r="N89">
        <v>195.6</v>
      </c>
    </row>
    <row r="90" spans="1:14" x14ac:dyDescent="0.2">
      <c r="A90" s="11">
        <v>45566</v>
      </c>
      <c r="B90">
        <v>196.8</v>
      </c>
      <c r="C90">
        <v>193.7</v>
      </c>
      <c r="D90">
        <v>199.5</v>
      </c>
      <c r="E90">
        <v>189</v>
      </c>
      <c r="F90">
        <v>185.4</v>
      </c>
      <c r="G90">
        <v>193.6</v>
      </c>
      <c r="H90">
        <v>206</v>
      </c>
      <c r="I90">
        <v>208.9</v>
      </c>
      <c r="J90">
        <v>204.3</v>
      </c>
      <c r="K90">
        <v>191.1</v>
      </c>
      <c r="L90">
        <v>202.9</v>
      </c>
      <c r="M90">
        <v>193.1</v>
      </c>
      <c r="N90">
        <v>199.5</v>
      </c>
    </row>
    <row r="91" spans="1:14" x14ac:dyDescent="0.2">
      <c r="A91" s="11">
        <v>45597</v>
      </c>
      <c r="B91">
        <v>196.5</v>
      </c>
      <c r="C91">
        <v>193.2</v>
      </c>
      <c r="D91">
        <v>199.4</v>
      </c>
      <c r="E91">
        <v>189.5</v>
      </c>
      <c r="F91">
        <v>185.7</v>
      </c>
      <c r="G91">
        <v>194.2</v>
      </c>
      <c r="H91">
        <v>204.9</v>
      </c>
      <c r="I91">
        <v>207</v>
      </c>
      <c r="J91">
        <v>203.6</v>
      </c>
      <c r="K91">
        <v>191.6</v>
      </c>
      <c r="L91">
        <v>201.8</v>
      </c>
      <c r="M91">
        <v>193.6</v>
      </c>
      <c r="N91">
        <v>198.6</v>
      </c>
    </row>
    <row r="92" spans="1:14" x14ac:dyDescent="0.2">
      <c r="A92" s="11">
        <v>45627</v>
      </c>
      <c r="B92">
        <v>195.4</v>
      </c>
      <c r="C92">
        <v>192</v>
      </c>
      <c r="D92">
        <v>198.4</v>
      </c>
      <c r="E92">
        <v>189.5</v>
      </c>
      <c r="F92">
        <v>185.5</v>
      </c>
      <c r="G92">
        <v>194.7</v>
      </c>
      <c r="H92">
        <v>202.4</v>
      </c>
      <c r="I92">
        <v>204</v>
      </c>
      <c r="J92">
        <v>201.5</v>
      </c>
      <c r="K92">
        <v>191.7</v>
      </c>
      <c r="L92">
        <v>199.5</v>
      </c>
      <c r="M92">
        <v>194.1</v>
      </c>
      <c r="N92">
        <v>196.4</v>
      </c>
    </row>
    <row r="93" spans="1:14" x14ac:dyDescent="0.2">
      <c r="A93" s="11">
        <v>45658</v>
      </c>
      <c r="B93">
        <v>193.4</v>
      </c>
      <c r="C93">
        <v>190.6</v>
      </c>
      <c r="D93">
        <v>195.9</v>
      </c>
      <c r="E93">
        <v>190.2</v>
      </c>
      <c r="F93">
        <v>186.2</v>
      </c>
      <c r="G93">
        <v>195.2</v>
      </c>
      <c r="H93">
        <v>197.3</v>
      </c>
      <c r="I93">
        <v>198.8</v>
      </c>
      <c r="J93">
        <v>196.5</v>
      </c>
      <c r="K93">
        <v>192.4</v>
      </c>
      <c r="L93">
        <v>194.6</v>
      </c>
      <c r="M93">
        <v>194.7</v>
      </c>
      <c r="N93">
        <v>192.5</v>
      </c>
    </row>
    <row r="94" spans="1:14" x14ac:dyDescent="0.2">
      <c r="A94" s="11">
        <v>45689</v>
      </c>
      <c r="B94">
        <v>192.5</v>
      </c>
      <c r="C94">
        <v>190.1</v>
      </c>
      <c r="D94">
        <v>194.5</v>
      </c>
      <c r="E94">
        <v>191.3</v>
      </c>
      <c r="F94">
        <v>187.3</v>
      </c>
      <c r="G94">
        <v>196.2</v>
      </c>
      <c r="H94">
        <v>193.9</v>
      </c>
      <c r="I94">
        <v>195.2</v>
      </c>
      <c r="J94">
        <v>193.1</v>
      </c>
      <c r="K94">
        <v>193.4</v>
      </c>
      <c r="L94">
        <v>191.4</v>
      </c>
      <c r="M94">
        <v>195.8</v>
      </c>
      <c r="N94">
        <v>190</v>
      </c>
    </row>
    <row r="95" spans="1:14" x14ac:dyDescent="0.2">
      <c r="A95" s="11">
        <v>45717</v>
      </c>
      <c r="B95">
        <v>192</v>
      </c>
      <c r="C95">
        <v>189.9</v>
      </c>
      <c r="D95">
        <v>193.9</v>
      </c>
      <c r="E95">
        <v>191.8</v>
      </c>
      <c r="F95">
        <v>187.7</v>
      </c>
      <c r="G95">
        <v>196.8</v>
      </c>
      <c r="H95">
        <v>192.4</v>
      </c>
      <c r="I95">
        <v>193.9</v>
      </c>
      <c r="J95">
        <v>191.6</v>
      </c>
      <c r="K95">
        <v>194</v>
      </c>
      <c r="L95">
        <v>190</v>
      </c>
      <c r="M95">
        <v>196.5</v>
      </c>
      <c r="N95">
        <v>188.8</v>
      </c>
    </row>
    <row r="96" spans="1:14" x14ac:dyDescent="0.2">
      <c r="A96" s="11">
        <v>45748</v>
      </c>
      <c r="B96">
        <v>192.6</v>
      </c>
      <c r="C96">
        <v>190.9</v>
      </c>
      <c r="D96">
        <v>194</v>
      </c>
      <c r="E96">
        <v>192.8</v>
      </c>
      <c r="F96">
        <v>188.9</v>
      </c>
      <c r="G96">
        <v>197.7</v>
      </c>
      <c r="H96">
        <v>192.4</v>
      </c>
      <c r="I96">
        <v>194.6</v>
      </c>
      <c r="J96">
        <v>191.1</v>
      </c>
      <c r="K96">
        <v>195.1</v>
      </c>
      <c r="L96">
        <v>189.9</v>
      </c>
      <c r="M96">
        <v>197.4</v>
      </c>
      <c r="N96">
        <v>189.1</v>
      </c>
    </row>
    <row r="97" spans="1:14" x14ac:dyDescent="0.2">
      <c r="A97" s="11">
        <v>45778</v>
      </c>
      <c r="B97">
        <v>193</v>
      </c>
      <c r="C97">
        <v>191.5</v>
      </c>
      <c r="D97">
        <v>194.3</v>
      </c>
      <c r="E97">
        <v>193.4</v>
      </c>
      <c r="F97">
        <v>189.5</v>
      </c>
      <c r="G97">
        <v>198.5</v>
      </c>
      <c r="H97">
        <v>192.5</v>
      </c>
      <c r="I97">
        <v>195.3</v>
      </c>
      <c r="J97">
        <v>191</v>
      </c>
      <c r="K97">
        <v>195.7</v>
      </c>
      <c r="L97">
        <v>190.1</v>
      </c>
      <c r="M97">
        <v>198.2</v>
      </c>
      <c r="N97">
        <v>189.3</v>
      </c>
    </row>
    <row r="98" spans="1:14" x14ac:dyDescent="0.2">
      <c r="A98" s="11">
        <v>45809</v>
      </c>
      <c r="B98">
        <v>194.2</v>
      </c>
      <c r="C98">
        <v>192.6</v>
      </c>
      <c r="D98">
        <v>195.5</v>
      </c>
      <c r="E98">
        <v>194</v>
      </c>
      <c r="F98">
        <v>189.8</v>
      </c>
      <c r="G98">
        <v>199.2</v>
      </c>
      <c r="H98">
        <v>194.3</v>
      </c>
      <c r="I98">
        <v>197.7</v>
      </c>
      <c r="J98">
        <v>192.5</v>
      </c>
      <c r="K98">
        <v>196.3</v>
      </c>
      <c r="L98">
        <v>191.8</v>
      </c>
      <c r="M98">
        <v>199.1</v>
      </c>
      <c r="N98">
        <v>190.5</v>
      </c>
    </row>
    <row r="99" spans="1:14" x14ac:dyDescent="0.2">
      <c r="A99" s="11">
        <v>45839</v>
      </c>
      <c r="B99">
        <v>196.1</v>
      </c>
      <c r="C99">
        <v>194.3</v>
      </c>
      <c r="D99">
        <v>197.6</v>
      </c>
      <c r="E99">
        <v>194.7</v>
      </c>
      <c r="F99">
        <v>190.5</v>
      </c>
      <c r="G99">
        <v>199.9</v>
      </c>
      <c r="H99">
        <v>197.7</v>
      </c>
      <c r="I99">
        <v>201.1</v>
      </c>
      <c r="J99">
        <v>195.8</v>
      </c>
      <c r="K99">
        <v>197</v>
      </c>
      <c r="L99">
        <v>195.1</v>
      </c>
      <c r="M99">
        <v>199.8</v>
      </c>
      <c r="N99">
        <v>193.4</v>
      </c>
    </row>
    <row r="100" spans="1:14" x14ac:dyDescent="0.2">
      <c r="A100" s="11">
        <v>45870</v>
      </c>
      <c r="B100">
        <v>197</v>
      </c>
      <c r="C100">
        <v>195</v>
      </c>
      <c r="D100">
        <v>198.7</v>
      </c>
      <c r="E100">
        <v>195.3</v>
      </c>
      <c r="F100">
        <v>191.2</v>
      </c>
      <c r="G100">
        <v>200.5</v>
      </c>
      <c r="H100">
        <v>198.9</v>
      </c>
      <c r="I100">
        <v>201.9</v>
      </c>
      <c r="J100">
        <v>197.3</v>
      </c>
      <c r="K100">
        <v>197.7</v>
      </c>
      <c r="L100">
        <v>196.2</v>
      </c>
      <c r="M100">
        <v>200.4</v>
      </c>
      <c r="N100">
        <v>194.4</v>
      </c>
    </row>
    <row r="101" spans="1:14" x14ac:dyDescent="0.2">
      <c r="A101" t="s">
        <v>285</v>
      </c>
      <c r="B101" t="s">
        <v>1389</v>
      </c>
      <c r="C101" t="s">
        <v>1389</v>
      </c>
      <c r="D101" t="s">
        <v>1389</v>
      </c>
      <c r="E101" t="s">
        <v>1389</v>
      </c>
      <c r="F101" t="s">
        <v>1389</v>
      </c>
      <c r="G101" t="s">
        <v>1389</v>
      </c>
      <c r="H101" t="s">
        <v>1389</v>
      </c>
      <c r="I101" t="s">
        <v>1389</v>
      </c>
      <c r="J101" t="s">
        <v>1389</v>
      </c>
      <c r="K101" t="s">
        <v>1389</v>
      </c>
      <c r="L101" t="s">
        <v>1389</v>
      </c>
      <c r="M101" t="s">
        <v>1389</v>
      </c>
      <c r="N101" t="s">
        <v>1389</v>
      </c>
    </row>
    <row r="102" spans="1:14" x14ac:dyDescent="0.2">
      <c r="A102" t="s">
        <v>9</v>
      </c>
      <c r="B102">
        <v>161</v>
      </c>
      <c r="C102">
        <v>160.4</v>
      </c>
      <c r="D102">
        <v>161.5</v>
      </c>
      <c r="E102">
        <v>161.5</v>
      </c>
      <c r="F102">
        <v>158.69999999999999</v>
      </c>
      <c r="G102">
        <v>165</v>
      </c>
      <c r="H102">
        <v>160.4</v>
      </c>
      <c r="I102">
        <v>163.4</v>
      </c>
      <c r="J102">
        <v>158.69999999999999</v>
      </c>
      <c r="K102">
        <v>162.6</v>
      </c>
      <c r="L102">
        <v>159.30000000000001</v>
      </c>
      <c r="M102">
        <v>162.9</v>
      </c>
      <c r="N102">
        <v>159.6</v>
      </c>
    </row>
    <row r="103" spans="1:14" x14ac:dyDescent="0.2">
      <c r="A103" t="s">
        <v>11</v>
      </c>
      <c r="B103">
        <v>172.4</v>
      </c>
      <c r="C103">
        <v>171.4</v>
      </c>
      <c r="D103">
        <v>173.3</v>
      </c>
      <c r="E103">
        <v>171.6</v>
      </c>
      <c r="F103">
        <v>168.3</v>
      </c>
      <c r="G103">
        <v>175.7</v>
      </c>
      <c r="H103">
        <v>173.3</v>
      </c>
      <c r="I103">
        <v>177.1</v>
      </c>
      <c r="J103">
        <v>171.3</v>
      </c>
      <c r="K103">
        <v>172.5</v>
      </c>
      <c r="L103">
        <v>172.2</v>
      </c>
      <c r="M103">
        <v>173.7</v>
      </c>
      <c r="N103">
        <v>171.4</v>
      </c>
    </row>
    <row r="104" spans="1:14" x14ac:dyDescent="0.2">
      <c r="A104" t="s">
        <v>1270</v>
      </c>
      <c r="B104">
        <v>182.1</v>
      </c>
      <c r="C104">
        <v>180.9</v>
      </c>
      <c r="D104">
        <v>183.1</v>
      </c>
      <c r="E104">
        <v>180.3</v>
      </c>
      <c r="F104">
        <v>176.8</v>
      </c>
      <c r="G104">
        <v>184.8</v>
      </c>
      <c r="H104">
        <v>184.2</v>
      </c>
      <c r="I104">
        <v>188.6</v>
      </c>
      <c r="J104">
        <v>181.8</v>
      </c>
      <c r="K104">
        <v>181.9</v>
      </c>
      <c r="L104">
        <v>182.3</v>
      </c>
      <c r="M104">
        <v>183.5</v>
      </c>
      <c r="N104">
        <v>181.1</v>
      </c>
    </row>
    <row r="105" spans="1:14" x14ac:dyDescent="0.2">
      <c r="A105" t="s">
        <v>1390</v>
      </c>
      <c r="B105">
        <v>190.1</v>
      </c>
      <c r="C105">
        <v>187.8</v>
      </c>
      <c r="D105">
        <v>192.2</v>
      </c>
      <c r="E105">
        <v>186.2</v>
      </c>
      <c r="F105">
        <v>182.5</v>
      </c>
      <c r="G105">
        <v>190.9</v>
      </c>
      <c r="H105">
        <v>194.7</v>
      </c>
      <c r="I105">
        <v>197.6</v>
      </c>
      <c r="J105">
        <v>193.2</v>
      </c>
      <c r="K105">
        <v>188.2</v>
      </c>
      <c r="L105">
        <v>192.2</v>
      </c>
      <c r="M105">
        <v>190.1</v>
      </c>
      <c r="N105">
        <v>190.1</v>
      </c>
    </row>
    <row r="106" spans="1:14" x14ac:dyDescent="0.2">
      <c r="A106" t="s">
        <v>1391</v>
      </c>
      <c r="B106">
        <v>194.6</v>
      </c>
      <c r="C106">
        <v>192.9</v>
      </c>
      <c r="D106">
        <v>196</v>
      </c>
      <c r="E106">
        <v>194</v>
      </c>
      <c r="F106">
        <v>190</v>
      </c>
      <c r="G106">
        <v>199.2</v>
      </c>
      <c r="H106">
        <v>195.2</v>
      </c>
      <c r="I106">
        <v>198.1</v>
      </c>
      <c r="J106">
        <v>193.5</v>
      </c>
      <c r="K106">
        <v>196.4</v>
      </c>
      <c r="L106">
        <v>192.6</v>
      </c>
      <c r="M106">
        <v>199</v>
      </c>
      <c r="N106">
        <v>191.3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554A-6F2F-0646-A1D4-E8FB1C923939}">
  <dimension ref="A1:N89"/>
  <sheetViews>
    <sheetView workbookViewId="0">
      <selection activeCell="F7" sqref="F7"/>
    </sheetView>
  </sheetViews>
  <sheetFormatPr baseColWidth="10" defaultRowHeight="16" x14ac:dyDescent="0.2"/>
  <cols>
    <col min="2" max="3" width="15.6640625" bestFit="1" customWidth="1"/>
    <col min="5" max="6" width="55.1640625" bestFit="1" customWidth="1"/>
  </cols>
  <sheetData>
    <row r="1" spans="1:14" x14ac:dyDescent="0.2">
      <c r="A1" t="s">
        <v>1392</v>
      </c>
    </row>
    <row r="2" spans="1:14" x14ac:dyDescent="0.2">
      <c r="A2" t="s">
        <v>1387</v>
      </c>
    </row>
    <row r="3" spans="1:14" x14ac:dyDescent="0.2">
      <c r="A3" t="s">
        <v>55</v>
      </c>
      <c r="B3" t="s">
        <v>1388</v>
      </c>
      <c r="C3" t="s">
        <v>511</v>
      </c>
      <c r="D3" t="s">
        <v>512</v>
      </c>
      <c r="E3" t="s">
        <v>1388</v>
      </c>
      <c r="F3" t="s">
        <v>511</v>
      </c>
      <c r="G3" t="s">
        <v>512</v>
      </c>
      <c r="H3" t="s">
        <v>1388</v>
      </c>
      <c r="I3" t="s">
        <v>511</v>
      </c>
      <c r="J3" t="s">
        <v>512</v>
      </c>
      <c r="K3" t="s">
        <v>1388</v>
      </c>
      <c r="L3" t="s">
        <v>1388</v>
      </c>
      <c r="M3" t="s">
        <v>1388</v>
      </c>
      <c r="N3" t="s">
        <v>1388</v>
      </c>
    </row>
    <row r="4" spans="1:14" x14ac:dyDescent="0.2">
      <c r="A4" t="s">
        <v>284</v>
      </c>
      <c r="B4">
        <v>100</v>
      </c>
      <c r="C4">
        <v>100</v>
      </c>
      <c r="D4">
        <v>100</v>
      </c>
      <c r="E4">
        <v>54.11</v>
      </c>
      <c r="F4">
        <v>64.8</v>
      </c>
      <c r="G4">
        <v>44.81</v>
      </c>
      <c r="H4">
        <v>45.9</v>
      </c>
      <c r="I4">
        <v>35.200000000000003</v>
      </c>
      <c r="J4">
        <v>55.19</v>
      </c>
      <c r="K4">
        <v>51.72</v>
      </c>
      <c r="L4">
        <v>48.29</v>
      </c>
      <c r="M4">
        <v>42.2</v>
      </c>
      <c r="N4">
        <v>57.8</v>
      </c>
    </row>
    <row r="5" spans="1:14" x14ac:dyDescent="0.2">
      <c r="A5" t="s">
        <v>271</v>
      </c>
      <c r="B5" t="s">
        <v>1393</v>
      </c>
      <c r="C5" t="s">
        <v>1393</v>
      </c>
      <c r="D5" t="s">
        <v>1393</v>
      </c>
      <c r="E5" t="s">
        <v>1400</v>
      </c>
      <c r="F5" t="s">
        <v>1400</v>
      </c>
      <c r="G5" t="s">
        <v>1394</v>
      </c>
      <c r="H5" t="s">
        <v>1401</v>
      </c>
      <c r="I5" t="s">
        <v>1395</v>
      </c>
      <c r="J5" t="s">
        <v>1395</v>
      </c>
      <c r="K5" t="s">
        <v>1396</v>
      </c>
      <c r="L5" t="s">
        <v>1397</v>
      </c>
      <c r="M5" t="s">
        <v>1398</v>
      </c>
      <c r="N5" t="s">
        <v>1399</v>
      </c>
    </row>
    <row r="6" spans="1:14" x14ac:dyDescent="0.2">
      <c r="A6" s="11">
        <v>43556</v>
      </c>
      <c r="B6">
        <v>2.99</v>
      </c>
      <c r="C6">
        <v>4.3</v>
      </c>
      <c r="D6">
        <v>1.87</v>
      </c>
      <c r="E6">
        <v>4.29</v>
      </c>
      <c r="F6">
        <v>4.18</v>
      </c>
      <c r="G6">
        <v>4.45</v>
      </c>
      <c r="H6">
        <v>1.32</v>
      </c>
      <c r="I6">
        <v>4.4800000000000004</v>
      </c>
      <c r="J6">
        <v>-0.39</v>
      </c>
      <c r="K6">
        <v>4.5599999999999996</v>
      </c>
      <c r="L6">
        <v>1.17</v>
      </c>
      <c r="M6">
        <v>4.55</v>
      </c>
      <c r="N6">
        <v>1.77</v>
      </c>
    </row>
    <row r="7" spans="1:14" x14ac:dyDescent="0.2">
      <c r="A7" s="11">
        <v>43586</v>
      </c>
      <c r="B7">
        <v>3.05</v>
      </c>
      <c r="C7">
        <v>4.51</v>
      </c>
      <c r="D7">
        <v>1.86</v>
      </c>
      <c r="E7">
        <v>4</v>
      </c>
      <c r="F7">
        <v>3.97</v>
      </c>
      <c r="G7">
        <v>4.09</v>
      </c>
      <c r="H7">
        <v>1.93</v>
      </c>
      <c r="I7">
        <v>5.56</v>
      </c>
      <c r="J7">
        <v>0.09</v>
      </c>
      <c r="K7">
        <v>4.3499999999999996</v>
      </c>
      <c r="L7">
        <v>1.63</v>
      </c>
      <c r="M7">
        <v>4.25</v>
      </c>
      <c r="N7">
        <v>2.15</v>
      </c>
    </row>
    <row r="8" spans="1:14" x14ac:dyDescent="0.2">
      <c r="A8" s="11">
        <v>43617</v>
      </c>
      <c r="B8">
        <v>3.18</v>
      </c>
      <c r="C8">
        <v>4.33</v>
      </c>
      <c r="D8">
        <v>2.21</v>
      </c>
      <c r="E8">
        <v>3.95</v>
      </c>
      <c r="F8">
        <v>3.86</v>
      </c>
      <c r="G8">
        <v>4.01</v>
      </c>
      <c r="H8">
        <v>2.25</v>
      </c>
      <c r="I8">
        <v>5.26</v>
      </c>
      <c r="J8">
        <v>0.64</v>
      </c>
      <c r="K8">
        <v>4.37</v>
      </c>
      <c r="L8">
        <v>1.83</v>
      </c>
      <c r="M8">
        <v>4.2699999999999996</v>
      </c>
      <c r="N8">
        <v>2.3199999999999998</v>
      </c>
    </row>
    <row r="9" spans="1:14" x14ac:dyDescent="0.2">
      <c r="A9" s="11">
        <v>43647</v>
      </c>
      <c r="B9">
        <v>3.15</v>
      </c>
      <c r="C9">
        <v>4.22</v>
      </c>
      <c r="D9">
        <v>2.19</v>
      </c>
      <c r="E9">
        <v>4.07</v>
      </c>
      <c r="F9">
        <v>3.93</v>
      </c>
      <c r="G9">
        <v>4.26</v>
      </c>
      <c r="H9">
        <v>1.96</v>
      </c>
      <c r="I9">
        <v>4.6500000000000004</v>
      </c>
      <c r="J9">
        <v>0.48</v>
      </c>
      <c r="K9">
        <v>4.42</v>
      </c>
      <c r="L9">
        <v>1.65</v>
      </c>
      <c r="M9">
        <v>4.34</v>
      </c>
      <c r="N9">
        <v>2.19</v>
      </c>
    </row>
    <row r="10" spans="1:14" x14ac:dyDescent="0.2">
      <c r="A10" s="11">
        <v>43678</v>
      </c>
      <c r="B10">
        <v>3.28</v>
      </c>
      <c r="C10">
        <v>4.49</v>
      </c>
      <c r="D10">
        <v>2.25</v>
      </c>
      <c r="E10">
        <v>4.01</v>
      </c>
      <c r="F10">
        <v>3.88</v>
      </c>
      <c r="G10">
        <v>4.21</v>
      </c>
      <c r="H10">
        <v>2.29</v>
      </c>
      <c r="I10">
        <v>5.51</v>
      </c>
      <c r="J10">
        <v>0.59</v>
      </c>
      <c r="K10">
        <v>4.45</v>
      </c>
      <c r="L10">
        <v>1.92</v>
      </c>
      <c r="M10">
        <v>4.3600000000000003</v>
      </c>
      <c r="N10">
        <v>2.41</v>
      </c>
    </row>
    <row r="11" spans="1:14" x14ac:dyDescent="0.2">
      <c r="A11" s="11">
        <v>43709</v>
      </c>
      <c r="B11">
        <v>3.99</v>
      </c>
      <c r="C11">
        <v>4.78</v>
      </c>
      <c r="D11">
        <v>3.24</v>
      </c>
      <c r="E11">
        <v>3.77</v>
      </c>
      <c r="F11">
        <v>3.58</v>
      </c>
      <c r="G11">
        <v>4</v>
      </c>
      <c r="H11">
        <v>4</v>
      </c>
      <c r="I11">
        <v>6.89</v>
      </c>
      <c r="J11">
        <v>2.5099999999999998</v>
      </c>
      <c r="K11">
        <v>4.29</v>
      </c>
      <c r="L11">
        <v>3.4</v>
      </c>
      <c r="M11">
        <v>4.1900000000000004</v>
      </c>
      <c r="N11">
        <v>3.63</v>
      </c>
    </row>
    <row r="12" spans="1:14" x14ac:dyDescent="0.2">
      <c r="A12" s="11">
        <v>43739</v>
      </c>
      <c r="B12">
        <v>4.62</v>
      </c>
      <c r="C12">
        <v>5.1100000000000003</v>
      </c>
      <c r="D12">
        <v>4.29</v>
      </c>
      <c r="E12">
        <v>3.31</v>
      </c>
      <c r="F12">
        <v>3.4</v>
      </c>
      <c r="G12">
        <v>3.23</v>
      </c>
      <c r="H12">
        <v>6.36</v>
      </c>
      <c r="I12">
        <v>8.33</v>
      </c>
      <c r="J12">
        <v>5.23</v>
      </c>
      <c r="K12">
        <v>3.82</v>
      </c>
      <c r="L12">
        <v>5.69</v>
      </c>
      <c r="M12">
        <v>3.63</v>
      </c>
      <c r="N12">
        <v>5.52</v>
      </c>
    </row>
    <row r="13" spans="1:14" x14ac:dyDescent="0.2">
      <c r="A13" s="11">
        <v>43770</v>
      </c>
      <c r="B13">
        <v>5.54</v>
      </c>
      <c r="C13">
        <v>5.76</v>
      </c>
      <c r="D13">
        <v>5.27</v>
      </c>
      <c r="E13">
        <v>3.26</v>
      </c>
      <c r="F13">
        <v>3.52</v>
      </c>
      <c r="G13">
        <v>3.02</v>
      </c>
      <c r="H13">
        <v>8.15</v>
      </c>
      <c r="I13">
        <v>9.81</v>
      </c>
      <c r="J13">
        <v>7.27</v>
      </c>
      <c r="K13">
        <v>3.54</v>
      </c>
      <c r="L13">
        <v>7.68</v>
      </c>
      <c r="M13">
        <v>3.3</v>
      </c>
      <c r="N13">
        <v>7.15</v>
      </c>
    </row>
    <row r="14" spans="1:14" x14ac:dyDescent="0.2">
      <c r="A14" s="11">
        <v>43800</v>
      </c>
      <c r="B14">
        <v>7.35</v>
      </c>
      <c r="C14">
        <v>7.46</v>
      </c>
      <c r="D14">
        <v>7.33</v>
      </c>
      <c r="E14">
        <v>3.55</v>
      </c>
      <c r="F14">
        <v>4.1100000000000003</v>
      </c>
      <c r="G14">
        <v>2.91</v>
      </c>
      <c r="H14">
        <v>12.09</v>
      </c>
      <c r="I14">
        <v>13.75</v>
      </c>
      <c r="J14">
        <v>11.11</v>
      </c>
      <c r="K14">
        <v>3.47</v>
      </c>
      <c r="L14">
        <v>11.86</v>
      </c>
      <c r="M14">
        <v>3.26</v>
      </c>
      <c r="N14">
        <v>10.56</v>
      </c>
    </row>
    <row r="15" spans="1:14" x14ac:dyDescent="0.2">
      <c r="A15" s="11">
        <v>43831</v>
      </c>
      <c r="B15">
        <v>7.59</v>
      </c>
      <c r="C15">
        <v>7.39</v>
      </c>
      <c r="D15">
        <v>7.73</v>
      </c>
      <c r="E15">
        <v>3.95</v>
      </c>
      <c r="F15">
        <v>4.3</v>
      </c>
      <c r="G15">
        <v>3.51</v>
      </c>
      <c r="H15">
        <v>12.1</v>
      </c>
      <c r="I15">
        <v>13.3</v>
      </c>
      <c r="J15">
        <v>11.46</v>
      </c>
      <c r="K15">
        <v>3.83</v>
      </c>
      <c r="L15">
        <v>11.92</v>
      </c>
      <c r="M15">
        <v>3.72</v>
      </c>
      <c r="N15">
        <v>10.53</v>
      </c>
    </row>
    <row r="16" spans="1:14" x14ac:dyDescent="0.2">
      <c r="A16" s="11">
        <v>43862</v>
      </c>
      <c r="B16">
        <v>6.58</v>
      </c>
      <c r="C16">
        <v>6.57</v>
      </c>
      <c r="D16">
        <v>6.67</v>
      </c>
      <c r="E16">
        <v>3.89</v>
      </c>
      <c r="F16">
        <v>4.1399999999999997</v>
      </c>
      <c r="G16">
        <v>3.48</v>
      </c>
      <c r="H16">
        <v>10.130000000000001</v>
      </c>
      <c r="I16">
        <v>11.18</v>
      </c>
      <c r="J16">
        <v>9.52</v>
      </c>
      <c r="K16">
        <v>3.89</v>
      </c>
      <c r="L16">
        <v>9.85</v>
      </c>
      <c r="M16">
        <v>3.79</v>
      </c>
      <c r="N16">
        <v>8.86</v>
      </c>
    </row>
    <row r="17" spans="1:14" x14ac:dyDescent="0.2">
      <c r="A17" s="11">
        <v>43891</v>
      </c>
      <c r="B17">
        <v>5.84</v>
      </c>
      <c r="C17">
        <v>5.59</v>
      </c>
      <c r="D17">
        <v>6.09</v>
      </c>
      <c r="E17">
        <v>3.79</v>
      </c>
      <c r="F17">
        <v>3.93</v>
      </c>
      <c r="G17">
        <v>3.58</v>
      </c>
      <c r="H17">
        <v>8.42</v>
      </c>
      <c r="I17">
        <v>8.7799999999999994</v>
      </c>
      <c r="J17">
        <v>8.25</v>
      </c>
      <c r="L17">
        <v>9.6300000000000008</v>
      </c>
      <c r="N17">
        <v>7.79</v>
      </c>
    </row>
    <row r="18" spans="1:14" x14ac:dyDescent="0.2">
      <c r="A18" s="11">
        <v>43922</v>
      </c>
      <c r="B18">
        <v>7.22</v>
      </c>
      <c r="C18">
        <v>7.33</v>
      </c>
      <c r="D18">
        <v>7.2</v>
      </c>
      <c r="E18">
        <v>4.76</v>
      </c>
      <c r="F18">
        <v>5.69</v>
      </c>
      <c r="G18">
        <v>3.67</v>
      </c>
      <c r="H18">
        <v>10.39</v>
      </c>
      <c r="I18">
        <v>10.54</v>
      </c>
      <c r="J18">
        <v>10.28</v>
      </c>
      <c r="L18">
        <v>11.64</v>
      </c>
      <c r="N18">
        <v>9.84</v>
      </c>
    </row>
    <row r="19" spans="1:14" x14ac:dyDescent="0.2">
      <c r="A19" s="11">
        <v>43952</v>
      </c>
      <c r="B19">
        <v>6.27</v>
      </c>
      <c r="C19">
        <v>6.43</v>
      </c>
      <c r="D19">
        <v>6.18</v>
      </c>
      <c r="E19">
        <v>4.88</v>
      </c>
      <c r="F19">
        <v>5.72</v>
      </c>
      <c r="G19">
        <v>3.81</v>
      </c>
      <c r="H19">
        <v>8.06</v>
      </c>
      <c r="I19">
        <v>7.85</v>
      </c>
      <c r="J19">
        <v>8.16</v>
      </c>
      <c r="L19">
        <v>9.36</v>
      </c>
      <c r="N19">
        <v>7.74</v>
      </c>
    </row>
    <row r="20" spans="1:14" x14ac:dyDescent="0.2">
      <c r="A20" s="11">
        <v>43983</v>
      </c>
      <c r="B20">
        <v>6.23</v>
      </c>
      <c r="C20">
        <v>6.12</v>
      </c>
      <c r="D20">
        <v>6.34</v>
      </c>
      <c r="E20">
        <v>5.13</v>
      </c>
      <c r="F20">
        <v>5</v>
      </c>
      <c r="G20">
        <v>5.27</v>
      </c>
      <c r="H20">
        <v>7.5</v>
      </c>
      <c r="I20">
        <v>8.07</v>
      </c>
      <c r="J20">
        <v>7.2</v>
      </c>
      <c r="K20">
        <v>5.13</v>
      </c>
      <c r="L20">
        <v>7.5</v>
      </c>
      <c r="M20">
        <v>5.53</v>
      </c>
      <c r="N20">
        <v>6.78</v>
      </c>
    </row>
    <row r="21" spans="1:14" x14ac:dyDescent="0.2">
      <c r="A21" s="11">
        <v>44013</v>
      </c>
      <c r="B21">
        <v>6.73</v>
      </c>
      <c r="C21">
        <v>6.7</v>
      </c>
      <c r="D21">
        <v>6.76</v>
      </c>
      <c r="E21">
        <v>5.45</v>
      </c>
      <c r="F21">
        <v>5.57</v>
      </c>
      <c r="G21">
        <v>5.31</v>
      </c>
      <c r="H21">
        <v>8.31</v>
      </c>
      <c r="I21">
        <v>8.9700000000000006</v>
      </c>
      <c r="J21">
        <v>7.96</v>
      </c>
      <c r="K21">
        <v>5.29</v>
      </c>
      <c r="L21">
        <v>8.42</v>
      </c>
      <c r="M21">
        <v>5.79</v>
      </c>
      <c r="N21">
        <v>7.51</v>
      </c>
    </row>
    <row r="22" spans="1:14" x14ac:dyDescent="0.2">
      <c r="A22" s="11">
        <v>44044</v>
      </c>
      <c r="B22">
        <v>6.69</v>
      </c>
      <c r="C22">
        <v>6.8</v>
      </c>
      <c r="D22">
        <v>6.66</v>
      </c>
      <c r="E22">
        <v>5.57</v>
      </c>
      <c r="F22">
        <v>5.67</v>
      </c>
      <c r="G22">
        <v>5.39</v>
      </c>
      <c r="H22">
        <v>8.2100000000000009</v>
      </c>
      <c r="I22">
        <v>8.89</v>
      </c>
      <c r="J22">
        <v>7.77</v>
      </c>
      <c r="K22">
        <v>5.35</v>
      </c>
      <c r="L22">
        <v>8.35</v>
      </c>
      <c r="M22">
        <v>5.92</v>
      </c>
      <c r="N22">
        <v>7.4</v>
      </c>
    </row>
    <row r="23" spans="1:14" x14ac:dyDescent="0.2">
      <c r="A23" s="11">
        <v>44075</v>
      </c>
      <c r="B23">
        <v>7.27</v>
      </c>
      <c r="C23">
        <v>7.26</v>
      </c>
      <c r="D23">
        <v>7.36</v>
      </c>
      <c r="E23">
        <v>5.51</v>
      </c>
      <c r="F23">
        <v>5.52</v>
      </c>
      <c r="G23">
        <v>5.47</v>
      </c>
      <c r="H23">
        <v>9.5500000000000007</v>
      </c>
      <c r="I23">
        <v>10.57</v>
      </c>
      <c r="J23">
        <v>8.98</v>
      </c>
      <c r="K23">
        <v>5.29</v>
      </c>
      <c r="L23">
        <v>9.64</v>
      </c>
      <c r="M23">
        <v>5.92</v>
      </c>
      <c r="N23">
        <v>8.41</v>
      </c>
    </row>
    <row r="24" spans="1:14" x14ac:dyDescent="0.2">
      <c r="A24" s="11">
        <v>44105</v>
      </c>
      <c r="B24">
        <v>7.61</v>
      </c>
      <c r="C24">
        <v>7.33</v>
      </c>
      <c r="D24">
        <v>7.75</v>
      </c>
      <c r="E24">
        <v>5.66</v>
      </c>
      <c r="F24">
        <v>5.69</v>
      </c>
      <c r="G24">
        <v>5.59</v>
      </c>
      <c r="H24">
        <v>9.75</v>
      </c>
      <c r="I24">
        <v>10.27</v>
      </c>
      <c r="J24">
        <v>9.5</v>
      </c>
      <c r="K24">
        <v>5.51</v>
      </c>
      <c r="L24">
        <v>9.75</v>
      </c>
      <c r="M24">
        <v>6.06</v>
      </c>
      <c r="N24">
        <v>8.61</v>
      </c>
    </row>
    <row r="25" spans="1:14" x14ac:dyDescent="0.2">
      <c r="A25" s="11">
        <v>44136</v>
      </c>
      <c r="B25">
        <v>6.93</v>
      </c>
      <c r="C25">
        <v>6.73</v>
      </c>
      <c r="D25">
        <v>7.2</v>
      </c>
      <c r="E25">
        <v>5.8</v>
      </c>
      <c r="F25">
        <v>5.75</v>
      </c>
      <c r="G25">
        <v>5.8</v>
      </c>
      <c r="H25">
        <v>8.39</v>
      </c>
      <c r="I25">
        <v>8.5500000000000007</v>
      </c>
      <c r="J25">
        <v>8.3000000000000007</v>
      </c>
      <c r="K25">
        <v>5.67</v>
      </c>
      <c r="L25">
        <v>8.44</v>
      </c>
      <c r="M25">
        <v>6.29</v>
      </c>
      <c r="N25">
        <v>7.53</v>
      </c>
    </row>
    <row r="26" spans="1:14" x14ac:dyDescent="0.2">
      <c r="A26" s="11">
        <v>44166</v>
      </c>
      <c r="B26">
        <v>4.59</v>
      </c>
      <c r="C26">
        <v>5.19</v>
      </c>
      <c r="D26">
        <v>4.07</v>
      </c>
      <c r="E26">
        <v>5.68</v>
      </c>
      <c r="F26">
        <v>5.6</v>
      </c>
      <c r="G26">
        <v>5.73</v>
      </c>
      <c r="H26">
        <v>3.35</v>
      </c>
      <c r="I26">
        <v>4.4800000000000004</v>
      </c>
      <c r="J26">
        <v>2.77</v>
      </c>
      <c r="K26">
        <v>5.48</v>
      </c>
      <c r="L26">
        <v>3.63</v>
      </c>
      <c r="M26">
        <v>6.05</v>
      </c>
      <c r="N26">
        <v>3.53</v>
      </c>
    </row>
    <row r="27" spans="1:14" x14ac:dyDescent="0.2">
      <c r="A27" s="11">
        <v>44197</v>
      </c>
      <c r="B27">
        <v>4.0599999999999996</v>
      </c>
      <c r="C27">
        <v>5.13</v>
      </c>
      <c r="D27">
        <v>3.23</v>
      </c>
      <c r="E27">
        <v>5.75</v>
      </c>
      <c r="F27">
        <v>5.74</v>
      </c>
      <c r="G27">
        <v>5.78</v>
      </c>
      <c r="H27">
        <v>2.23</v>
      </c>
      <c r="I27">
        <v>3.99</v>
      </c>
      <c r="J27">
        <v>1.19</v>
      </c>
      <c r="K27">
        <v>5.54</v>
      </c>
      <c r="L27">
        <v>2.59</v>
      </c>
      <c r="M27">
        <v>6.11</v>
      </c>
      <c r="N27">
        <v>2.67</v>
      </c>
    </row>
    <row r="28" spans="1:14" x14ac:dyDescent="0.2">
      <c r="A28" s="11">
        <v>44228</v>
      </c>
      <c r="B28">
        <v>5.03</v>
      </c>
      <c r="C28">
        <v>5.96</v>
      </c>
      <c r="D28">
        <v>4.1900000000000004</v>
      </c>
      <c r="E28">
        <v>5.99</v>
      </c>
      <c r="F28">
        <v>6.04</v>
      </c>
      <c r="G28">
        <v>5.95</v>
      </c>
      <c r="H28">
        <v>3.82</v>
      </c>
      <c r="I28">
        <v>5.89</v>
      </c>
      <c r="J28">
        <v>2.67</v>
      </c>
      <c r="K28">
        <v>5.54</v>
      </c>
      <c r="L28">
        <v>4.42</v>
      </c>
      <c r="M28">
        <v>6.13</v>
      </c>
      <c r="N28">
        <v>4.17</v>
      </c>
    </row>
    <row r="29" spans="1:14" x14ac:dyDescent="0.2">
      <c r="A29" s="11">
        <v>44256</v>
      </c>
      <c r="B29">
        <v>5.52</v>
      </c>
      <c r="C29">
        <v>6.52</v>
      </c>
      <c r="D29">
        <v>4.6100000000000003</v>
      </c>
      <c r="E29">
        <v>6.11</v>
      </c>
      <c r="F29">
        <v>6.3</v>
      </c>
      <c r="G29">
        <v>5.86</v>
      </c>
      <c r="H29">
        <v>4.8099999999999996</v>
      </c>
      <c r="I29">
        <v>7.07</v>
      </c>
      <c r="J29">
        <v>3.61</v>
      </c>
      <c r="L29">
        <v>4.0599999999999996</v>
      </c>
      <c r="N29">
        <v>4.68</v>
      </c>
    </row>
    <row r="30" spans="1:14" x14ac:dyDescent="0.2">
      <c r="A30" s="11">
        <v>44287</v>
      </c>
      <c r="B30">
        <v>4.2300000000000004</v>
      </c>
      <c r="C30">
        <v>4.71</v>
      </c>
      <c r="D30">
        <v>3.75</v>
      </c>
      <c r="E30">
        <v>5.45</v>
      </c>
      <c r="F30">
        <v>4.82</v>
      </c>
      <c r="G30">
        <v>6.16</v>
      </c>
      <c r="H30">
        <v>2.81</v>
      </c>
      <c r="I30">
        <v>4.55</v>
      </c>
      <c r="J30">
        <v>1.85</v>
      </c>
      <c r="L30">
        <v>2.0099999999999998</v>
      </c>
      <c r="N30">
        <v>2.68</v>
      </c>
    </row>
    <row r="31" spans="1:14" x14ac:dyDescent="0.2">
      <c r="A31" s="11">
        <v>44317</v>
      </c>
      <c r="B31">
        <v>6.3</v>
      </c>
      <c r="C31">
        <v>5.91</v>
      </c>
      <c r="D31">
        <v>6.55</v>
      </c>
      <c r="E31">
        <v>6.43</v>
      </c>
      <c r="F31">
        <v>5.25</v>
      </c>
      <c r="G31">
        <v>7.94</v>
      </c>
      <c r="H31">
        <v>5.98</v>
      </c>
      <c r="I31">
        <v>7.14</v>
      </c>
      <c r="J31">
        <v>5.35</v>
      </c>
      <c r="L31">
        <v>5.15</v>
      </c>
      <c r="N31">
        <v>5.5</v>
      </c>
    </row>
    <row r="32" spans="1:14" x14ac:dyDescent="0.2">
      <c r="A32" s="11">
        <v>44348</v>
      </c>
      <c r="B32">
        <v>6.26</v>
      </c>
      <c r="C32">
        <v>6.37</v>
      </c>
      <c r="D32">
        <v>6.16</v>
      </c>
      <c r="E32">
        <v>6.35</v>
      </c>
      <c r="F32">
        <v>6.21</v>
      </c>
      <c r="G32">
        <v>6.52</v>
      </c>
      <c r="H32">
        <v>6.19</v>
      </c>
      <c r="I32">
        <v>6.61</v>
      </c>
      <c r="J32">
        <v>5.96</v>
      </c>
      <c r="K32">
        <v>5.68</v>
      </c>
      <c r="L32">
        <v>6.87</v>
      </c>
      <c r="M32">
        <v>6.14</v>
      </c>
      <c r="N32">
        <v>6.33</v>
      </c>
    </row>
    <row r="33" spans="1:14" x14ac:dyDescent="0.2">
      <c r="A33" s="11">
        <v>44378</v>
      </c>
      <c r="B33">
        <v>5.59</v>
      </c>
      <c r="C33">
        <v>5.82</v>
      </c>
      <c r="D33">
        <v>5.49</v>
      </c>
      <c r="E33">
        <v>6.13</v>
      </c>
      <c r="F33">
        <v>5.74</v>
      </c>
      <c r="G33">
        <v>6.59</v>
      </c>
      <c r="H33">
        <v>5.1100000000000003</v>
      </c>
      <c r="I33">
        <v>5.89</v>
      </c>
      <c r="J33">
        <v>4.63</v>
      </c>
      <c r="K33">
        <v>5.53</v>
      </c>
      <c r="L33">
        <v>5.82</v>
      </c>
      <c r="M33">
        <v>5.93</v>
      </c>
      <c r="N33">
        <v>5.46</v>
      </c>
    </row>
    <row r="34" spans="1:14" x14ac:dyDescent="0.2">
      <c r="A34" s="11">
        <v>44409</v>
      </c>
      <c r="B34">
        <v>5.3</v>
      </c>
      <c r="C34">
        <v>5.32</v>
      </c>
      <c r="D34">
        <v>5.28</v>
      </c>
      <c r="E34">
        <v>5.98</v>
      </c>
      <c r="F34">
        <v>5.53</v>
      </c>
      <c r="G34">
        <v>6.54</v>
      </c>
      <c r="H34">
        <v>4.45</v>
      </c>
      <c r="I34">
        <v>4.97</v>
      </c>
      <c r="J34">
        <v>4.22</v>
      </c>
      <c r="K34">
        <v>5.38</v>
      </c>
      <c r="L34">
        <v>5.18</v>
      </c>
      <c r="M34">
        <v>5.72</v>
      </c>
      <c r="N34">
        <v>4.95</v>
      </c>
    </row>
    <row r="35" spans="1:14" x14ac:dyDescent="0.2">
      <c r="A35" s="11">
        <v>44440</v>
      </c>
      <c r="B35">
        <v>4.3499999999999996</v>
      </c>
      <c r="C35">
        <v>4.57</v>
      </c>
      <c r="D35">
        <v>4.13</v>
      </c>
      <c r="E35">
        <v>6</v>
      </c>
      <c r="F35">
        <v>5.54</v>
      </c>
      <c r="G35">
        <v>6.57</v>
      </c>
      <c r="H35">
        <v>2.42</v>
      </c>
      <c r="I35">
        <v>2.91</v>
      </c>
      <c r="J35">
        <v>2.14</v>
      </c>
      <c r="K35">
        <v>5.46</v>
      </c>
      <c r="L35">
        <v>3.15</v>
      </c>
      <c r="M35">
        <v>5.89</v>
      </c>
      <c r="N35">
        <v>3.21</v>
      </c>
    </row>
    <row r="36" spans="1:14" x14ac:dyDescent="0.2">
      <c r="A36" s="11">
        <v>44470</v>
      </c>
      <c r="B36">
        <v>4.4800000000000004</v>
      </c>
      <c r="C36">
        <v>5.04</v>
      </c>
      <c r="D36">
        <v>4.07</v>
      </c>
      <c r="E36">
        <v>6.24</v>
      </c>
      <c r="F36">
        <v>5.73</v>
      </c>
      <c r="G36">
        <v>6.85</v>
      </c>
      <c r="H36">
        <v>2.63</v>
      </c>
      <c r="I36">
        <v>3.96</v>
      </c>
      <c r="J36">
        <v>1.87</v>
      </c>
      <c r="K36">
        <v>5.52</v>
      </c>
      <c r="L36">
        <v>3.53</v>
      </c>
      <c r="M36">
        <v>5.99</v>
      </c>
      <c r="N36">
        <v>3.51</v>
      </c>
    </row>
    <row r="37" spans="1:14" x14ac:dyDescent="0.2">
      <c r="A37" s="11">
        <v>44501</v>
      </c>
      <c r="B37">
        <v>4.91</v>
      </c>
      <c r="C37">
        <v>5.54</v>
      </c>
      <c r="D37">
        <v>4.29</v>
      </c>
      <c r="E37">
        <v>6.21</v>
      </c>
      <c r="F37">
        <v>5.75</v>
      </c>
      <c r="G37">
        <v>6.74</v>
      </c>
      <c r="H37">
        <v>3.39</v>
      </c>
      <c r="I37">
        <v>5.19</v>
      </c>
      <c r="J37">
        <v>2.42</v>
      </c>
      <c r="K37">
        <v>5.61</v>
      </c>
      <c r="L37">
        <v>4.1100000000000003</v>
      </c>
      <c r="M37">
        <v>6.08</v>
      </c>
      <c r="N37">
        <v>4.01</v>
      </c>
    </row>
    <row r="38" spans="1:14" x14ac:dyDescent="0.2">
      <c r="A38" s="11">
        <v>44531</v>
      </c>
      <c r="B38">
        <v>5.66</v>
      </c>
      <c r="C38">
        <v>5.9</v>
      </c>
      <c r="D38">
        <v>5.36</v>
      </c>
      <c r="E38">
        <v>6.12</v>
      </c>
      <c r="F38">
        <v>5.65</v>
      </c>
      <c r="G38">
        <v>6.73</v>
      </c>
      <c r="H38">
        <v>5</v>
      </c>
      <c r="I38">
        <v>6.22</v>
      </c>
      <c r="J38">
        <v>4.2699999999999996</v>
      </c>
      <c r="K38">
        <v>5.73</v>
      </c>
      <c r="L38">
        <v>5.5</v>
      </c>
      <c r="M38">
        <v>6.22</v>
      </c>
      <c r="N38">
        <v>5.17</v>
      </c>
    </row>
    <row r="39" spans="1:14" x14ac:dyDescent="0.2">
      <c r="A39" s="11">
        <v>44562</v>
      </c>
      <c r="B39">
        <v>6.01</v>
      </c>
      <c r="C39">
        <v>5.91</v>
      </c>
      <c r="D39">
        <v>6.12</v>
      </c>
      <c r="E39">
        <v>6.01</v>
      </c>
      <c r="F39">
        <v>5.54</v>
      </c>
      <c r="G39">
        <v>6.59</v>
      </c>
      <c r="H39">
        <v>5.99</v>
      </c>
      <c r="I39">
        <v>6.63</v>
      </c>
      <c r="J39">
        <v>5.64</v>
      </c>
      <c r="K39">
        <v>5.64</v>
      </c>
      <c r="L39">
        <v>6.4</v>
      </c>
      <c r="M39">
        <v>6.15</v>
      </c>
      <c r="N39">
        <v>5.9</v>
      </c>
    </row>
    <row r="40" spans="1:14" x14ac:dyDescent="0.2">
      <c r="A40" s="11">
        <v>44593</v>
      </c>
      <c r="B40">
        <v>6.07</v>
      </c>
      <c r="C40">
        <v>5.75</v>
      </c>
      <c r="D40">
        <v>6.38</v>
      </c>
      <c r="E40">
        <v>6.02</v>
      </c>
      <c r="F40">
        <v>5.53</v>
      </c>
      <c r="G40">
        <v>6.63</v>
      </c>
      <c r="H40">
        <v>6.27</v>
      </c>
      <c r="I40">
        <v>6.29</v>
      </c>
      <c r="J40">
        <v>6.18</v>
      </c>
      <c r="K40">
        <v>5.77</v>
      </c>
      <c r="L40">
        <v>6.5</v>
      </c>
      <c r="M40">
        <v>6.29</v>
      </c>
      <c r="N40">
        <v>5.99</v>
      </c>
    </row>
    <row r="41" spans="1:14" x14ac:dyDescent="0.2">
      <c r="A41" s="11">
        <v>44621</v>
      </c>
      <c r="B41">
        <v>6.95</v>
      </c>
      <c r="C41">
        <v>6.12</v>
      </c>
      <c r="D41">
        <v>7.66</v>
      </c>
      <c r="E41">
        <v>6.33</v>
      </c>
      <c r="F41">
        <v>5.67</v>
      </c>
      <c r="G41">
        <v>7.14</v>
      </c>
      <c r="H41">
        <v>7.65</v>
      </c>
      <c r="I41">
        <v>6.93</v>
      </c>
      <c r="J41">
        <v>8.07</v>
      </c>
      <c r="K41">
        <v>6.21</v>
      </c>
      <c r="L41">
        <v>7.74</v>
      </c>
      <c r="M41">
        <v>6.87</v>
      </c>
      <c r="N41">
        <v>6.99</v>
      </c>
    </row>
    <row r="42" spans="1:14" x14ac:dyDescent="0.2">
      <c r="A42" s="11">
        <v>44652</v>
      </c>
      <c r="B42">
        <v>7.79</v>
      </c>
      <c r="C42">
        <v>7.09</v>
      </c>
      <c r="D42">
        <v>8.3800000000000008</v>
      </c>
      <c r="E42">
        <v>6.95</v>
      </c>
      <c r="F42">
        <v>6.3</v>
      </c>
      <c r="G42">
        <v>7.73</v>
      </c>
      <c r="H42">
        <v>8.66</v>
      </c>
      <c r="I42">
        <v>8.4</v>
      </c>
      <c r="J42">
        <v>8.8800000000000008</v>
      </c>
      <c r="K42">
        <v>6.46</v>
      </c>
      <c r="L42">
        <v>9.15</v>
      </c>
      <c r="M42">
        <v>7.15</v>
      </c>
      <c r="N42">
        <v>8.18</v>
      </c>
    </row>
    <row r="43" spans="1:14" x14ac:dyDescent="0.2">
      <c r="A43" s="11">
        <v>44682</v>
      </c>
      <c r="B43">
        <v>7.04</v>
      </c>
      <c r="C43">
        <v>7.08</v>
      </c>
      <c r="D43">
        <v>7.08</v>
      </c>
      <c r="E43">
        <v>6.17</v>
      </c>
      <c r="F43">
        <v>6.12</v>
      </c>
      <c r="G43">
        <v>6.16</v>
      </c>
      <c r="H43">
        <v>8.1999999999999993</v>
      </c>
      <c r="I43">
        <v>8.7100000000000009</v>
      </c>
      <c r="J43">
        <v>7.85</v>
      </c>
      <c r="K43">
        <v>5.73</v>
      </c>
      <c r="L43">
        <v>8.5399999999999991</v>
      </c>
      <c r="M43">
        <v>6.2</v>
      </c>
      <c r="N43">
        <v>7.69</v>
      </c>
    </row>
    <row r="44" spans="1:14" x14ac:dyDescent="0.2">
      <c r="A44" s="11">
        <v>44713</v>
      </c>
      <c r="B44">
        <v>7.01</v>
      </c>
      <c r="C44">
        <v>6.86</v>
      </c>
      <c r="D44">
        <v>7.09</v>
      </c>
      <c r="E44">
        <v>6.02</v>
      </c>
      <c r="F44">
        <v>5.93</v>
      </c>
      <c r="G44">
        <v>6.15</v>
      </c>
      <c r="H44">
        <v>8.1</v>
      </c>
      <c r="I44">
        <v>8.64</v>
      </c>
      <c r="J44">
        <v>7.81</v>
      </c>
      <c r="K44">
        <v>6.03</v>
      </c>
      <c r="L44">
        <v>7.97</v>
      </c>
      <c r="M44">
        <v>6.5</v>
      </c>
      <c r="N44">
        <v>7.29</v>
      </c>
    </row>
    <row r="45" spans="1:14" x14ac:dyDescent="0.2">
      <c r="A45" s="11">
        <v>44743</v>
      </c>
      <c r="B45">
        <v>6.71</v>
      </c>
      <c r="C45">
        <v>6.49</v>
      </c>
      <c r="D45">
        <v>6.8</v>
      </c>
      <c r="E45">
        <v>5.95</v>
      </c>
      <c r="F45">
        <v>5.78</v>
      </c>
      <c r="G45">
        <v>6.12</v>
      </c>
      <c r="H45">
        <v>7.44</v>
      </c>
      <c r="I45">
        <v>7.77</v>
      </c>
      <c r="J45">
        <v>7.29</v>
      </c>
      <c r="K45">
        <v>6.15</v>
      </c>
      <c r="L45">
        <v>7.12</v>
      </c>
      <c r="M45">
        <v>6.66</v>
      </c>
      <c r="N45">
        <v>6.58</v>
      </c>
    </row>
    <row r="46" spans="1:14" x14ac:dyDescent="0.2">
      <c r="A46" s="11">
        <v>44774</v>
      </c>
      <c r="B46">
        <v>7</v>
      </c>
      <c r="C46">
        <v>6.72</v>
      </c>
      <c r="D46">
        <v>7.15</v>
      </c>
      <c r="E46">
        <v>6.01</v>
      </c>
      <c r="F46">
        <v>5.87</v>
      </c>
      <c r="G46">
        <v>6.22</v>
      </c>
      <c r="H46">
        <v>8.09</v>
      </c>
      <c r="I46">
        <v>8.31</v>
      </c>
      <c r="J46">
        <v>7.93</v>
      </c>
      <c r="K46">
        <v>6.28</v>
      </c>
      <c r="L46">
        <v>7.69</v>
      </c>
      <c r="M46">
        <v>6.8</v>
      </c>
      <c r="N46">
        <v>7.08</v>
      </c>
    </row>
    <row r="47" spans="1:14" x14ac:dyDescent="0.2">
      <c r="A47" s="11">
        <v>44805</v>
      </c>
      <c r="B47">
        <v>7.41</v>
      </c>
      <c r="C47">
        <v>7.27</v>
      </c>
      <c r="D47">
        <v>7.56</v>
      </c>
      <c r="E47">
        <v>6.21</v>
      </c>
      <c r="F47">
        <v>6.17</v>
      </c>
      <c r="G47">
        <v>6.27</v>
      </c>
      <c r="H47">
        <v>8.8699999999999992</v>
      </c>
      <c r="I47">
        <v>9.18</v>
      </c>
      <c r="J47">
        <v>8.7100000000000009</v>
      </c>
      <c r="K47">
        <v>6.46</v>
      </c>
      <c r="L47">
        <v>8.4700000000000006</v>
      </c>
      <c r="M47">
        <v>6.9</v>
      </c>
      <c r="N47">
        <v>7.82</v>
      </c>
    </row>
    <row r="48" spans="1:14" x14ac:dyDescent="0.2">
      <c r="A48" s="11">
        <v>44835</v>
      </c>
      <c r="B48">
        <v>6.77</v>
      </c>
      <c r="C48">
        <v>6.5</v>
      </c>
      <c r="D48">
        <v>6.98</v>
      </c>
      <c r="E48">
        <v>6.14</v>
      </c>
      <c r="F48">
        <v>6.08</v>
      </c>
      <c r="G48">
        <v>6.21</v>
      </c>
      <c r="H48">
        <v>7.44</v>
      </c>
      <c r="I48">
        <v>7.21</v>
      </c>
      <c r="J48">
        <v>7.58</v>
      </c>
      <c r="K48">
        <v>6.53</v>
      </c>
      <c r="L48">
        <v>6.93</v>
      </c>
      <c r="M48">
        <v>6.95</v>
      </c>
      <c r="N48">
        <v>6.55</v>
      </c>
    </row>
    <row r="49" spans="1:14" x14ac:dyDescent="0.2">
      <c r="A49" s="11">
        <v>44866</v>
      </c>
      <c r="B49">
        <v>5.88</v>
      </c>
      <c r="C49">
        <v>5.68</v>
      </c>
      <c r="D49">
        <v>6.09</v>
      </c>
      <c r="E49">
        <v>6.18</v>
      </c>
      <c r="F49">
        <v>6.13</v>
      </c>
      <c r="G49">
        <v>6.27</v>
      </c>
      <c r="H49">
        <v>5.53</v>
      </c>
      <c r="I49">
        <v>4.8600000000000003</v>
      </c>
      <c r="J49">
        <v>5.91</v>
      </c>
      <c r="K49">
        <v>6.47</v>
      </c>
      <c r="L49">
        <v>5.25</v>
      </c>
      <c r="M49">
        <v>6.89</v>
      </c>
      <c r="N49">
        <v>5.15</v>
      </c>
    </row>
    <row r="50" spans="1:14" x14ac:dyDescent="0.2">
      <c r="A50" s="11">
        <v>44896</v>
      </c>
      <c r="B50">
        <v>5.72</v>
      </c>
      <c r="C50">
        <v>5.39</v>
      </c>
      <c r="D50">
        <v>6.05</v>
      </c>
      <c r="E50">
        <v>6.22</v>
      </c>
      <c r="F50">
        <v>6.13</v>
      </c>
      <c r="G50">
        <v>6.27</v>
      </c>
      <c r="H50">
        <v>5.18</v>
      </c>
      <c r="I50">
        <v>4.1399999999999997</v>
      </c>
      <c r="J50">
        <v>5.82</v>
      </c>
      <c r="K50">
        <v>6.41</v>
      </c>
      <c r="L50">
        <v>5</v>
      </c>
      <c r="M50">
        <v>6.84</v>
      </c>
      <c r="N50">
        <v>4.91</v>
      </c>
    </row>
    <row r="51" spans="1:14" x14ac:dyDescent="0.2">
      <c r="A51" s="11">
        <v>44927</v>
      </c>
      <c r="B51">
        <v>6.52</v>
      </c>
      <c r="C51">
        <v>6</v>
      </c>
      <c r="D51">
        <v>6.85</v>
      </c>
      <c r="E51">
        <v>6.24</v>
      </c>
      <c r="F51">
        <v>6.13</v>
      </c>
      <c r="G51">
        <v>6.38</v>
      </c>
      <c r="H51">
        <v>6.72</v>
      </c>
      <c r="I51">
        <v>5.85</v>
      </c>
      <c r="J51">
        <v>7.21</v>
      </c>
      <c r="K51">
        <v>6.47</v>
      </c>
      <c r="L51">
        <v>6.48</v>
      </c>
      <c r="M51">
        <v>6.88</v>
      </c>
      <c r="N51">
        <v>6.16</v>
      </c>
    </row>
    <row r="52" spans="1:14" x14ac:dyDescent="0.2">
      <c r="A52" s="11">
        <v>44958</v>
      </c>
      <c r="B52">
        <v>6.44</v>
      </c>
      <c r="C52">
        <v>6.1</v>
      </c>
      <c r="D52">
        <v>6.72</v>
      </c>
      <c r="E52">
        <v>6.22</v>
      </c>
      <c r="F52">
        <v>6.13</v>
      </c>
      <c r="G52">
        <v>6.36</v>
      </c>
      <c r="H52">
        <v>6.55</v>
      </c>
      <c r="I52">
        <v>5.98</v>
      </c>
      <c r="J52">
        <v>7</v>
      </c>
      <c r="K52">
        <v>6.48</v>
      </c>
      <c r="L52">
        <v>6.3</v>
      </c>
      <c r="M52">
        <v>6.85</v>
      </c>
      <c r="N52">
        <v>6.05</v>
      </c>
    </row>
    <row r="53" spans="1:14" x14ac:dyDescent="0.2">
      <c r="A53" s="11">
        <v>44986</v>
      </c>
      <c r="B53">
        <v>5.66</v>
      </c>
      <c r="C53">
        <v>5.89</v>
      </c>
      <c r="D53">
        <v>5.51</v>
      </c>
      <c r="E53">
        <v>5.95</v>
      </c>
      <c r="F53">
        <v>5.88</v>
      </c>
      <c r="G53">
        <v>6.04</v>
      </c>
      <c r="H53">
        <v>5.39</v>
      </c>
      <c r="I53">
        <v>5.77</v>
      </c>
      <c r="J53">
        <v>5.12</v>
      </c>
      <c r="K53">
        <v>6.18</v>
      </c>
      <c r="L53">
        <v>5.17</v>
      </c>
      <c r="M53">
        <v>6.46</v>
      </c>
      <c r="N53">
        <v>5.13</v>
      </c>
    </row>
    <row r="54" spans="1:14" x14ac:dyDescent="0.2">
      <c r="A54" s="11">
        <v>45017</v>
      </c>
      <c r="B54">
        <v>4.7</v>
      </c>
      <c r="C54">
        <v>4.8499999999999996</v>
      </c>
      <c r="D54">
        <v>4.68</v>
      </c>
      <c r="E54">
        <v>5.35</v>
      </c>
      <c r="F54">
        <v>5.29</v>
      </c>
      <c r="G54">
        <v>5.48</v>
      </c>
      <c r="H54">
        <v>4.09</v>
      </c>
      <c r="I54">
        <v>4.17</v>
      </c>
      <c r="J54">
        <v>4.01</v>
      </c>
      <c r="K54">
        <v>5.93</v>
      </c>
      <c r="L54">
        <v>3.54</v>
      </c>
      <c r="M54">
        <v>6.18</v>
      </c>
      <c r="N54">
        <v>3.74</v>
      </c>
    </row>
    <row r="55" spans="1:14" x14ac:dyDescent="0.2">
      <c r="A55" s="11">
        <v>45047</v>
      </c>
      <c r="B55">
        <v>4.3099999999999996</v>
      </c>
      <c r="C55">
        <v>4.33</v>
      </c>
      <c r="D55">
        <v>4.2300000000000004</v>
      </c>
      <c r="E55">
        <v>5.17</v>
      </c>
      <c r="F55">
        <v>5.14</v>
      </c>
      <c r="G55">
        <v>5.24</v>
      </c>
      <c r="H55">
        <v>3.22</v>
      </c>
      <c r="I55">
        <v>2.94</v>
      </c>
      <c r="J55">
        <v>3.42</v>
      </c>
      <c r="K55">
        <v>5.67</v>
      </c>
      <c r="L55">
        <v>2.8</v>
      </c>
      <c r="M55">
        <v>5.86</v>
      </c>
      <c r="N55">
        <v>3.13</v>
      </c>
    </row>
    <row r="56" spans="1:14" x14ac:dyDescent="0.2">
      <c r="A56" s="11">
        <v>45078</v>
      </c>
      <c r="B56">
        <v>4.87</v>
      </c>
      <c r="C56">
        <v>4.96</v>
      </c>
      <c r="D56">
        <v>4.78</v>
      </c>
      <c r="E56">
        <v>5.16</v>
      </c>
      <c r="F56">
        <v>5.1100000000000003</v>
      </c>
      <c r="G56">
        <v>5.23</v>
      </c>
      <c r="H56">
        <v>4.45</v>
      </c>
      <c r="I56">
        <v>4.51</v>
      </c>
      <c r="J56">
        <v>4.41</v>
      </c>
      <c r="K56">
        <v>5.41</v>
      </c>
      <c r="L56">
        <v>4.26</v>
      </c>
      <c r="M56">
        <v>5.6</v>
      </c>
      <c r="N56">
        <v>4.3099999999999996</v>
      </c>
    </row>
    <row r="57" spans="1:14" x14ac:dyDescent="0.2">
      <c r="A57" s="11">
        <v>45108</v>
      </c>
      <c r="B57">
        <v>7.44</v>
      </c>
      <c r="C57">
        <v>7.2</v>
      </c>
      <c r="D57">
        <v>7.63</v>
      </c>
      <c r="E57">
        <v>4.97</v>
      </c>
      <c r="F57">
        <v>4.93</v>
      </c>
      <c r="G57">
        <v>5.05</v>
      </c>
      <c r="H57">
        <v>10.31</v>
      </c>
      <c r="I57">
        <v>11.11</v>
      </c>
      <c r="J57">
        <v>9.8800000000000008</v>
      </c>
      <c r="K57">
        <v>5.18</v>
      </c>
      <c r="L57">
        <v>9.8800000000000008</v>
      </c>
      <c r="M57">
        <v>5.34</v>
      </c>
      <c r="N57">
        <v>9</v>
      </c>
    </row>
    <row r="58" spans="1:14" x14ac:dyDescent="0.2">
      <c r="A58" s="11">
        <v>45139</v>
      </c>
      <c r="B58">
        <v>6.83</v>
      </c>
      <c r="C58">
        <v>6.59</v>
      </c>
      <c r="D58">
        <v>7.02</v>
      </c>
      <c r="E58">
        <v>4.82</v>
      </c>
      <c r="F58">
        <v>4.8</v>
      </c>
      <c r="G58">
        <v>4.8600000000000003</v>
      </c>
      <c r="H58">
        <v>9.09</v>
      </c>
      <c r="I58">
        <v>9.57</v>
      </c>
      <c r="J58">
        <v>8.8000000000000007</v>
      </c>
      <c r="K58">
        <v>5</v>
      </c>
      <c r="L58">
        <v>8.7200000000000006</v>
      </c>
      <c r="M58">
        <v>5.13</v>
      </c>
      <c r="N58">
        <v>8.02</v>
      </c>
    </row>
    <row r="59" spans="1:14" x14ac:dyDescent="0.2">
      <c r="A59" s="11">
        <v>45170</v>
      </c>
      <c r="B59">
        <v>5.0199999999999996</v>
      </c>
      <c r="C59">
        <v>4.6500000000000004</v>
      </c>
      <c r="D59">
        <v>5.33</v>
      </c>
      <c r="E59">
        <v>4.55</v>
      </c>
      <c r="F59">
        <v>4.4400000000000004</v>
      </c>
      <c r="G59">
        <v>4.6500000000000004</v>
      </c>
      <c r="H59">
        <v>5.6</v>
      </c>
      <c r="I59">
        <v>5.04</v>
      </c>
      <c r="J59">
        <v>5.87</v>
      </c>
      <c r="K59">
        <v>4.6900000000000004</v>
      </c>
      <c r="L59">
        <v>5.39</v>
      </c>
      <c r="M59">
        <v>4.8499999999999996</v>
      </c>
      <c r="N59">
        <v>5.15</v>
      </c>
    </row>
    <row r="60" spans="1:14" x14ac:dyDescent="0.2">
      <c r="A60" s="11">
        <v>45200</v>
      </c>
      <c r="B60">
        <v>4.87</v>
      </c>
      <c r="C60">
        <v>4.62</v>
      </c>
      <c r="D60">
        <v>5.12</v>
      </c>
      <c r="E60">
        <v>4.3</v>
      </c>
      <c r="F60">
        <v>4.26</v>
      </c>
      <c r="G60">
        <v>4.34</v>
      </c>
      <c r="H60">
        <v>5.56</v>
      </c>
      <c r="I60">
        <v>5.21</v>
      </c>
      <c r="J60">
        <v>5.78</v>
      </c>
      <c r="K60">
        <v>4.46</v>
      </c>
      <c r="L60">
        <v>5.35</v>
      </c>
      <c r="M60">
        <v>4.62</v>
      </c>
      <c r="N60">
        <v>5.09</v>
      </c>
    </row>
    <row r="61" spans="1:14" x14ac:dyDescent="0.2">
      <c r="A61" s="11">
        <v>45231</v>
      </c>
      <c r="B61">
        <v>5.55</v>
      </c>
      <c r="C61">
        <v>5.26</v>
      </c>
      <c r="D61">
        <v>5.85</v>
      </c>
      <c r="E61">
        <v>4.1100000000000003</v>
      </c>
      <c r="F61">
        <v>4.05</v>
      </c>
      <c r="G61">
        <v>4.16</v>
      </c>
      <c r="H61">
        <v>7.26</v>
      </c>
      <c r="I61">
        <v>7.45</v>
      </c>
      <c r="J61">
        <v>7.17</v>
      </c>
      <c r="K61">
        <v>4.22</v>
      </c>
      <c r="L61">
        <v>6.98</v>
      </c>
      <c r="M61">
        <v>4.38</v>
      </c>
      <c r="N61">
        <v>6.43</v>
      </c>
    </row>
    <row r="62" spans="1:14" x14ac:dyDescent="0.2">
      <c r="A62" s="11">
        <v>45261</v>
      </c>
      <c r="B62">
        <v>5.69</v>
      </c>
      <c r="C62">
        <v>5.46</v>
      </c>
      <c r="D62">
        <v>5.93</v>
      </c>
      <c r="E62">
        <v>3.9</v>
      </c>
      <c r="F62">
        <v>3.9</v>
      </c>
      <c r="G62">
        <v>3.93</v>
      </c>
      <c r="H62">
        <v>7.91</v>
      </c>
      <c r="I62">
        <v>8.2799999999999994</v>
      </c>
      <c r="J62">
        <v>7.69</v>
      </c>
      <c r="K62">
        <v>4.04</v>
      </c>
      <c r="L62">
        <v>7.59</v>
      </c>
      <c r="M62">
        <v>4.1399999999999997</v>
      </c>
      <c r="N62">
        <v>6.93</v>
      </c>
    </row>
    <row r="63" spans="1:14" x14ac:dyDescent="0.2">
      <c r="A63" s="11">
        <v>45292</v>
      </c>
      <c r="B63">
        <v>5.0999999999999996</v>
      </c>
      <c r="C63">
        <v>4.92</v>
      </c>
      <c r="D63">
        <v>5.34</v>
      </c>
      <c r="E63">
        <v>3.63</v>
      </c>
      <c r="F63">
        <v>3.62</v>
      </c>
      <c r="G63">
        <v>3.65</v>
      </c>
      <c r="H63">
        <v>6.93</v>
      </c>
      <c r="I63">
        <v>7.18</v>
      </c>
      <c r="J63">
        <v>6.79</v>
      </c>
      <c r="K63">
        <v>3.75</v>
      </c>
      <c r="L63">
        <v>6.65</v>
      </c>
      <c r="M63">
        <v>3.88</v>
      </c>
      <c r="N63">
        <v>6.07</v>
      </c>
    </row>
    <row r="64" spans="1:14" x14ac:dyDescent="0.2">
      <c r="A64" s="11">
        <v>45323</v>
      </c>
      <c r="B64">
        <v>5.09</v>
      </c>
      <c r="C64">
        <v>4.78</v>
      </c>
      <c r="D64">
        <v>5.34</v>
      </c>
      <c r="E64">
        <v>3.41</v>
      </c>
      <c r="F64">
        <v>3.37</v>
      </c>
      <c r="G64">
        <v>3.41</v>
      </c>
      <c r="H64">
        <v>7.2</v>
      </c>
      <c r="I64">
        <v>7.26</v>
      </c>
      <c r="J64">
        <v>7.09</v>
      </c>
      <c r="K64">
        <v>3.49</v>
      </c>
      <c r="L64">
        <v>6.91</v>
      </c>
      <c r="M64">
        <v>3.62</v>
      </c>
      <c r="N64">
        <v>6.24</v>
      </c>
    </row>
    <row r="65" spans="1:14" x14ac:dyDescent="0.2">
      <c r="A65" s="11">
        <v>45352</v>
      </c>
      <c r="B65">
        <v>4.8499999999999996</v>
      </c>
      <c r="C65">
        <v>4.1399999999999997</v>
      </c>
      <c r="D65">
        <v>5.51</v>
      </c>
      <c r="E65">
        <v>3.27</v>
      </c>
      <c r="F65">
        <v>3.27</v>
      </c>
      <c r="G65">
        <v>3.3</v>
      </c>
      <c r="H65">
        <v>6.69</v>
      </c>
      <c r="I65">
        <v>5.7</v>
      </c>
      <c r="J65">
        <v>7.24</v>
      </c>
      <c r="K65">
        <v>3.42</v>
      </c>
      <c r="L65">
        <v>6.38</v>
      </c>
      <c r="M65">
        <v>3.58</v>
      </c>
      <c r="N65">
        <v>5.77</v>
      </c>
    </row>
    <row r="66" spans="1:14" x14ac:dyDescent="0.2">
      <c r="A66" s="11">
        <v>45383</v>
      </c>
      <c r="B66">
        <v>4.83</v>
      </c>
      <c r="C66">
        <v>4.1100000000000003</v>
      </c>
      <c r="D66">
        <v>5.43</v>
      </c>
      <c r="E66">
        <v>3.25</v>
      </c>
      <c r="F66">
        <v>3.21</v>
      </c>
      <c r="G66">
        <v>3.29</v>
      </c>
      <c r="H66">
        <v>6.75</v>
      </c>
      <c r="I66">
        <v>5.77</v>
      </c>
      <c r="J66">
        <v>7.28</v>
      </c>
      <c r="K66">
        <v>3.42</v>
      </c>
      <c r="L66">
        <v>6.39</v>
      </c>
      <c r="M66">
        <v>3.59</v>
      </c>
      <c r="N66">
        <v>5.77</v>
      </c>
    </row>
    <row r="67" spans="1:14" x14ac:dyDescent="0.2">
      <c r="A67" s="11">
        <v>45413</v>
      </c>
      <c r="B67">
        <v>4.8</v>
      </c>
      <c r="C67">
        <v>4.21</v>
      </c>
      <c r="D67">
        <v>5.34</v>
      </c>
      <c r="E67">
        <v>3.12</v>
      </c>
      <c r="F67">
        <v>3.1</v>
      </c>
      <c r="G67">
        <v>3.2</v>
      </c>
      <c r="H67">
        <v>6.8</v>
      </c>
      <c r="I67">
        <v>6.19</v>
      </c>
      <c r="J67">
        <v>7.16</v>
      </c>
      <c r="K67">
        <v>3.33</v>
      </c>
      <c r="L67">
        <v>6.44</v>
      </c>
      <c r="M67">
        <v>3.51</v>
      </c>
      <c r="N67">
        <v>5.81</v>
      </c>
    </row>
    <row r="68" spans="1:14" x14ac:dyDescent="0.2">
      <c r="A68" s="11">
        <v>45444</v>
      </c>
      <c r="B68">
        <v>5.08</v>
      </c>
      <c r="C68">
        <v>4.3899999999999997</v>
      </c>
      <c r="D68">
        <v>5.66</v>
      </c>
      <c r="E68">
        <v>3.16</v>
      </c>
      <c r="F68">
        <v>3.14</v>
      </c>
      <c r="G68">
        <v>3.18</v>
      </c>
      <c r="H68">
        <v>7.41</v>
      </c>
      <c r="I68">
        <v>6.78</v>
      </c>
      <c r="J68">
        <v>7.72</v>
      </c>
      <c r="K68">
        <v>3.33</v>
      </c>
      <c r="L68">
        <v>7.03</v>
      </c>
      <c r="M68">
        <v>3.48</v>
      </c>
      <c r="N68">
        <v>6.33</v>
      </c>
    </row>
    <row r="69" spans="1:14" x14ac:dyDescent="0.2">
      <c r="A69" s="11">
        <v>45474</v>
      </c>
      <c r="B69">
        <v>3.6</v>
      </c>
      <c r="C69">
        <v>3.03</v>
      </c>
      <c r="D69">
        <v>4.0999999999999996</v>
      </c>
      <c r="E69">
        <v>3.37</v>
      </c>
      <c r="F69">
        <v>3.31</v>
      </c>
      <c r="G69">
        <v>3.43</v>
      </c>
      <c r="H69">
        <v>3.85</v>
      </c>
      <c r="I69">
        <v>2.5099999999999998</v>
      </c>
      <c r="J69">
        <v>4.6500000000000004</v>
      </c>
      <c r="K69">
        <v>3.56</v>
      </c>
      <c r="L69">
        <v>3.63</v>
      </c>
      <c r="M69">
        <v>3.76</v>
      </c>
      <c r="N69">
        <v>3.48</v>
      </c>
    </row>
    <row r="70" spans="1:14" x14ac:dyDescent="0.2">
      <c r="A70" s="11">
        <v>45505</v>
      </c>
      <c r="B70">
        <v>3.65</v>
      </c>
      <c r="C70">
        <v>3.14</v>
      </c>
      <c r="D70">
        <v>4.16</v>
      </c>
      <c r="E70">
        <v>3.38</v>
      </c>
      <c r="F70">
        <v>3.38</v>
      </c>
      <c r="G70">
        <v>3.39</v>
      </c>
      <c r="H70">
        <v>4.08</v>
      </c>
      <c r="I70">
        <v>2.82</v>
      </c>
      <c r="J70">
        <v>4.79</v>
      </c>
      <c r="K70">
        <v>3.58</v>
      </c>
      <c r="L70">
        <v>3.86</v>
      </c>
      <c r="M70">
        <v>3.8</v>
      </c>
      <c r="N70">
        <v>3.66</v>
      </c>
    </row>
    <row r="71" spans="1:14" x14ac:dyDescent="0.2">
      <c r="A71" s="11">
        <v>45536</v>
      </c>
      <c r="B71">
        <v>5.49</v>
      </c>
      <c r="C71">
        <v>5.05</v>
      </c>
      <c r="D71">
        <v>5.87</v>
      </c>
      <c r="E71">
        <v>3.48</v>
      </c>
      <c r="F71">
        <v>3.5</v>
      </c>
      <c r="G71">
        <v>3.45</v>
      </c>
      <c r="H71">
        <v>7.73</v>
      </c>
      <c r="I71">
        <v>7.69</v>
      </c>
      <c r="J71">
        <v>7.76</v>
      </c>
      <c r="K71">
        <v>3.67</v>
      </c>
      <c r="L71">
        <v>7.35</v>
      </c>
      <c r="M71">
        <v>3.9</v>
      </c>
      <c r="N71">
        <v>6.61</v>
      </c>
    </row>
    <row r="72" spans="1:14" x14ac:dyDescent="0.2">
      <c r="A72" s="11">
        <v>45566</v>
      </c>
      <c r="B72">
        <v>6.21</v>
      </c>
      <c r="C72">
        <v>5.62</v>
      </c>
      <c r="D72">
        <v>6.68</v>
      </c>
      <c r="E72">
        <v>3.65</v>
      </c>
      <c r="F72">
        <v>3.63</v>
      </c>
      <c r="G72">
        <v>3.72</v>
      </c>
      <c r="H72">
        <v>9.09</v>
      </c>
      <c r="I72">
        <v>8.98</v>
      </c>
      <c r="J72">
        <v>9.09</v>
      </c>
      <c r="K72">
        <v>3.85</v>
      </c>
      <c r="L72">
        <v>8.67</v>
      </c>
      <c r="M72">
        <v>4.09</v>
      </c>
      <c r="N72">
        <v>7.73</v>
      </c>
    </row>
    <row r="73" spans="1:14" x14ac:dyDescent="0.2">
      <c r="A73" s="11">
        <v>45597</v>
      </c>
      <c r="B73">
        <v>5.48</v>
      </c>
      <c r="C73">
        <v>4.8899999999999997</v>
      </c>
      <c r="D73">
        <v>5.95</v>
      </c>
      <c r="E73">
        <v>3.65</v>
      </c>
      <c r="F73">
        <v>3.6</v>
      </c>
      <c r="G73">
        <v>3.76</v>
      </c>
      <c r="H73">
        <v>7.51</v>
      </c>
      <c r="I73">
        <v>6.97</v>
      </c>
      <c r="J73">
        <v>7.71</v>
      </c>
      <c r="K73">
        <v>3.87</v>
      </c>
      <c r="L73">
        <v>7.15</v>
      </c>
      <c r="M73">
        <v>4.1100000000000003</v>
      </c>
      <c r="N73">
        <v>6.46</v>
      </c>
    </row>
    <row r="74" spans="1:14" x14ac:dyDescent="0.2">
      <c r="A74" s="11">
        <v>45627</v>
      </c>
      <c r="B74">
        <v>5.22</v>
      </c>
      <c r="C74">
        <v>4.58</v>
      </c>
      <c r="D74">
        <v>5.76</v>
      </c>
      <c r="E74">
        <v>3.61</v>
      </c>
      <c r="F74">
        <v>3.52</v>
      </c>
      <c r="G74">
        <v>3.74</v>
      </c>
      <c r="H74">
        <v>7.01</v>
      </c>
      <c r="I74">
        <v>6.34</v>
      </c>
      <c r="J74">
        <v>7.38</v>
      </c>
      <c r="K74">
        <v>3.82</v>
      </c>
      <c r="L74">
        <v>6.67</v>
      </c>
      <c r="M74">
        <v>4.09</v>
      </c>
      <c r="N74">
        <v>6.03</v>
      </c>
    </row>
    <row r="75" spans="1:14" x14ac:dyDescent="0.2">
      <c r="A75" s="11">
        <v>45658</v>
      </c>
      <c r="B75">
        <v>4.26</v>
      </c>
      <c r="C75">
        <v>3.87</v>
      </c>
      <c r="D75">
        <v>4.59</v>
      </c>
      <c r="E75">
        <v>3.71</v>
      </c>
      <c r="F75">
        <v>3.65</v>
      </c>
      <c r="G75">
        <v>3.79</v>
      </c>
      <c r="H75">
        <v>4.9000000000000004</v>
      </c>
      <c r="I75">
        <v>4.3</v>
      </c>
      <c r="J75">
        <v>5.32</v>
      </c>
      <c r="K75">
        <v>3.91</v>
      </c>
      <c r="L75">
        <v>4.6399999999999997</v>
      </c>
      <c r="M75">
        <v>4.16</v>
      </c>
      <c r="N75">
        <v>4.34</v>
      </c>
    </row>
    <row r="76" spans="1:14" x14ac:dyDescent="0.2">
      <c r="A76" s="11">
        <v>45689</v>
      </c>
      <c r="B76">
        <v>3.61</v>
      </c>
      <c r="C76">
        <v>3.32</v>
      </c>
      <c r="D76">
        <v>3.79</v>
      </c>
      <c r="E76">
        <v>4.01</v>
      </c>
      <c r="F76">
        <v>3.91</v>
      </c>
      <c r="G76">
        <v>4.1399999999999997</v>
      </c>
      <c r="H76">
        <v>3.02</v>
      </c>
      <c r="I76">
        <v>2.31</v>
      </c>
      <c r="J76">
        <v>3.41</v>
      </c>
      <c r="K76">
        <v>4.21</v>
      </c>
      <c r="L76">
        <v>2.84</v>
      </c>
      <c r="M76">
        <v>4.5199999999999996</v>
      </c>
      <c r="N76">
        <v>2.83</v>
      </c>
    </row>
    <row r="77" spans="1:14" x14ac:dyDescent="0.2">
      <c r="A77" s="11">
        <v>45717</v>
      </c>
      <c r="B77">
        <v>3.34</v>
      </c>
      <c r="C77">
        <v>3.43</v>
      </c>
      <c r="D77">
        <v>3.25</v>
      </c>
      <c r="E77">
        <v>4.12</v>
      </c>
      <c r="F77">
        <v>4.0199999999999996</v>
      </c>
      <c r="G77">
        <v>4.24</v>
      </c>
      <c r="H77">
        <v>2.5099999999999998</v>
      </c>
      <c r="I77">
        <v>2.4500000000000002</v>
      </c>
      <c r="J77">
        <v>2.56</v>
      </c>
      <c r="K77">
        <v>4.3</v>
      </c>
      <c r="L77">
        <v>2.39</v>
      </c>
      <c r="M77">
        <v>4.59</v>
      </c>
      <c r="N77">
        <v>2.4700000000000002</v>
      </c>
    </row>
    <row r="78" spans="1:14" x14ac:dyDescent="0.2">
      <c r="A78" s="11">
        <v>45748</v>
      </c>
      <c r="B78">
        <v>3.16</v>
      </c>
      <c r="C78">
        <v>3.36</v>
      </c>
      <c r="D78">
        <v>2.92</v>
      </c>
      <c r="E78">
        <v>4.1500000000000004</v>
      </c>
      <c r="F78">
        <v>4.09</v>
      </c>
      <c r="G78">
        <v>4.22</v>
      </c>
      <c r="H78">
        <v>1.93</v>
      </c>
      <c r="I78">
        <v>2.02</v>
      </c>
      <c r="J78">
        <v>1.89</v>
      </c>
      <c r="K78">
        <v>4.3</v>
      </c>
      <c r="L78">
        <v>1.87</v>
      </c>
      <c r="M78">
        <v>4.58</v>
      </c>
      <c r="N78">
        <v>2.0499999999999998</v>
      </c>
    </row>
    <row r="79" spans="1:14" x14ac:dyDescent="0.2">
      <c r="A79" s="11">
        <v>45778</v>
      </c>
      <c r="B79">
        <v>2.82</v>
      </c>
      <c r="C79">
        <v>3.12</v>
      </c>
      <c r="D79">
        <v>2.59</v>
      </c>
      <c r="E79">
        <v>4.26</v>
      </c>
      <c r="F79">
        <v>4.18</v>
      </c>
      <c r="G79">
        <v>4.3600000000000003</v>
      </c>
      <c r="H79">
        <v>1.24</v>
      </c>
      <c r="I79">
        <v>1.35</v>
      </c>
      <c r="J79">
        <v>1.1499999999999999</v>
      </c>
      <c r="K79">
        <v>4.41</v>
      </c>
      <c r="L79">
        <v>1.21</v>
      </c>
      <c r="M79">
        <v>4.7</v>
      </c>
      <c r="N79">
        <v>1.51</v>
      </c>
    </row>
    <row r="80" spans="1:14" x14ac:dyDescent="0.2">
      <c r="A80" s="11">
        <v>45809</v>
      </c>
      <c r="B80">
        <v>2.1</v>
      </c>
      <c r="C80">
        <v>2.56</v>
      </c>
      <c r="D80">
        <v>1.72</v>
      </c>
      <c r="E80">
        <v>4.4000000000000004</v>
      </c>
      <c r="F80">
        <v>4.3</v>
      </c>
      <c r="G80">
        <v>4.5</v>
      </c>
      <c r="H80">
        <v>-0.53</v>
      </c>
      <c r="I80">
        <v>-0.53</v>
      </c>
      <c r="J80">
        <v>-0.49</v>
      </c>
      <c r="K80">
        <v>4.53</v>
      </c>
      <c r="L80">
        <v>-0.5</v>
      </c>
      <c r="M80">
        <v>4.8499999999999996</v>
      </c>
      <c r="N80">
        <v>0.05</v>
      </c>
    </row>
    <row r="81" spans="1:14" x14ac:dyDescent="0.2">
      <c r="A81" s="11">
        <v>45839</v>
      </c>
      <c r="B81">
        <v>1.61</v>
      </c>
      <c r="C81">
        <v>2.1</v>
      </c>
      <c r="D81">
        <v>1.18</v>
      </c>
      <c r="E81">
        <v>4.16</v>
      </c>
      <c r="F81">
        <v>4.0999999999999996</v>
      </c>
      <c r="G81">
        <v>4.2300000000000004</v>
      </c>
      <c r="H81">
        <v>-1.18</v>
      </c>
      <c r="I81">
        <v>-1.2</v>
      </c>
      <c r="J81">
        <v>-1.23</v>
      </c>
      <c r="K81">
        <v>4.29</v>
      </c>
      <c r="L81">
        <v>-1.1299999999999999</v>
      </c>
      <c r="M81">
        <v>4.5599999999999996</v>
      </c>
      <c r="N81">
        <v>-0.5</v>
      </c>
    </row>
    <row r="82" spans="1:14" x14ac:dyDescent="0.2">
      <c r="A82" s="11">
        <v>45870</v>
      </c>
      <c r="B82">
        <v>2.0699999999999998</v>
      </c>
      <c r="C82">
        <v>2.4700000000000002</v>
      </c>
      <c r="D82">
        <v>1.69</v>
      </c>
      <c r="E82">
        <v>4.13</v>
      </c>
      <c r="F82">
        <v>3.98</v>
      </c>
      <c r="G82">
        <v>4.3</v>
      </c>
      <c r="H82">
        <v>-0.28000000000000003</v>
      </c>
      <c r="I82">
        <v>-0.08</v>
      </c>
      <c r="J82">
        <v>-0.34</v>
      </c>
      <c r="K82">
        <v>4.24</v>
      </c>
      <c r="L82">
        <v>-0.26</v>
      </c>
      <c r="M82">
        <v>4.5199999999999996</v>
      </c>
      <c r="N82">
        <v>0.23</v>
      </c>
    </row>
    <row r="83" spans="1:14" x14ac:dyDescent="0.2">
      <c r="A83" s="11"/>
    </row>
    <row r="84" spans="1:14" x14ac:dyDescent="0.2">
      <c r="A84" t="s">
        <v>285</v>
      </c>
      <c r="B84" t="s">
        <v>1389</v>
      </c>
      <c r="C84" t="s">
        <v>1389</v>
      </c>
      <c r="D84" t="s">
        <v>1389</v>
      </c>
      <c r="E84" t="s">
        <v>1389</v>
      </c>
      <c r="F84" t="s">
        <v>1389</v>
      </c>
      <c r="G84" t="s">
        <v>1389</v>
      </c>
      <c r="H84" t="s">
        <v>1389</v>
      </c>
      <c r="I84" t="s">
        <v>1389</v>
      </c>
      <c r="J84" t="s">
        <v>1389</v>
      </c>
      <c r="K84" t="s">
        <v>1389</v>
      </c>
      <c r="L84" t="s">
        <v>1389</v>
      </c>
      <c r="M84" t="s">
        <v>1389</v>
      </c>
      <c r="N84" t="s">
        <v>1389</v>
      </c>
    </row>
    <row r="85" spans="1:14" x14ac:dyDescent="0.2">
      <c r="A85" t="s">
        <v>9</v>
      </c>
      <c r="B85">
        <v>5.53</v>
      </c>
      <c r="C85">
        <v>5.62</v>
      </c>
      <c r="D85">
        <v>5.44</v>
      </c>
      <c r="E85">
        <v>6.07</v>
      </c>
      <c r="F85">
        <v>5.51</v>
      </c>
      <c r="G85">
        <v>6.75</v>
      </c>
      <c r="H85">
        <v>4.9000000000000004</v>
      </c>
      <c r="I85">
        <v>5.82</v>
      </c>
      <c r="J85">
        <v>4.4000000000000004</v>
      </c>
      <c r="L85">
        <v>4.2300000000000004</v>
      </c>
      <c r="N85">
        <v>4.9800000000000004</v>
      </c>
    </row>
    <row r="86" spans="1:14" x14ac:dyDescent="0.2">
      <c r="A86" t="s">
        <v>11</v>
      </c>
      <c r="B86">
        <v>7.11</v>
      </c>
      <c r="C86">
        <v>6.85</v>
      </c>
      <c r="D86">
        <v>7.29</v>
      </c>
      <c r="E86">
        <v>6.22</v>
      </c>
      <c r="F86">
        <v>6</v>
      </c>
      <c r="G86">
        <v>6.47</v>
      </c>
      <c r="H86">
        <v>8.09</v>
      </c>
      <c r="I86">
        <v>8.36</v>
      </c>
      <c r="J86">
        <v>7.94</v>
      </c>
      <c r="K86">
        <v>6.13</v>
      </c>
      <c r="L86">
        <v>8.08</v>
      </c>
      <c r="M86">
        <v>6.66</v>
      </c>
      <c r="N86">
        <v>7.36</v>
      </c>
    </row>
    <row r="87" spans="1:14" x14ac:dyDescent="0.2">
      <c r="A87" t="s">
        <v>1270</v>
      </c>
      <c r="B87">
        <v>5.64</v>
      </c>
      <c r="C87">
        <v>5.59</v>
      </c>
      <c r="D87">
        <v>5.68</v>
      </c>
      <c r="E87">
        <v>5.0999999999999996</v>
      </c>
      <c r="F87">
        <v>5.05</v>
      </c>
      <c r="G87">
        <v>5.17</v>
      </c>
      <c r="H87">
        <v>6.26</v>
      </c>
      <c r="I87">
        <v>6.49</v>
      </c>
      <c r="J87">
        <v>6.13</v>
      </c>
      <c r="K87">
        <v>5.43</v>
      </c>
      <c r="L87">
        <v>5.86</v>
      </c>
      <c r="M87">
        <v>5.62</v>
      </c>
      <c r="N87">
        <v>5.66</v>
      </c>
    </row>
    <row r="88" spans="1:14" x14ac:dyDescent="0.2">
      <c r="A88" t="s">
        <v>1390</v>
      </c>
      <c r="B88">
        <v>4.38</v>
      </c>
      <c r="C88">
        <v>3.77</v>
      </c>
      <c r="D88">
        <v>4.93</v>
      </c>
      <c r="E88">
        <v>3.26</v>
      </c>
      <c r="F88">
        <v>3.23</v>
      </c>
      <c r="G88">
        <v>3.3</v>
      </c>
      <c r="H88">
        <v>5.73</v>
      </c>
      <c r="I88">
        <v>4.75</v>
      </c>
      <c r="J88">
        <v>6.28</v>
      </c>
      <c r="K88">
        <v>3.44</v>
      </c>
      <c r="L88">
        <v>5.42</v>
      </c>
      <c r="M88">
        <v>3.63</v>
      </c>
      <c r="N88">
        <v>4.9800000000000004</v>
      </c>
    </row>
    <row r="89" spans="1:14" x14ac:dyDescent="0.2">
      <c r="A89" t="s">
        <v>1391</v>
      </c>
      <c r="B89">
        <v>2.35</v>
      </c>
      <c r="C89">
        <v>2.72</v>
      </c>
      <c r="D89">
        <v>2.0099999999999998</v>
      </c>
      <c r="E89">
        <v>4.22</v>
      </c>
      <c r="F89">
        <v>4.13</v>
      </c>
      <c r="G89">
        <v>4.32</v>
      </c>
      <c r="H89">
        <v>0.21</v>
      </c>
      <c r="I89">
        <v>0.28000000000000003</v>
      </c>
      <c r="J89">
        <v>0.17</v>
      </c>
      <c r="K89">
        <v>4.3499999999999996</v>
      </c>
      <c r="L89">
        <v>0.21</v>
      </c>
      <c r="M89">
        <v>4.6399999999999997</v>
      </c>
      <c r="N89">
        <v>0.65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D67F-DC53-1E4B-89EF-2473D74A9530}">
  <dimension ref="A1:N26"/>
  <sheetViews>
    <sheetView workbookViewId="0">
      <selection activeCell="A7" sqref="A7:B26"/>
    </sheetView>
  </sheetViews>
  <sheetFormatPr baseColWidth="10" defaultRowHeight="16" x14ac:dyDescent="0.2"/>
  <cols>
    <col min="2" max="3" width="14.6640625" bestFit="1" customWidth="1"/>
  </cols>
  <sheetData>
    <row r="1" spans="1:14" x14ac:dyDescent="0.2">
      <c r="A1" t="s">
        <v>1369</v>
      </c>
    </row>
    <row r="2" spans="1:14" x14ac:dyDescent="0.2">
      <c r="A2" t="s">
        <v>1370</v>
      </c>
    </row>
    <row r="3" spans="1:14" x14ac:dyDescent="0.2">
      <c r="A3" t="s">
        <v>46</v>
      </c>
      <c r="B3" t="s">
        <v>1371</v>
      </c>
      <c r="C3" t="s">
        <v>1371</v>
      </c>
      <c r="D3" t="s">
        <v>1371</v>
      </c>
      <c r="E3" t="s">
        <v>1372</v>
      </c>
      <c r="F3" t="s">
        <v>1372</v>
      </c>
      <c r="G3" t="s">
        <v>1372</v>
      </c>
      <c r="H3" t="s">
        <v>1372</v>
      </c>
      <c r="I3" t="s">
        <v>1372</v>
      </c>
      <c r="J3" t="s">
        <v>1372</v>
      </c>
      <c r="K3" t="s">
        <v>1372</v>
      </c>
      <c r="L3" t="s">
        <v>1372</v>
      </c>
      <c r="M3" t="s">
        <v>1372</v>
      </c>
      <c r="N3" t="s">
        <v>1372</v>
      </c>
    </row>
    <row r="4" spans="1:14" x14ac:dyDescent="0.2">
      <c r="A4" t="s">
        <v>55</v>
      </c>
      <c r="B4" t="s">
        <v>1373</v>
      </c>
      <c r="C4" t="s">
        <v>1374</v>
      </c>
      <c r="D4" t="s">
        <v>1375</v>
      </c>
      <c r="E4" t="s">
        <v>1373</v>
      </c>
      <c r="F4" t="s">
        <v>1374</v>
      </c>
      <c r="G4" t="s">
        <v>1375</v>
      </c>
      <c r="H4" t="s">
        <v>1375</v>
      </c>
      <c r="I4" t="s">
        <v>1375</v>
      </c>
      <c r="J4" t="s">
        <v>1375</v>
      </c>
      <c r="K4" t="s">
        <v>1375</v>
      </c>
      <c r="L4" t="s">
        <v>1375</v>
      </c>
      <c r="M4" t="s">
        <v>1375</v>
      </c>
      <c r="N4" t="s">
        <v>1375</v>
      </c>
    </row>
    <row r="6" spans="1:14" x14ac:dyDescent="0.2">
      <c r="A6" t="s">
        <v>55</v>
      </c>
      <c r="B6" t="s">
        <v>1376</v>
      </c>
      <c r="C6" t="s">
        <v>1377</v>
      </c>
      <c r="D6" t="s">
        <v>1377</v>
      </c>
      <c r="E6" t="s">
        <v>1376</v>
      </c>
      <c r="F6" t="s">
        <v>1377</v>
      </c>
      <c r="G6" t="s">
        <v>1378</v>
      </c>
      <c r="H6" t="s">
        <v>1376</v>
      </c>
      <c r="I6" t="s">
        <v>1377</v>
      </c>
      <c r="J6" t="s">
        <v>1379</v>
      </c>
      <c r="K6" t="s">
        <v>1380</v>
      </c>
      <c r="L6" t="s">
        <v>1381</v>
      </c>
      <c r="M6" t="s">
        <v>1382</v>
      </c>
      <c r="N6" t="s">
        <v>1383</v>
      </c>
    </row>
    <row r="7" spans="1:14" x14ac:dyDescent="0.2">
      <c r="A7" t="s">
        <v>46</v>
      </c>
      <c r="B7" t="s">
        <v>1371</v>
      </c>
    </row>
    <row r="8" spans="1:14" x14ac:dyDescent="0.2">
      <c r="A8" t="s">
        <v>108</v>
      </c>
      <c r="B8">
        <v>87.4</v>
      </c>
      <c r="C8">
        <v>100</v>
      </c>
      <c r="D8">
        <v>100</v>
      </c>
      <c r="E8">
        <v>89.2</v>
      </c>
      <c r="F8">
        <v>100</v>
      </c>
      <c r="I8">
        <v>100</v>
      </c>
    </row>
    <row r="9" spans="1:14" x14ac:dyDescent="0.2">
      <c r="A9" t="s">
        <v>109</v>
      </c>
      <c r="B9">
        <v>89.1</v>
      </c>
      <c r="C9">
        <v>102</v>
      </c>
      <c r="D9">
        <v>104.3</v>
      </c>
      <c r="E9">
        <v>91.3</v>
      </c>
      <c r="F9">
        <v>102.4</v>
      </c>
      <c r="I9">
        <v>104.4</v>
      </c>
    </row>
    <row r="10" spans="1:14" x14ac:dyDescent="0.2">
      <c r="A10" t="s">
        <v>110</v>
      </c>
      <c r="B10">
        <v>87.8</v>
      </c>
      <c r="C10">
        <v>100.5</v>
      </c>
      <c r="D10">
        <v>104</v>
      </c>
      <c r="E10">
        <v>89.9</v>
      </c>
      <c r="F10">
        <v>100.8</v>
      </c>
      <c r="I10">
        <v>103.8</v>
      </c>
    </row>
    <row r="11" spans="1:14" x14ac:dyDescent="0.2">
      <c r="A11" t="s">
        <v>111</v>
      </c>
      <c r="B11">
        <v>95.4</v>
      </c>
      <c r="C11">
        <v>109.2</v>
      </c>
      <c r="D11">
        <v>114.6</v>
      </c>
      <c r="E11">
        <v>97.4</v>
      </c>
      <c r="F11">
        <v>109.2</v>
      </c>
      <c r="I11">
        <v>113.4</v>
      </c>
    </row>
    <row r="12" spans="1:14" x14ac:dyDescent="0.2">
      <c r="A12" t="s">
        <v>112</v>
      </c>
      <c r="B12">
        <v>87.1</v>
      </c>
      <c r="C12">
        <v>99.7</v>
      </c>
      <c r="D12">
        <v>106</v>
      </c>
      <c r="E12">
        <v>88.9</v>
      </c>
      <c r="F12">
        <v>99.7</v>
      </c>
      <c r="I12">
        <v>103.9</v>
      </c>
    </row>
    <row r="13" spans="1:14" x14ac:dyDescent="0.2">
      <c r="A13" t="s">
        <v>113</v>
      </c>
      <c r="B13">
        <v>91.7</v>
      </c>
      <c r="C13">
        <v>105</v>
      </c>
      <c r="D13">
        <v>113.4</v>
      </c>
      <c r="E13">
        <v>92.7</v>
      </c>
      <c r="F13">
        <v>103.9</v>
      </c>
      <c r="I13">
        <v>110.7</v>
      </c>
    </row>
    <row r="14" spans="1:14" x14ac:dyDescent="0.2">
      <c r="A14" t="s">
        <v>114</v>
      </c>
      <c r="B14">
        <v>100.5</v>
      </c>
      <c r="C14">
        <v>115</v>
      </c>
      <c r="D14">
        <v>128.5</v>
      </c>
      <c r="E14">
        <v>100.5</v>
      </c>
      <c r="F14">
        <v>112.7</v>
      </c>
      <c r="I14">
        <v>124.5</v>
      </c>
    </row>
    <row r="15" spans="1:14" x14ac:dyDescent="0.2">
      <c r="A15" t="s">
        <v>115</v>
      </c>
      <c r="B15">
        <v>98.9</v>
      </c>
      <c r="C15">
        <v>113.2</v>
      </c>
      <c r="D15">
        <v>125.8</v>
      </c>
      <c r="E15">
        <v>98.4</v>
      </c>
      <c r="F15">
        <v>110.3</v>
      </c>
      <c r="I15">
        <v>121.2</v>
      </c>
      <c r="J15">
        <v>106.3</v>
      </c>
    </row>
    <row r="16" spans="1:14" x14ac:dyDescent="0.2">
      <c r="A16" t="s">
        <v>116</v>
      </c>
      <c r="B16">
        <v>95</v>
      </c>
      <c r="C16">
        <v>108.7</v>
      </c>
      <c r="D16">
        <v>121.8</v>
      </c>
      <c r="E16">
        <v>94.2</v>
      </c>
      <c r="F16">
        <v>105.6</v>
      </c>
      <c r="I16">
        <v>117.2</v>
      </c>
      <c r="J16">
        <v>100</v>
      </c>
      <c r="K16">
        <v>103.9</v>
      </c>
    </row>
    <row r="17" spans="1:14" x14ac:dyDescent="0.2">
      <c r="A17" t="s">
        <v>117</v>
      </c>
      <c r="B17">
        <v>92.2</v>
      </c>
      <c r="C17">
        <v>105.5</v>
      </c>
      <c r="D17">
        <v>117.6</v>
      </c>
      <c r="E17">
        <v>92.1</v>
      </c>
      <c r="F17">
        <v>103.3</v>
      </c>
      <c r="I17">
        <v>112.8</v>
      </c>
      <c r="J17">
        <v>96.1</v>
      </c>
      <c r="K17">
        <v>100</v>
      </c>
      <c r="L17">
        <v>94.1</v>
      </c>
    </row>
    <row r="18" spans="1:14" x14ac:dyDescent="0.2">
      <c r="A18" t="s">
        <v>118</v>
      </c>
      <c r="B18">
        <v>97.2</v>
      </c>
      <c r="C18">
        <v>111.3</v>
      </c>
      <c r="E18">
        <v>97.2</v>
      </c>
      <c r="F18">
        <v>109</v>
      </c>
      <c r="H18">
        <v>97.7</v>
      </c>
      <c r="I18">
        <v>119.9</v>
      </c>
      <c r="K18">
        <v>106.4</v>
      </c>
      <c r="L18">
        <v>100</v>
      </c>
    </row>
    <row r="19" spans="1:14" x14ac:dyDescent="0.2">
      <c r="A19" t="s">
        <v>119</v>
      </c>
      <c r="B19">
        <v>100</v>
      </c>
      <c r="C19">
        <v>114.4</v>
      </c>
      <c r="E19">
        <v>100</v>
      </c>
      <c r="F19">
        <v>112.1</v>
      </c>
      <c r="H19">
        <v>100</v>
      </c>
      <c r="I19">
        <v>122.7</v>
      </c>
      <c r="L19">
        <v>103</v>
      </c>
      <c r="M19">
        <v>98</v>
      </c>
    </row>
    <row r="20" spans="1:14" x14ac:dyDescent="0.2">
      <c r="A20" t="s">
        <v>120</v>
      </c>
      <c r="B20">
        <v>101.4</v>
      </c>
      <c r="C20">
        <v>116.5</v>
      </c>
      <c r="E20">
        <v>101.8</v>
      </c>
      <c r="F20">
        <v>114.5</v>
      </c>
      <c r="H20">
        <v>102.7</v>
      </c>
      <c r="I20">
        <v>125.2</v>
      </c>
      <c r="M20">
        <v>100</v>
      </c>
    </row>
    <row r="21" spans="1:14" x14ac:dyDescent="0.2">
      <c r="A21" t="s">
        <v>121</v>
      </c>
      <c r="B21">
        <v>105.7</v>
      </c>
      <c r="C21">
        <v>121.9</v>
      </c>
      <c r="E21">
        <v>105.9</v>
      </c>
      <c r="F21">
        <v>119.7</v>
      </c>
      <c r="I21">
        <v>129.19999999999999</v>
      </c>
      <c r="M21">
        <v>103.8</v>
      </c>
    </row>
    <row r="22" spans="1:14" x14ac:dyDescent="0.2">
      <c r="A22" t="s">
        <v>122</v>
      </c>
      <c r="B22">
        <v>100.3</v>
      </c>
      <c r="C22">
        <v>116.3</v>
      </c>
      <c r="E22">
        <v>100.6</v>
      </c>
      <c r="F22">
        <v>114</v>
      </c>
      <c r="G22">
        <v>100</v>
      </c>
      <c r="H22">
        <v>100.3</v>
      </c>
      <c r="I22">
        <v>121.7</v>
      </c>
    </row>
    <row r="23" spans="1:14" x14ac:dyDescent="0.2">
      <c r="A23" t="s">
        <v>123</v>
      </c>
      <c r="B23">
        <v>102.9</v>
      </c>
      <c r="C23">
        <v>119.6</v>
      </c>
      <c r="E23">
        <v>103.2</v>
      </c>
      <c r="F23">
        <v>116.8</v>
      </c>
      <c r="G23">
        <v>103.3</v>
      </c>
      <c r="H23">
        <v>103.6</v>
      </c>
      <c r="I23">
        <v>125.8</v>
      </c>
    </row>
    <row r="24" spans="1:14" x14ac:dyDescent="0.2">
      <c r="A24" t="s">
        <v>8</v>
      </c>
      <c r="B24">
        <v>103</v>
      </c>
      <c r="E24">
        <v>103.5</v>
      </c>
      <c r="G24">
        <v>101.5</v>
      </c>
      <c r="H24">
        <v>101.8</v>
      </c>
    </row>
    <row r="25" spans="1:14" x14ac:dyDescent="0.2">
      <c r="A25" t="s">
        <v>9</v>
      </c>
      <c r="B25">
        <v>103.5</v>
      </c>
      <c r="E25">
        <v>104.6</v>
      </c>
      <c r="H25">
        <v>102.3</v>
      </c>
      <c r="N25">
        <v>100</v>
      </c>
    </row>
    <row r="26" spans="1:14" x14ac:dyDescent="0.2">
      <c r="A26" t="s">
        <v>11</v>
      </c>
      <c r="B26">
        <v>100.9</v>
      </c>
      <c r="E26">
        <v>102.7</v>
      </c>
      <c r="H26">
        <v>102</v>
      </c>
      <c r="N26">
        <v>99.7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7474-4BA6-9A44-B02D-40C06AECDD74}">
  <dimension ref="A1:C38"/>
  <sheetViews>
    <sheetView workbookViewId="0">
      <selection activeCell="A5" activeCellId="1" sqref="A35:C37 A5:C5"/>
    </sheetView>
  </sheetViews>
  <sheetFormatPr baseColWidth="10" defaultRowHeight="16" x14ac:dyDescent="0.2"/>
  <sheetData>
    <row r="1" spans="1:3" x14ac:dyDescent="0.2">
      <c r="A1" t="s">
        <v>1363</v>
      </c>
    </row>
    <row r="2" spans="1:3" x14ac:dyDescent="0.2">
      <c r="A2" t="s">
        <v>1364</v>
      </c>
    </row>
    <row r="3" spans="1:3" x14ac:dyDescent="0.2">
      <c r="A3" t="s">
        <v>46</v>
      </c>
      <c r="B3" t="s">
        <v>1365</v>
      </c>
      <c r="C3" t="s">
        <v>1365</v>
      </c>
    </row>
    <row r="4" spans="1:3" x14ac:dyDescent="0.2">
      <c r="A4" t="s">
        <v>55</v>
      </c>
      <c r="B4" t="s">
        <v>1366</v>
      </c>
      <c r="C4" t="s">
        <v>1366</v>
      </c>
    </row>
    <row r="5" spans="1:3" x14ac:dyDescent="0.2">
      <c r="A5" t="s">
        <v>46</v>
      </c>
      <c r="B5" t="s">
        <v>1367</v>
      </c>
      <c r="C5" t="s">
        <v>1368</v>
      </c>
    </row>
    <row r="6" spans="1:3" x14ac:dyDescent="0.2">
      <c r="A6" t="s">
        <v>95</v>
      </c>
      <c r="B6">
        <v>158.9</v>
      </c>
    </row>
    <row r="7" spans="1:3" x14ac:dyDescent="0.2">
      <c r="A7" t="s">
        <v>96</v>
      </c>
      <c r="B7">
        <v>167.8</v>
      </c>
    </row>
    <row r="8" spans="1:3" x14ac:dyDescent="0.2">
      <c r="A8" t="s">
        <v>97</v>
      </c>
      <c r="B8">
        <v>254.3</v>
      </c>
    </row>
    <row r="9" spans="1:3" x14ac:dyDescent="0.2">
      <c r="A9" t="s">
        <v>98</v>
      </c>
      <c r="B9">
        <v>371</v>
      </c>
    </row>
    <row r="10" spans="1:3" x14ac:dyDescent="0.2">
      <c r="A10" t="s">
        <v>99</v>
      </c>
      <c r="B10">
        <v>396.6</v>
      </c>
    </row>
    <row r="11" spans="1:3" x14ac:dyDescent="0.2">
      <c r="A11" t="s">
        <v>100</v>
      </c>
      <c r="B11">
        <v>391.4</v>
      </c>
    </row>
    <row r="12" spans="1:3" x14ac:dyDescent="0.2">
      <c r="A12" t="s">
        <v>101</v>
      </c>
      <c r="B12">
        <v>443.8</v>
      </c>
    </row>
    <row r="13" spans="1:3" x14ac:dyDescent="0.2">
      <c r="A13" t="s">
        <v>102</v>
      </c>
      <c r="B13">
        <v>480.8</v>
      </c>
    </row>
    <row r="14" spans="1:3" x14ac:dyDescent="0.2">
      <c r="A14" t="s">
        <v>103</v>
      </c>
      <c r="B14">
        <v>545.70000000000005</v>
      </c>
      <c r="C14">
        <v>16.100000000000001</v>
      </c>
    </row>
    <row r="15" spans="1:3" x14ac:dyDescent="0.2">
      <c r="A15" t="s">
        <v>104</v>
      </c>
      <c r="B15">
        <v>606.70000000000005</v>
      </c>
      <c r="C15">
        <v>21.4</v>
      </c>
    </row>
    <row r="16" spans="1:3" x14ac:dyDescent="0.2">
      <c r="A16" t="s">
        <v>105</v>
      </c>
      <c r="B16">
        <v>733.8</v>
      </c>
      <c r="C16">
        <v>36.200000000000003</v>
      </c>
    </row>
    <row r="17" spans="1:3" x14ac:dyDescent="0.2">
      <c r="A17" t="s">
        <v>106</v>
      </c>
      <c r="B17">
        <v>963.4</v>
      </c>
      <c r="C17">
        <v>23.9</v>
      </c>
    </row>
    <row r="18" spans="1:3" x14ac:dyDescent="0.2">
      <c r="A18" t="s">
        <v>107</v>
      </c>
      <c r="B18" s="7">
        <v>1249.2</v>
      </c>
      <c r="C18">
        <v>38.700000000000003</v>
      </c>
    </row>
    <row r="19" spans="1:3" x14ac:dyDescent="0.2">
      <c r="A19" t="s">
        <v>108</v>
      </c>
      <c r="B19" s="7">
        <v>1562.4</v>
      </c>
      <c r="C19">
        <v>33.299999999999997</v>
      </c>
    </row>
    <row r="20" spans="1:3" x14ac:dyDescent="0.2">
      <c r="A20" t="s">
        <v>109</v>
      </c>
      <c r="B20" s="7">
        <v>2038.5</v>
      </c>
      <c r="C20">
        <v>56.8</v>
      </c>
    </row>
    <row r="21" spans="1:3" x14ac:dyDescent="0.2">
      <c r="A21" t="s">
        <v>110</v>
      </c>
      <c r="B21" s="7">
        <v>2101.6</v>
      </c>
      <c r="C21">
        <v>70.900000000000006</v>
      </c>
    </row>
    <row r="22" spans="1:3" x14ac:dyDescent="0.2">
      <c r="A22" t="s">
        <v>111</v>
      </c>
      <c r="B22" s="7">
        <v>2378.1</v>
      </c>
      <c r="C22">
        <v>111</v>
      </c>
    </row>
    <row r="23" spans="1:3" x14ac:dyDescent="0.2">
      <c r="A23" t="s">
        <v>112</v>
      </c>
      <c r="B23" s="7">
        <v>2450.4</v>
      </c>
      <c r="C23">
        <v>138.9</v>
      </c>
    </row>
    <row r="24" spans="1:3" x14ac:dyDescent="0.2">
      <c r="A24" t="s">
        <v>113</v>
      </c>
      <c r="B24" s="7">
        <v>2475</v>
      </c>
      <c r="C24">
        <v>107.6</v>
      </c>
    </row>
    <row r="25" spans="1:3" x14ac:dyDescent="0.2">
      <c r="A25" t="s">
        <v>114</v>
      </c>
      <c r="B25" s="7">
        <v>3045</v>
      </c>
      <c r="C25">
        <v>197.2</v>
      </c>
    </row>
    <row r="26" spans="1:3" x14ac:dyDescent="0.2">
      <c r="A26" t="s">
        <v>115</v>
      </c>
      <c r="B26" s="7">
        <v>3652.6</v>
      </c>
      <c r="C26">
        <v>316.5</v>
      </c>
    </row>
    <row r="27" spans="1:3" x14ac:dyDescent="0.2">
      <c r="A27" t="s">
        <v>116</v>
      </c>
      <c r="B27" s="7">
        <v>3727.3</v>
      </c>
      <c r="C27">
        <v>326.8</v>
      </c>
    </row>
    <row r="28" spans="1:3" x14ac:dyDescent="0.2">
      <c r="A28" t="s">
        <v>117</v>
      </c>
      <c r="B28" s="7">
        <v>3497.7</v>
      </c>
      <c r="C28">
        <v>436.9</v>
      </c>
    </row>
    <row r="29" spans="1:3" x14ac:dyDescent="0.2">
      <c r="A29" t="s">
        <v>118</v>
      </c>
      <c r="B29" s="7">
        <v>3936.5</v>
      </c>
      <c r="C29">
        <v>524.4</v>
      </c>
    </row>
    <row r="30" spans="1:3" x14ac:dyDescent="0.2">
      <c r="A30" t="s">
        <v>119</v>
      </c>
      <c r="B30" s="7">
        <v>3827.8</v>
      </c>
      <c r="C30">
        <v>582</v>
      </c>
    </row>
    <row r="31" spans="1:3" x14ac:dyDescent="0.2">
      <c r="A31" t="s">
        <v>120</v>
      </c>
      <c r="B31" s="7">
        <v>3417.4</v>
      </c>
      <c r="C31">
        <v>595.70000000000005</v>
      </c>
    </row>
    <row r="32" spans="1:3" x14ac:dyDescent="0.2">
      <c r="A32" t="s">
        <v>121</v>
      </c>
      <c r="B32" s="7">
        <v>4112.7</v>
      </c>
      <c r="C32">
        <v>773.1</v>
      </c>
    </row>
    <row r="33" spans="1:3" x14ac:dyDescent="0.2">
      <c r="A33" t="s">
        <v>122</v>
      </c>
      <c r="B33" s="7">
        <v>4518.3</v>
      </c>
      <c r="C33" s="7">
        <v>1112</v>
      </c>
    </row>
    <row r="34" spans="1:3" x14ac:dyDescent="0.2">
      <c r="A34" t="s">
        <v>123</v>
      </c>
      <c r="B34" s="7">
        <v>4576.6000000000004</v>
      </c>
      <c r="C34" s="7">
        <v>1143.8</v>
      </c>
    </row>
    <row r="35" spans="1:3" x14ac:dyDescent="0.2">
      <c r="A35" t="s">
        <v>8</v>
      </c>
      <c r="B35" s="7">
        <v>3770.8</v>
      </c>
      <c r="C35">
        <v>878.9</v>
      </c>
    </row>
    <row r="36" spans="1:3" x14ac:dyDescent="0.2">
      <c r="A36" t="s">
        <v>9</v>
      </c>
      <c r="B36" s="7">
        <v>5449.6</v>
      </c>
      <c r="C36" s="7">
        <v>1266.5</v>
      </c>
    </row>
    <row r="37" spans="1:3" x14ac:dyDescent="0.2">
      <c r="A37" t="s">
        <v>11</v>
      </c>
      <c r="B37" s="7">
        <v>6153.3</v>
      </c>
      <c r="C37" s="7">
        <v>1756.7</v>
      </c>
    </row>
    <row r="38" spans="1:3" x14ac:dyDescent="0.2">
      <c r="A38" t="s">
        <v>1270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DD46-94C0-8A43-A5E3-DA58ACAEC6C8}">
  <dimension ref="A1:BQ43"/>
  <sheetViews>
    <sheetView topLeftCell="A15" workbookViewId="0">
      <selection activeCell="A40" sqref="A40:G43"/>
    </sheetView>
  </sheetViews>
  <sheetFormatPr baseColWidth="10" defaultRowHeight="16" x14ac:dyDescent="0.2"/>
  <sheetData>
    <row r="1" spans="1:69" x14ac:dyDescent="0.2">
      <c r="A1" t="s">
        <v>1291</v>
      </c>
    </row>
    <row r="2" spans="1:69" x14ac:dyDescent="0.2">
      <c r="A2" t="s">
        <v>1292</v>
      </c>
    </row>
    <row r="3" spans="1:69" x14ac:dyDescent="0.2">
      <c r="A3" t="s">
        <v>46</v>
      </c>
      <c r="B3" t="s">
        <v>1293</v>
      </c>
      <c r="C3" t="s">
        <v>1294</v>
      </c>
      <c r="D3" t="s">
        <v>1294</v>
      </c>
      <c r="E3" t="s">
        <v>1294</v>
      </c>
      <c r="F3" t="s">
        <v>1294</v>
      </c>
      <c r="G3" t="s">
        <v>1294</v>
      </c>
      <c r="H3" t="s">
        <v>1294</v>
      </c>
      <c r="I3" t="s">
        <v>1294</v>
      </c>
      <c r="J3" t="s">
        <v>1295</v>
      </c>
      <c r="K3" t="s">
        <v>1295</v>
      </c>
      <c r="L3" t="s">
        <v>1295</v>
      </c>
      <c r="M3" t="s">
        <v>1295</v>
      </c>
      <c r="N3" t="s">
        <v>1295</v>
      </c>
      <c r="O3" t="s">
        <v>1295</v>
      </c>
      <c r="P3" t="s">
        <v>1295</v>
      </c>
      <c r="Q3" t="s">
        <v>1295</v>
      </c>
      <c r="R3" t="s">
        <v>1295</v>
      </c>
      <c r="S3" t="s">
        <v>1295</v>
      </c>
      <c r="T3" t="s">
        <v>1295</v>
      </c>
      <c r="U3" t="s">
        <v>1295</v>
      </c>
      <c r="V3" t="s">
        <v>1295</v>
      </c>
      <c r="W3" t="s">
        <v>1295</v>
      </c>
      <c r="X3" t="s">
        <v>1295</v>
      </c>
      <c r="Y3" t="s">
        <v>1295</v>
      </c>
      <c r="Z3" t="s">
        <v>1295</v>
      </c>
      <c r="AA3" t="s">
        <v>1295</v>
      </c>
      <c r="AB3" t="s">
        <v>1295</v>
      </c>
      <c r="AC3" t="s">
        <v>1295</v>
      </c>
      <c r="AD3" t="s">
        <v>1295</v>
      </c>
      <c r="AE3" t="s">
        <v>1295</v>
      </c>
      <c r="AF3" t="s">
        <v>1295</v>
      </c>
      <c r="AG3" t="s">
        <v>1295</v>
      </c>
      <c r="AH3" t="s">
        <v>1295</v>
      </c>
      <c r="AI3" t="s">
        <v>1295</v>
      </c>
      <c r="AJ3" t="s">
        <v>1295</v>
      </c>
      <c r="AK3" t="s">
        <v>1295</v>
      </c>
      <c r="AL3" t="s">
        <v>1295</v>
      </c>
      <c r="AM3" t="s">
        <v>1295</v>
      </c>
      <c r="AN3" t="s">
        <v>1295</v>
      </c>
      <c r="AO3" t="s">
        <v>1295</v>
      </c>
      <c r="AP3" t="s">
        <v>1295</v>
      </c>
      <c r="AQ3" t="s">
        <v>1295</v>
      </c>
      <c r="AR3" t="s">
        <v>1295</v>
      </c>
      <c r="AS3" t="s">
        <v>1295</v>
      </c>
      <c r="AT3" t="s">
        <v>1295</v>
      </c>
      <c r="AU3" t="s">
        <v>1295</v>
      </c>
      <c r="AV3" t="s">
        <v>1295</v>
      </c>
      <c r="AW3" t="s">
        <v>1295</v>
      </c>
      <c r="AX3" t="s">
        <v>1295</v>
      </c>
      <c r="AY3" t="s">
        <v>1295</v>
      </c>
      <c r="AZ3" t="s">
        <v>1295</v>
      </c>
      <c r="BA3" t="s">
        <v>1295</v>
      </c>
      <c r="BB3" t="s">
        <v>1295</v>
      </c>
      <c r="BC3" t="s">
        <v>1295</v>
      </c>
      <c r="BD3" t="s">
        <v>1295</v>
      </c>
      <c r="BE3" t="s">
        <v>1295</v>
      </c>
      <c r="BF3" t="s">
        <v>1295</v>
      </c>
      <c r="BG3" t="s">
        <v>1295</v>
      </c>
      <c r="BH3" t="s">
        <v>1295</v>
      </c>
      <c r="BI3" t="s">
        <v>1295</v>
      </c>
      <c r="BJ3" t="s">
        <v>1295</v>
      </c>
      <c r="BK3" t="s">
        <v>1295</v>
      </c>
      <c r="BL3" t="s">
        <v>1295</v>
      </c>
      <c r="BM3" t="s">
        <v>1295</v>
      </c>
      <c r="BN3" t="s">
        <v>1295</v>
      </c>
      <c r="BO3" t="s">
        <v>1295</v>
      </c>
      <c r="BP3" t="s">
        <v>1295</v>
      </c>
      <c r="BQ3" t="s">
        <v>1295</v>
      </c>
    </row>
    <row r="4" spans="1:69" x14ac:dyDescent="0.2">
      <c r="A4" t="s">
        <v>55</v>
      </c>
      <c r="C4" t="s">
        <v>1296</v>
      </c>
      <c r="D4" t="s">
        <v>1297</v>
      </c>
      <c r="E4" t="s">
        <v>1298</v>
      </c>
      <c r="F4" t="s">
        <v>1299</v>
      </c>
      <c r="G4" t="s">
        <v>1300</v>
      </c>
      <c r="H4" t="s">
        <v>1301</v>
      </c>
      <c r="I4" t="s">
        <v>1302</v>
      </c>
      <c r="J4" t="s">
        <v>1303</v>
      </c>
      <c r="K4" t="s">
        <v>1304</v>
      </c>
      <c r="L4" t="s">
        <v>1305</v>
      </c>
      <c r="M4" t="s">
        <v>1306</v>
      </c>
      <c r="N4" t="s">
        <v>1307</v>
      </c>
      <c r="O4" t="s">
        <v>1308</v>
      </c>
      <c r="P4" t="s">
        <v>1309</v>
      </c>
      <c r="Q4" t="s">
        <v>1310</v>
      </c>
      <c r="R4" t="s">
        <v>1311</v>
      </c>
      <c r="S4" t="s">
        <v>1312</v>
      </c>
      <c r="T4" t="s">
        <v>1313</v>
      </c>
      <c r="U4" t="s">
        <v>1314</v>
      </c>
      <c r="V4" t="s">
        <v>1315</v>
      </c>
      <c r="W4" t="s">
        <v>1316</v>
      </c>
      <c r="X4" t="s">
        <v>1317</v>
      </c>
      <c r="Y4" t="s">
        <v>1318</v>
      </c>
      <c r="Z4" t="s">
        <v>1319</v>
      </c>
      <c r="AA4" t="s">
        <v>1320</v>
      </c>
      <c r="AB4" t="s">
        <v>1321</v>
      </c>
      <c r="AC4" t="s">
        <v>1322</v>
      </c>
      <c r="AD4" t="s">
        <v>1323</v>
      </c>
      <c r="AE4" t="s">
        <v>1324</v>
      </c>
      <c r="AF4" t="s">
        <v>1325</v>
      </c>
      <c r="AG4" t="s">
        <v>1326</v>
      </c>
      <c r="AH4" t="s">
        <v>1327</v>
      </c>
      <c r="AI4" t="s">
        <v>1328</v>
      </c>
      <c r="AJ4" t="s">
        <v>1329</v>
      </c>
      <c r="AK4" t="s">
        <v>1330</v>
      </c>
      <c r="AL4" t="s">
        <v>1331</v>
      </c>
      <c r="AM4" t="s">
        <v>1332</v>
      </c>
      <c r="AN4" t="s">
        <v>1333</v>
      </c>
      <c r="AO4" t="s">
        <v>1334</v>
      </c>
      <c r="AP4" t="s">
        <v>1335</v>
      </c>
      <c r="AQ4" t="s">
        <v>1336</v>
      </c>
      <c r="AR4" t="s">
        <v>1337</v>
      </c>
      <c r="AS4" t="s">
        <v>1338</v>
      </c>
      <c r="AT4" t="s">
        <v>1339</v>
      </c>
      <c r="AU4" t="s">
        <v>1340</v>
      </c>
      <c r="AV4" t="s">
        <v>1341</v>
      </c>
      <c r="AW4" t="s">
        <v>1342</v>
      </c>
      <c r="AX4" t="s">
        <v>1343</v>
      </c>
      <c r="AY4" t="s">
        <v>1344</v>
      </c>
      <c r="AZ4" t="s">
        <v>1345</v>
      </c>
      <c r="BA4" t="s">
        <v>1346</v>
      </c>
      <c r="BB4" t="s">
        <v>1347</v>
      </c>
      <c r="BC4" t="s">
        <v>1348</v>
      </c>
      <c r="BD4" t="s">
        <v>1349</v>
      </c>
      <c r="BE4" t="s">
        <v>1350</v>
      </c>
      <c r="BF4" t="s">
        <v>1351</v>
      </c>
      <c r="BG4" t="s">
        <v>1352</v>
      </c>
      <c r="BH4" t="s">
        <v>1353</v>
      </c>
      <c r="BI4" t="s">
        <v>1354</v>
      </c>
      <c r="BJ4" t="s">
        <v>1355</v>
      </c>
      <c r="BK4" t="s">
        <v>1356</v>
      </c>
      <c r="BL4" t="s">
        <v>1357</v>
      </c>
      <c r="BM4" t="s">
        <v>1358</v>
      </c>
      <c r="BN4" t="s">
        <v>1359</v>
      </c>
      <c r="BO4" t="s">
        <v>1360</v>
      </c>
      <c r="BP4" t="s">
        <v>1361</v>
      </c>
      <c r="BQ4" t="s">
        <v>1362</v>
      </c>
    </row>
    <row r="5" spans="1:69" x14ac:dyDescent="0.2">
      <c r="A5" t="s">
        <v>95</v>
      </c>
      <c r="B5" s="7">
        <v>2512.5</v>
      </c>
      <c r="C5">
        <v>106.7</v>
      </c>
      <c r="D5">
        <v>449.7</v>
      </c>
      <c r="E5" s="7">
        <v>1136.3</v>
      </c>
      <c r="F5">
        <v>765</v>
      </c>
      <c r="G5">
        <v>54.8</v>
      </c>
      <c r="J5">
        <v>394</v>
      </c>
      <c r="K5">
        <v>143</v>
      </c>
      <c r="L5">
        <v>166.8</v>
      </c>
      <c r="M5">
        <v>12.1</v>
      </c>
      <c r="N5">
        <v>31.1</v>
      </c>
      <c r="O5">
        <v>250.7</v>
      </c>
      <c r="P5">
        <v>304.8</v>
      </c>
      <c r="Q5">
        <v>120.8</v>
      </c>
      <c r="R5">
        <v>0.8</v>
      </c>
      <c r="S5">
        <v>7.8</v>
      </c>
      <c r="T5">
        <v>46</v>
      </c>
      <c r="U5">
        <v>29.2</v>
      </c>
      <c r="V5">
        <v>67.400000000000006</v>
      </c>
      <c r="W5">
        <v>31.6</v>
      </c>
      <c r="X5">
        <v>67.5</v>
      </c>
      <c r="Y5">
        <v>43.4</v>
      </c>
      <c r="Z5">
        <v>1.6</v>
      </c>
      <c r="AA5">
        <v>0.8</v>
      </c>
      <c r="AB5">
        <v>66.2</v>
      </c>
      <c r="AC5">
        <v>2.6</v>
      </c>
      <c r="AD5">
        <v>7.5</v>
      </c>
      <c r="AE5">
        <v>86.6</v>
      </c>
      <c r="AF5">
        <v>1.8</v>
      </c>
      <c r="AG5">
        <v>6.4</v>
      </c>
      <c r="AH5">
        <v>3.5</v>
      </c>
      <c r="AI5">
        <v>1.6</v>
      </c>
      <c r="AJ5">
        <v>0.1</v>
      </c>
      <c r="AK5">
        <v>36.5</v>
      </c>
      <c r="AL5">
        <v>8.4</v>
      </c>
      <c r="AM5">
        <v>12.3</v>
      </c>
      <c r="AO5">
        <v>0.6</v>
      </c>
      <c r="AP5">
        <v>3.6</v>
      </c>
      <c r="AQ5">
        <v>1.4</v>
      </c>
      <c r="AR5">
        <v>2.5</v>
      </c>
      <c r="AS5">
        <v>20.7</v>
      </c>
      <c r="AT5">
        <v>0.4</v>
      </c>
      <c r="AU5">
        <v>0.4</v>
      </c>
      <c r="AV5">
        <v>34.200000000000003</v>
      </c>
      <c r="AW5">
        <v>0.5</v>
      </c>
      <c r="AX5">
        <v>5.6</v>
      </c>
      <c r="AY5">
        <v>20.8</v>
      </c>
      <c r="AZ5">
        <v>9.6999999999999993</v>
      </c>
      <c r="BA5">
        <v>2.2999999999999998</v>
      </c>
      <c r="BB5">
        <v>0.2</v>
      </c>
      <c r="BC5">
        <v>30.9</v>
      </c>
      <c r="BD5">
        <v>6.3</v>
      </c>
      <c r="BE5">
        <v>0.9</v>
      </c>
      <c r="BF5">
        <v>3.6</v>
      </c>
      <c r="BG5">
        <v>10.9</v>
      </c>
      <c r="BH5">
        <v>8.5</v>
      </c>
      <c r="BJ5">
        <v>3.6</v>
      </c>
      <c r="BK5">
        <v>0.4</v>
      </c>
      <c r="BL5">
        <v>1.1000000000000001</v>
      </c>
      <c r="BM5">
        <v>0.3</v>
      </c>
      <c r="BN5">
        <v>0.2</v>
      </c>
      <c r="BO5">
        <v>6.1</v>
      </c>
      <c r="BP5">
        <v>83</v>
      </c>
      <c r="BQ5">
        <v>0.6</v>
      </c>
    </row>
    <row r="6" spans="1:69" x14ac:dyDescent="0.2">
      <c r="A6" t="s">
        <v>96</v>
      </c>
      <c r="B6" s="7">
        <v>2460.1</v>
      </c>
      <c r="C6">
        <v>125.9</v>
      </c>
      <c r="D6">
        <v>451.6</v>
      </c>
      <c r="E6" s="7">
        <v>1106.7</v>
      </c>
      <c r="F6">
        <v>704</v>
      </c>
      <c r="G6">
        <v>71.7</v>
      </c>
      <c r="J6">
        <v>399.1</v>
      </c>
      <c r="K6">
        <v>173.3</v>
      </c>
      <c r="L6">
        <v>157.19999999999999</v>
      </c>
      <c r="M6">
        <v>36</v>
      </c>
      <c r="N6">
        <v>34.9</v>
      </c>
      <c r="O6">
        <v>241.1</v>
      </c>
      <c r="P6">
        <v>306.89999999999998</v>
      </c>
      <c r="Q6">
        <v>114.2</v>
      </c>
      <c r="R6">
        <v>1.8</v>
      </c>
      <c r="S6">
        <v>10.6</v>
      </c>
      <c r="T6">
        <v>59.5</v>
      </c>
      <c r="U6">
        <v>31.6</v>
      </c>
      <c r="V6">
        <v>69.7</v>
      </c>
      <c r="W6">
        <v>32.799999999999997</v>
      </c>
      <c r="X6">
        <v>20.9</v>
      </c>
      <c r="Y6">
        <v>37.6</v>
      </c>
      <c r="Z6">
        <v>0.2</v>
      </c>
      <c r="AA6">
        <v>1</v>
      </c>
      <c r="AB6">
        <v>84.6</v>
      </c>
      <c r="AC6">
        <v>2.8</v>
      </c>
      <c r="AD6">
        <v>10.199999999999999</v>
      </c>
      <c r="AE6">
        <v>76.2</v>
      </c>
      <c r="AF6">
        <v>2</v>
      </c>
      <c r="AG6">
        <v>6.4</v>
      </c>
      <c r="AH6">
        <v>4.8</v>
      </c>
      <c r="AI6">
        <v>3.2</v>
      </c>
      <c r="AJ6">
        <v>0.1</v>
      </c>
      <c r="AK6">
        <v>38.4</v>
      </c>
      <c r="AL6">
        <v>7.4</v>
      </c>
      <c r="AM6">
        <v>6.9</v>
      </c>
      <c r="AN6">
        <v>0.1</v>
      </c>
      <c r="AO6">
        <v>1</v>
      </c>
      <c r="AP6">
        <v>8.3000000000000007</v>
      </c>
      <c r="AQ6">
        <v>3.3</v>
      </c>
      <c r="AR6">
        <v>5</v>
      </c>
      <c r="AS6">
        <v>20.6</v>
      </c>
      <c r="AT6">
        <v>1</v>
      </c>
      <c r="AU6">
        <v>0.2</v>
      </c>
      <c r="AV6">
        <v>35.6</v>
      </c>
      <c r="AW6">
        <v>1</v>
      </c>
      <c r="AX6">
        <v>7</v>
      </c>
      <c r="AY6">
        <v>23.1</v>
      </c>
      <c r="AZ6">
        <v>6.4</v>
      </c>
      <c r="BA6">
        <v>1.9</v>
      </c>
      <c r="BB6">
        <v>0.4</v>
      </c>
      <c r="BC6">
        <v>32.1</v>
      </c>
      <c r="BD6">
        <v>5.8</v>
      </c>
      <c r="BE6">
        <v>4.7</v>
      </c>
      <c r="BF6">
        <v>4.4000000000000004</v>
      </c>
      <c r="BG6">
        <v>11.9</v>
      </c>
      <c r="BH6">
        <v>12</v>
      </c>
      <c r="BI6">
        <v>0.1</v>
      </c>
      <c r="BJ6">
        <v>9.1999999999999993</v>
      </c>
      <c r="BK6">
        <v>0.3</v>
      </c>
      <c r="BL6">
        <v>2</v>
      </c>
      <c r="BM6">
        <v>0.2</v>
      </c>
      <c r="BN6">
        <v>0.4</v>
      </c>
      <c r="BO6">
        <v>6.6</v>
      </c>
      <c r="BP6">
        <v>19.5</v>
      </c>
      <c r="BQ6">
        <v>0.8</v>
      </c>
    </row>
    <row r="7" spans="1:69" x14ac:dyDescent="0.2">
      <c r="A7" t="s">
        <v>97</v>
      </c>
      <c r="B7" s="7">
        <v>2882.8</v>
      </c>
      <c r="C7">
        <v>146</v>
      </c>
      <c r="D7">
        <v>499.3</v>
      </c>
      <c r="E7" s="7">
        <v>1310.3</v>
      </c>
      <c r="F7">
        <v>860.5</v>
      </c>
      <c r="G7">
        <v>66.8</v>
      </c>
      <c r="J7">
        <v>433.6</v>
      </c>
      <c r="K7">
        <v>184.9</v>
      </c>
      <c r="L7">
        <v>210.3</v>
      </c>
      <c r="M7">
        <v>40.700000000000003</v>
      </c>
      <c r="N7">
        <v>41.9</v>
      </c>
      <c r="O7">
        <v>304.39999999999998</v>
      </c>
      <c r="P7">
        <v>349</v>
      </c>
      <c r="Q7">
        <v>116.3</v>
      </c>
      <c r="R7">
        <v>3</v>
      </c>
      <c r="S7">
        <v>9.8000000000000007</v>
      </c>
      <c r="T7">
        <v>54.7</v>
      </c>
      <c r="U7">
        <v>47</v>
      </c>
      <c r="V7">
        <v>71.2</v>
      </c>
      <c r="W7">
        <v>29.6</v>
      </c>
      <c r="X7">
        <v>28.2</v>
      </c>
      <c r="Y7">
        <v>43.8</v>
      </c>
      <c r="Z7">
        <v>1.1000000000000001</v>
      </c>
      <c r="AA7">
        <v>0.2</v>
      </c>
      <c r="AB7">
        <v>110.7</v>
      </c>
      <c r="AC7">
        <v>5.0999999999999996</v>
      </c>
      <c r="AD7">
        <v>17.399999999999999</v>
      </c>
      <c r="AE7">
        <v>108.5</v>
      </c>
      <c r="AF7">
        <v>1.4</v>
      </c>
      <c r="AG7">
        <v>7.5</v>
      </c>
      <c r="AH7">
        <v>8.1</v>
      </c>
      <c r="AI7">
        <v>3.9</v>
      </c>
      <c r="AJ7">
        <v>0.2</v>
      </c>
      <c r="AK7">
        <v>38.5</v>
      </c>
      <c r="AL7">
        <v>5.4</v>
      </c>
      <c r="AM7">
        <v>9.3000000000000007</v>
      </c>
      <c r="AN7">
        <v>4.3</v>
      </c>
      <c r="AO7">
        <v>0.7</v>
      </c>
      <c r="AP7">
        <v>17.5</v>
      </c>
      <c r="AQ7">
        <v>14.8</v>
      </c>
      <c r="AR7">
        <v>1.5</v>
      </c>
      <c r="AS7">
        <v>21.8</v>
      </c>
      <c r="AT7">
        <v>3.2</v>
      </c>
      <c r="AU7">
        <v>0.4</v>
      </c>
      <c r="AV7">
        <v>36.1</v>
      </c>
      <c r="AW7">
        <v>1.1000000000000001</v>
      </c>
      <c r="AX7">
        <v>4.5999999999999996</v>
      </c>
      <c r="AY7">
        <v>23.7</v>
      </c>
      <c r="AZ7">
        <v>5.4</v>
      </c>
      <c r="BA7">
        <v>2.6</v>
      </c>
      <c r="BB7">
        <v>0.4</v>
      </c>
      <c r="BC7">
        <v>49.3</v>
      </c>
      <c r="BD7">
        <v>4.7</v>
      </c>
      <c r="BE7">
        <v>1.5</v>
      </c>
      <c r="BF7">
        <v>5.0999999999999996</v>
      </c>
      <c r="BG7">
        <v>13.4</v>
      </c>
      <c r="BH7">
        <v>11.9</v>
      </c>
      <c r="BI7">
        <v>0</v>
      </c>
      <c r="BJ7">
        <v>10.1</v>
      </c>
      <c r="BK7">
        <v>0.2</v>
      </c>
      <c r="BL7">
        <v>4.7</v>
      </c>
      <c r="BM7">
        <v>0.1</v>
      </c>
      <c r="BN7">
        <v>0.2</v>
      </c>
      <c r="BO7">
        <v>8.4</v>
      </c>
      <c r="BP7">
        <v>32.6</v>
      </c>
      <c r="BQ7">
        <v>0.4</v>
      </c>
    </row>
    <row r="8" spans="1:69" x14ac:dyDescent="0.2">
      <c r="A8" t="s">
        <v>98</v>
      </c>
      <c r="B8" s="7">
        <v>3836.8</v>
      </c>
      <c r="C8">
        <v>224.4</v>
      </c>
      <c r="D8">
        <v>613</v>
      </c>
      <c r="E8" s="7">
        <v>1605</v>
      </c>
      <c r="F8" s="7">
        <v>1296.7</v>
      </c>
      <c r="G8">
        <v>97.7</v>
      </c>
      <c r="J8">
        <v>530.9</v>
      </c>
      <c r="K8">
        <v>268.7</v>
      </c>
      <c r="L8">
        <v>259.7</v>
      </c>
      <c r="M8">
        <v>41</v>
      </c>
      <c r="N8">
        <v>64</v>
      </c>
      <c r="O8">
        <v>381</v>
      </c>
      <c r="P8">
        <v>345.2</v>
      </c>
      <c r="Q8">
        <v>177</v>
      </c>
      <c r="R8">
        <v>11.2</v>
      </c>
      <c r="S8">
        <v>17.399999999999999</v>
      </c>
      <c r="T8">
        <v>78.099999999999994</v>
      </c>
      <c r="U8">
        <v>65</v>
      </c>
      <c r="V8">
        <v>92.3</v>
      </c>
      <c r="W8">
        <v>53.7</v>
      </c>
      <c r="X8">
        <v>95</v>
      </c>
      <c r="Y8">
        <v>49.3</v>
      </c>
      <c r="Z8">
        <v>5.3</v>
      </c>
      <c r="AA8">
        <v>0.9</v>
      </c>
      <c r="AB8">
        <v>163.1</v>
      </c>
      <c r="AC8">
        <v>4.5</v>
      </c>
      <c r="AD8">
        <v>21.8</v>
      </c>
      <c r="AE8">
        <v>157.6</v>
      </c>
      <c r="AF8">
        <v>3.8</v>
      </c>
      <c r="AG8">
        <v>8.8000000000000007</v>
      </c>
      <c r="AH8">
        <v>8</v>
      </c>
      <c r="AI8">
        <v>4.4000000000000004</v>
      </c>
      <c r="AJ8">
        <v>0.4</v>
      </c>
      <c r="AK8">
        <v>44.1</v>
      </c>
      <c r="AL8">
        <v>9.1999999999999993</v>
      </c>
      <c r="AM8">
        <v>13.5</v>
      </c>
      <c r="AN8">
        <v>34.799999999999997</v>
      </c>
      <c r="AO8">
        <v>0.8</v>
      </c>
      <c r="AP8">
        <v>24.6</v>
      </c>
      <c r="AQ8">
        <v>18</v>
      </c>
      <c r="AR8">
        <v>1.9</v>
      </c>
      <c r="AS8">
        <v>38</v>
      </c>
      <c r="AT8">
        <v>4.8</v>
      </c>
      <c r="AU8">
        <v>1.1000000000000001</v>
      </c>
      <c r="AV8">
        <v>42.9</v>
      </c>
      <c r="AW8">
        <v>1.1000000000000001</v>
      </c>
      <c r="AX8">
        <v>10.4</v>
      </c>
      <c r="AY8">
        <v>30.6</v>
      </c>
      <c r="AZ8">
        <v>5.5</v>
      </c>
      <c r="BA8">
        <v>3.5</v>
      </c>
      <c r="BB8">
        <v>1.6</v>
      </c>
      <c r="BC8">
        <v>73.599999999999994</v>
      </c>
      <c r="BD8">
        <v>4.7</v>
      </c>
      <c r="BE8">
        <v>1.2</v>
      </c>
      <c r="BF8">
        <v>12</v>
      </c>
      <c r="BG8">
        <v>18.399999999999999</v>
      </c>
      <c r="BH8">
        <v>19.3</v>
      </c>
      <c r="BI8">
        <v>0.1</v>
      </c>
      <c r="BJ8">
        <v>11.5</v>
      </c>
      <c r="BK8">
        <v>0.1</v>
      </c>
      <c r="BL8">
        <v>5.0999999999999996</v>
      </c>
      <c r="BM8">
        <v>0.6</v>
      </c>
      <c r="BN8">
        <v>0.4</v>
      </c>
      <c r="BO8">
        <v>10.199999999999999</v>
      </c>
      <c r="BP8">
        <v>67</v>
      </c>
      <c r="BQ8">
        <v>0.5</v>
      </c>
    </row>
    <row r="9" spans="1:69" x14ac:dyDescent="0.2">
      <c r="A9" t="s">
        <v>99</v>
      </c>
      <c r="B9" s="7">
        <v>4361.2</v>
      </c>
      <c r="C9">
        <v>324.5</v>
      </c>
      <c r="D9">
        <v>698.2</v>
      </c>
      <c r="E9" s="7">
        <v>1797.1</v>
      </c>
      <c r="F9" s="7">
        <v>1446.7</v>
      </c>
      <c r="G9">
        <v>94.7</v>
      </c>
      <c r="J9">
        <v>602.5</v>
      </c>
      <c r="K9">
        <v>292</v>
      </c>
      <c r="L9">
        <v>262.7</v>
      </c>
      <c r="M9">
        <v>67.599999999999994</v>
      </c>
      <c r="N9">
        <v>64.2</v>
      </c>
      <c r="O9">
        <v>405.5</v>
      </c>
      <c r="P9">
        <v>382.4</v>
      </c>
      <c r="Q9">
        <v>210.6</v>
      </c>
      <c r="R9">
        <v>22.9</v>
      </c>
      <c r="S9">
        <v>26.3</v>
      </c>
      <c r="T9">
        <v>76.599999999999994</v>
      </c>
      <c r="U9">
        <v>69.2</v>
      </c>
      <c r="V9">
        <v>103.7</v>
      </c>
      <c r="W9">
        <v>70.599999999999994</v>
      </c>
      <c r="X9">
        <v>110.8</v>
      </c>
      <c r="Y9">
        <v>51.6</v>
      </c>
      <c r="Z9">
        <v>10.4</v>
      </c>
      <c r="AA9">
        <v>5.7</v>
      </c>
      <c r="AB9">
        <v>163.80000000000001</v>
      </c>
      <c r="AC9">
        <v>9.6999999999999993</v>
      </c>
      <c r="AD9">
        <v>32.4</v>
      </c>
      <c r="AE9">
        <v>145</v>
      </c>
      <c r="AF9">
        <v>4.3</v>
      </c>
      <c r="AG9">
        <v>22.2</v>
      </c>
      <c r="AH9">
        <v>4.8</v>
      </c>
      <c r="AI9">
        <v>5.5</v>
      </c>
      <c r="AJ9">
        <v>0.4</v>
      </c>
      <c r="AK9">
        <v>63.1</v>
      </c>
      <c r="AL9">
        <v>11.8</v>
      </c>
      <c r="AM9">
        <v>15.9</v>
      </c>
      <c r="AN9">
        <v>42.2</v>
      </c>
      <c r="AO9">
        <v>2.8</v>
      </c>
      <c r="AP9">
        <v>39.200000000000003</v>
      </c>
      <c r="AQ9">
        <v>16.600000000000001</v>
      </c>
      <c r="AR9">
        <v>2.2999999999999998</v>
      </c>
      <c r="AS9">
        <v>39.299999999999997</v>
      </c>
      <c r="AT9">
        <v>8</v>
      </c>
      <c r="AU9">
        <v>2.9</v>
      </c>
      <c r="AV9">
        <v>47.2</v>
      </c>
      <c r="AW9">
        <v>1.6</v>
      </c>
      <c r="AX9">
        <v>10.3</v>
      </c>
      <c r="AY9">
        <v>34.4</v>
      </c>
      <c r="AZ9">
        <v>5.9</v>
      </c>
      <c r="BA9">
        <v>4.4000000000000004</v>
      </c>
      <c r="BB9">
        <v>1.1000000000000001</v>
      </c>
      <c r="BC9">
        <v>92.5</v>
      </c>
      <c r="BD9">
        <v>10.9</v>
      </c>
      <c r="BE9">
        <v>1.6</v>
      </c>
      <c r="BF9">
        <v>11.5</v>
      </c>
      <c r="BG9">
        <v>18.5</v>
      </c>
      <c r="BH9">
        <v>17.7</v>
      </c>
      <c r="BJ9">
        <v>16.8</v>
      </c>
      <c r="BK9">
        <v>0.1</v>
      </c>
      <c r="BL9">
        <v>7.2</v>
      </c>
      <c r="BM9">
        <v>0.6</v>
      </c>
      <c r="BN9">
        <v>0.2</v>
      </c>
      <c r="BO9">
        <v>15.4</v>
      </c>
      <c r="BP9">
        <v>75</v>
      </c>
      <c r="BQ9">
        <v>1.7</v>
      </c>
    </row>
    <row r="10" spans="1:69" x14ac:dyDescent="0.2">
      <c r="A10" t="s">
        <v>100</v>
      </c>
      <c r="B10" s="7">
        <v>4885.3</v>
      </c>
      <c r="C10">
        <v>386.4</v>
      </c>
      <c r="D10">
        <v>897.3</v>
      </c>
      <c r="E10" s="7">
        <v>1799.5</v>
      </c>
      <c r="F10" s="7">
        <v>1708.6</v>
      </c>
      <c r="G10">
        <v>93.5</v>
      </c>
      <c r="J10">
        <v>751.5</v>
      </c>
      <c r="K10">
        <v>355.6</v>
      </c>
      <c r="L10">
        <v>233.9</v>
      </c>
      <c r="M10">
        <v>60.3</v>
      </c>
      <c r="N10">
        <v>67.7</v>
      </c>
      <c r="O10">
        <v>415.9</v>
      </c>
      <c r="P10">
        <v>378.7</v>
      </c>
      <c r="Q10">
        <v>181.2</v>
      </c>
      <c r="R10">
        <v>48.4</v>
      </c>
      <c r="S10">
        <v>43.1</v>
      </c>
      <c r="T10">
        <v>75</v>
      </c>
      <c r="U10">
        <v>60.5</v>
      </c>
      <c r="V10">
        <v>98.4</v>
      </c>
      <c r="W10">
        <v>77.7</v>
      </c>
      <c r="X10">
        <v>130.30000000000001</v>
      </c>
      <c r="Y10">
        <v>69</v>
      </c>
      <c r="Z10">
        <v>18</v>
      </c>
      <c r="AA10">
        <v>4.5999999999999996</v>
      </c>
      <c r="AB10">
        <v>158.1</v>
      </c>
      <c r="AC10">
        <v>13.7</v>
      </c>
      <c r="AD10">
        <v>32.799999999999997</v>
      </c>
      <c r="AE10">
        <v>150.9</v>
      </c>
      <c r="AF10">
        <v>6.8</v>
      </c>
      <c r="AG10">
        <v>12.4</v>
      </c>
      <c r="AH10">
        <v>7.5</v>
      </c>
      <c r="AI10">
        <v>7.2</v>
      </c>
      <c r="AJ10">
        <v>0.3</v>
      </c>
      <c r="AK10">
        <v>59.8</v>
      </c>
      <c r="AL10">
        <v>18.2</v>
      </c>
      <c r="AM10">
        <v>17.5</v>
      </c>
      <c r="AN10">
        <v>51.5</v>
      </c>
      <c r="AO10">
        <v>12.2</v>
      </c>
      <c r="AP10">
        <v>36.4</v>
      </c>
      <c r="AQ10">
        <v>24.5</v>
      </c>
      <c r="AR10">
        <v>5.6</v>
      </c>
      <c r="AS10">
        <v>45.9</v>
      </c>
      <c r="AT10">
        <v>13.8</v>
      </c>
      <c r="AU10">
        <v>1.7</v>
      </c>
      <c r="AV10">
        <v>54.8</v>
      </c>
      <c r="AW10">
        <v>4.5999999999999996</v>
      </c>
      <c r="AX10">
        <v>20.8</v>
      </c>
      <c r="AY10">
        <v>34.5</v>
      </c>
      <c r="AZ10">
        <v>13.2</v>
      </c>
      <c r="BA10">
        <v>8.3000000000000007</v>
      </c>
      <c r="BB10">
        <v>1.5</v>
      </c>
      <c r="BC10">
        <v>101.5</v>
      </c>
      <c r="BD10">
        <v>9.6999999999999993</v>
      </c>
      <c r="BE10">
        <v>2.7</v>
      </c>
      <c r="BF10">
        <v>10.5</v>
      </c>
      <c r="BG10">
        <v>21.7</v>
      </c>
      <c r="BH10">
        <v>17.3</v>
      </c>
      <c r="BJ10">
        <v>18.399999999999999</v>
      </c>
      <c r="BK10">
        <v>0.1</v>
      </c>
      <c r="BL10">
        <v>7.3</v>
      </c>
      <c r="BM10">
        <v>3.3</v>
      </c>
      <c r="BN10">
        <v>0.4</v>
      </c>
      <c r="BO10">
        <v>17.8</v>
      </c>
      <c r="BP10">
        <v>83.9</v>
      </c>
      <c r="BQ10">
        <v>2</v>
      </c>
    </row>
    <row r="11" spans="1:69" x14ac:dyDescent="0.2">
      <c r="A11" t="s">
        <v>101</v>
      </c>
      <c r="B11" s="7">
        <v>5179.1000000000004</v>
      </c>
      <c r="C11">
        <v>467.5</v>
      </c>
      <c r="D11">
        <v>942.1</v>
      </c>
      <c r="E11" s="7">
        <v>1886.2</v>
      </c>
      <c r="F11" s="7">
        <v>1783.9</v>
      </c>
      <c r="G11">
        <v>99.4</v>
      </c>
      <c r="J11">
        <v>746.9</v>
      </c>
      <c r="K11">
        <v>291.89999999999998</v>
      </c>
      <c r="L11">
        <v>260.8</v>
      </c>
      <c r="M11">
        <v>91.3</v>
      </c>
      <c r="N11">
        <v>77.400000000000006</v>
      </c>
      <c r="O11">
        <v>404</v>
      </c>
      <c r="P11">
        <v>336.9</v>
      </c>
      <c r="Q11">
        <v>246.4</v>
      </c>
      <c r="R11">
        <v>59.1</v>
      </c>
      <c r="S11">
        <v>69.2</v>
      </c>
      <c r="T11">
        <v>81.099999999999994</v>
      </c>
      <c r="U11">
        <v>66.900000000000006</v>
      </c>
      <c r="V11">
        <v>106.9</v>
      </c>
      <c r="W11">
        <v>89.8</v>
      </c>
      <c r="X11">
        <v>127</v>
      </c>
      <c r="Y11">
        <v>88.8</v>
      </c>
      <c r="Z11">
        <v>21.1</v>
      </c>
      <c r="AA11">
        <v>6.3</v>
      </c>
      <c r="AB11">
        <v>163.69999999999999</v>
      </c>
      <c r="AC11">
        <v>12.4</v>
      </c>
      <c r="AD11">
        <v>34.9</v>
      </c>
      <c r="AE11">
        <v>180.5</v>
      </c>
      <c r="AF11">
        <v>6.1</v>
      </c>
      <c r="AG11">
        <v>10.9</v>
      </c>
      <c r="AH11">
        <v>15.1</v>
      </c>
      <c r="AI11">
        <v>8.5</v>
      </c>
      <c r="AJ11">
        <v>0.7</v>
      </c>
      <c r="AK11">
        <v>77.2</v>
      </c>
      <c r="AL11">
        <v>20.7</v>
      </c>
      <c r="AM11">
        <v>18.2</v>
      </c>
      <c r="AN11">
        <v>67.8</v>
      </c>
      <c r="AO11">
        <v>13.6</v>
      </c>
      <c r="AP11">
        <v>63.6</v>
      </c>
      <c r="AQ11">
        <v>20.2</v>
      </c>
      <c r="AR11">
        <v>10.199999999999999</v>
      </c>
      <c r="AS11">
        <v>41.9</v>
      </c>
      <c r="AT11">
        <v>21.9</v>
      </c>
      <c r="AU11">
        <v>4.3</v>
      </c>
      <c r="AV11">
        <v>55.9</v>
      </c>
      <c r="AW11">
        <v>10.9</v>
      </c>
      <c r="AX11">
        <v>19.7</v>
      </c>
      <c r="AY11">
        <v>39.1</v>
      </c>
      <c r="AZ11">
        <v>14.7</v>
      </c>
      <c r="BA11">
        <v>9.5</v>
      </c>
      <c r="BB11">
        <v>1.8</v>
      </c>
      <c r="BC11">
        <v>114.9</v>
      </c>
      <c r="BD11">
        <v>12</v>
      </c>
      <c r="BE11">
        <v>3.6</v>
      </c>
      <c r="BF11">
        <v>11</v>
      </c>
      <c r="BG11">
        <v>17.7</v>
      </c>
      <c r="BH11">
        <v>17.2</v>
      </c>
      <c r="BI11">
        <v>2.4</v>
      </c>
      <c r="BJ11">
        <v>18.600000000000001</v>
      </c>
      <c r="BK11">
        <v>0.4</v>
      </c>
      <c r="BL11">
        <v>7.9</v>
      </c>
      <c r="BM11">
        <v>4.5</v>
      </c>
      <c r="BN11">
        <v>0.5</v>
      </c>
      <c r="BO11">
        <v>17.600000000000001</v>
      </c>
      <c r="BP11">
        <v>85.5</v>
      </c>
      <c r="BQ11">
        <v>1.7</v>
      </c>
    </row>
    <row r="12" spans="1:69" x14ac:dyDescent="0.2">
      <c r="A12" t="s">
        <v>102</v>
      </c>
      <c r="B12" s="7">
        <v>4496.1000000000004</v>
      </c>
      <c r="C12">
        <v>436.6</v>
      </c>
      <c r="D12">
        <v>938.6</v>
      </c>
      <c r="E12" s="7">
        <v>1640.9</v>
      </c>
      <c r="F12" s="7">
        <v>1392.2</v>
      </c>
      <c r="G12">
        <v>87.8</v>
      </c>
      <c r="J12">
        <v>759.6</v>
      </c>
      <c r="K12">
        <v>138.19999999999999</v>
      </c>
      <c r="L12">
        <v>237.1</v>
      </c>
      <c r="M12">
        <v>47.7</v>
      </c>
      <c r="N12">
        <v>84.6</v>
      </c>
      <c r="O12">
        <v>338.3</v>
      </c>
      <c r="P12">
        <v>301.7</v>
      </c>
      <c r="Q12">
        <v>236.2</v>
      </c>
      <c r="R12">
        <v>44.9</v>
      </c>
      <c r="S12">
        <v>71.2</v>
      </c>
      <c r="T12">
        <v>72.2</v>
      </c>
      <c r="U12">
        <v>58.6</v>
      </c>
      <c r="V12">
        <v>105.2</v>
      </c>
      <c r="W12">
        <v>93.1</v>
      </c>
      <c r="X12">
        <v>88.2</v>
      </c>
      <c r="Y12">
        <v>85.9</v>
      </c>
      <c r="Z12">
        <v>17.7</v>
      </c>
      <c r="AA12">
        <v>7.1</v>
      </c>
      <c r="AB12">
        <v>129.1</v>
      </c>
      <c r="AC12">
        <v>6.7</v>
      </c>
      <c r="AD12">
        <v>37.799999999999997</v>
      </c>
      <c r="AE12">
        <v>115.5</v>
      </c>
      <c r="AF12">
        <v>7.5</v>
      </c>
      <c r="AG12">
        <v>21.2</v>
      </c>
      <c r="AH12">
        <v>8.9</v>
      </c>
      <c r="AI12">
        <v>7.2</v>
      </c>
      <c r="AJ12">
        <v>1.6</v>
      </c>
      <c r="AK12">
        <v>68.8</v>
      </c>
      <c r="AL12">
        <v>15.3</v>
      </c>
      <c r="AM12">
        <v>22.1</v>
      </c>
      <c r="AN12">
        <v>45.9</v>
      </c>
      <c r="AO12">
        <v>11.2</v>
      </c>
      <c r="AP12">
        <v>64.099999999999994</v>
      </c>
      <c r="AQ12">
        <v>19.399999999999999</v>
      </c>
      <c r="AR12">
        <v>12.8</v>
      </c>
      <c r="AS12">
        <v>33.4</v>
      </c>
      <c r="AT12">
        <v>15.6</v>
      </c>
      <c r="AU12">
        <v>7.9</v>
      </c>
      <c r="AV12">
        <v>46.9</v>
      </c>
      <c r="AW12">
        <v>12.6</v>
      </c>
      <c r="AX12">
        <v>13.9</v>
      </c>
      <c r="AY12">
        <v>38.700000000000003</v>
      </c>
      <c r="AZ12">
        <v>14.6</v>
      </c>
      <c r="BA12">
        <v>10</v>
      </c>
      <c r="BB12">
        <v>1.4</v>
      </c>
      <c r="BC12">
        <v>99.9</v>
      </c>
      <c r="BD12">
        <v>15.8</v>
      </c>
      <c r="BE12">
        <v>2.7</v>
      </c>
      <c r="BF12">
        <v>7.6</v>
      </c>
      <c r="BG12">
        <v>13.3</v>
      </c>
      <c r="BH12">
        <v>11.9</v>
      </c>
      <c r="BI12">
        <v>4</v>
      </c>
      <c r="BJ12">
        <v>20.9</v>
      </c>
      <c r="BK12">
        <v>2</v>
      </c>
      <c r="BL12">
        <v>10.199999999999999</v>
      </c>
      <c r="BM12">
        <v>8</v>
      </c>
      <c r="BN12">
        <v>1.3</v>
      </c>
      <c r="BO12">
        <v>15.3</v>
      </c>
      <c r="BP12">
        <v>56.5</v>
      </c>
      <c r="BQ12">
        <v>2.1</v>
      </c>
    </row>
    <row r="13" spans="1:69" x14ac:dyDescent="0.2">
      <c r="A13" t="s">
        <v>103</v>
      </c>
      <c r="B13" s="7">
        <v>5056.1000000000004</v>
      </c>
      <c r="C13">
        <v>482.8</v>
      </c>
      <c r="D13" s="7">
        <v>1085.4000000000001</v>
      </c>
      <c r="E13" s="7">
        <v>1721.4</v>
      </c>
      <c r="F13" s="7">
        <v>1673.3</v>
      </c>
      <c r="G13">
        <v>93.3</v>
      </c>
      <c r="J13">
        <v>886.3</v>
      </c>
      <c r="K13">
        <v>173.9</v>
      </c>
      <c r="L13">
        <v>269.39999999999998</v>
      </c>
      <c r="M13">
        <v>65.8</v>
      </c>
      <c r="N13">
        <v>98.5</v>
      </c>
      <c r="O13">
        <v>327.10000000000002</v>
      </c>
      <c r="P13">
        <v>329.2</v>
      </c>
      <c r="Q13">
        <v>215.7</v>
      </c>
      <c r="R13">
        <v>60.7</v>
      </c>
      <c r="S13">
        <v>68.400000000000006</v>
      </c>
      <c r="T13">
        <v>76.099999999999994</v>
      </c>
      <c r="U13">
        <v>60.8</v>
      </c>
      <c r="V13">
        <v>118.8</v>
      </c>
      <c r="W13">
        <v>99.6</v>
      </c>
      <c r="X13">
        <v>199.9</v>
      </c>
      <c r="Y13">
        <v>93.9</v>
      </c>
      <c r="Z13">
        <v>14.7</v>
      </c>
      <c r="AA13">
        <v>7</v>
      </c>
      <c r="AB13">
        <v>137.6</v>
      </c>
      <c r="AC13">
        <v>5.3</v>
      </c>
      <c r="AD13">
        <v>42.6</v>
      </c>
      <c r="AE13">
        <v>139</v>
      </c>
      <c r="AF13">
        <v>5.6</v>
      </c>
      <c r="AG13">
        <v>44.3</v>
      </c>
      <c r="AH13">
        <v>10.199999999999999</v>
      </c>
      <c r="AI13">
        <v>6</v>
      </c>
      <c r="AJ13">
        <v>1.9</v>
      </c>
      <c r="AK13">
        <v>70.900000000000006</v>
      </c>
      <c r="AL13">
        <v>32.200000000000003</v>
      </c>
      <c r="AM13">
        <v>37.799999999999997</v>
      </c>
      <c r="AN13">
        <v>38.799999999999997</v>
      </c>
      <c r="AO13">
        <v>12.6</v>
      </c>
      <c r="AP13">
        <v>65.5</v>
      </c>
      <c r="AQ13">
        <v>20.6</v>
      </c>
      <c r="AR13">
        <v>15.7</v>
      </c>
      <c r="AS13">
        <v>48.4</v>
      </c>
      <c r="AT13">
        <v>13.8</v>
      </c>
      <c r="AU13">
        <v>11.6</v>
      </c>
      <c r="AV13">
        <v>47.8</v>
      </c>
      <c r="AW13">
        <v>13.5</v>
      </c>
      <c r="AX13">
        <v>12.4</v>
      </c>
      <c r="AY13">
        <v>39.5</v>
      </c>
      <c r="AZ13">
        <v>18.100000000000001</v>
      </c>
      <c r="BA13">
        <v>9.1999999999999993</v>
      </c>
      <c r="BB13">
        <v>2.8</v>
      </c>
      <c r="BC13">
        <v>105.8</v>
      </c>
      <c r="BD13">
        <v>15.7</v>
      </c>
      <c r="BE13">
        <v>3.4</v>
      </c>
      <c r="BF13">
        <v>12.2</v>
      </c>
      <c r="BG13">
        <v>15.7</v>
      </c>
      <c r="BH13">
        <v>12.9</v>
      </c>
      <c r="BI13">
        <v>8</v>
      </c>
      <c r="BJ13">
        <v>16.399999999999999</v>
      </c>
      <c r="BK13">
        <v>1.8</v>
      </c>
      <c r="BL13">
        <v>5.0999999999999996</v>
      </c>
      <c r="BM13">
        <v>15.5</v>
      </c>
      <c r="BN13">
        <v>1.3</v>
      </c>
      <c r="BO13">
        <v>19.5</v>
      </c>
      <c r="BP13">
        <v>77.5</v>
      </c>
      <c r="BQ13">
        <v>2.5</v>
      </c>
    </row>
    <row r="14" spans="1:69" x14ac:dyDescent="0.2">
      <c r="A14" t="s">
        <v>104</v>
      </c>
      <c r="B14" s="7">
        <v>5714.1</v>
      </c>
      <c r="C14">
        <v>606.9</v>
      </c>
      <c r="D14" s="7">
        <v>1254</v>
      </c>
      <c r="E14" s="7">
        <v>1886.1</v>
      </c>
      <c r="F14" s="7">
        <v>1878.9</v>
      </c>
      <c r="G14">
        <v>87.5</v>
      </c>
      <c r="I14">
        <v>0.8</v>
      </c>
      <c r="J14" s="7">
        <v>1003.1</v>
      </c>
      <c r="K14">
        <v>201.4</v>
      </c>
      <c r="L14">
        <v>296.10000000000002</v>
      </c>
      <c r="M14">
        <v>120.7</v>
      </c>
      <c r="N14">
        <v>105.5</v>
      </c>
      <c r="O14">
        <v>331.1</v>
      </c>
      <c r="P14">
        <v>316.10000000000002</v>
      </c>
      <c r="Q14">
        <v>260.5</v>
      </c>
      <c r="R14">
        <v>79.400000000000006</v>
      </c>
      <c r="S14">
        <v>86.4</v>
      </c>
      <c r="T14">
        <v>72.599999999999994</v>
      </c>
      <c r="U14">
        <v>58.4</v>
      </c>
      <c r="V14">
        <v>128.4</v>
      </c>
      <c r="W14">
        <v>126.5</v>
      </c>
      <c r="X14">
        <v>142</v>
      </c>
      <c r="Y14">
        <v>97.4</v>
      </c>
      <c r="Z14">
        <v>17.899999999999999</v>
      </c>
      <c r="AA14">
        <v>8.8000000000000007</v>
      </c>
      <c r="AB14">
        <v>157</v>
      </c>
      <c r="AC14">
        <v>13.4</v>
      </c>
      <c r="AD14">
        <v>53.6</v>
      </c>
      <c r="AE14">
        <v>152</v>
      </c>
      <c r="AF14">
        <v>9.1999999999999993</v>
      </c>
      <c r="AG14">
        <v>44</v>
      </c>
      <c r="AH14">
        <v>13</v>
      </c>
      <c r="AI14">
        <v>13.3</v>
      </c>
      <c r="AJ14">
        <v>2.8</v>
      </c>
      <c r="AK14">
        <v>81</v>
      </c>
      <c r="AL14">
        <v>42.2</v>
      </c>
      <c r="AM14">
        <v>33</v>
      </c>
      <c r="AN14">
        <v>52.5</v>
      </c>
      <c r="AO14">
        <v>19.899999999999999</v>
      </c>
      <c r="AP14">
        <v>74.400000000000006</v>
      </c>
      <c r="AQ14">
        <v>17</v>
      </c>
      <c r="AR14">
        <v>16.899999999999999</v>
      </c>
      <c r="AS14">
        <v>53.4</v>
      </c>
      <c r="AT14">
        <v>20.3</v>
      </c>
      <c r="AU14">
        <v>15.6</v>
      </c>
      <c r="AV14">
        <v>49.1</v>
      </c>
      <c r="AW14">
        <v>12.6</v>
      </c>
      <c r="AX14">
        <v>26</v>
      </c>
      <c r="AY14">
        <v>25.9</v>
      </c>
      <c r="AZ14">
        <v>21.3</v>
      </c>
      <c r="BA14">
        <v>13.8</v>
      </c>
      <c r="BB14">
        <v>4.5</v>
      </c>
      <c r="BC14">
        <v>118</v>
      </c>
      <c r="BD14">
        <v>28.3</v>
      </c>
      <c r="BE14">
        <v>2.8</v>
      </c>
      <c r="BF14">
        <v>15.5</v>
      </c>
      <c r="BG14">
        <v>16.2</v>
      </c>
      <c r="BH14">
        <v>11.9</v>
      </c>
      <c r="BI14">
        <v>13.9</v>
      </c>
      <c r="BJ14">
        <v>16.399999999999999</v>
      </c>
      <c r="BK14">
        <v>1</v>
      </c>
      <c r="BL14">
        <v>8</v>
      </c>
      <c r="BM14">
        <v>26.9</v>
      </c>
      <c r="BN14">
        <v>2.1</v>
      </c>
      <c r="BO14">
        <v>26.6</v>
      </c>
      <c r="BP14">
        <v>74.8</v>
      </c>
      <c r="BQ14">
        <v>5.2</v>
      </c>
    </row>
    <row r="15" spans="1:69" x14ac:dyDescent="0.2">
      <c r="A15" t="s">
        <v>105</v>
      </c>
      <c r="B15" s="7">
        <v>5200</v>
      </c>
      <c r="C15">
        <v>607</v>
      </c>
      <c r="D15" s="7">
        <v>1102.9000000000001</v>
      </c>
      <c r="E15" s="7">
        <v>1612.4</v>
      </c>
      <c r="F15" s="7">
        <v>1792.1</v>
      </c>
      <c r="G15">
        <v>84.3</v>
      </c>
      <c r="I15">
        <v>1.4</v>
      </c>
      <c r="J15">
        <v>886</v>
      </c>
      <c r="K15">
        <v>183.3</v>
      </c>
      <c r="L15">
        <v>315.2</v>
      </c>
      <c r="M15">
        <v>74.099999999999994</v>
      </c>
      <c r="N15">
        <v>97.5</v>
      </c>
      <c r="O15">
        <v>304.89999999999998</v>
      </c>
      <c r="P15">
        <v>249</v>
      </c>
      <c r="Q15">
        <v>241.7</v>
      </c>
      <c r="R15">
        <v>80.900000000000006</v>
      </c>
      <c r="S15">
        <v>70.099999999999994</v>
      </c>
      <c r="T15">
        <v>70.3</v>
      </c>
      <c r="U15">
        <v>47.6</v>
      </c>
      <c r="V15">
        <v>111.4</v>
      </c>
      <c r="W15">
        <v>134.9</v>
      </c>
      <c r="X15">
        <v>141.5</v>
      </c>
      <c r="Y15">
        <v>86.7</v>
      </c>
      <c r="Z15">
        <v>16.100000000000001</v>
      </c>
      <c r="AA15">
        <v>6.6</v>
      </c>
      <c r="AB15">
        <v>122.4</v>
      </c>
      <c r="AC15">
        <v>9.8000000000000007</v>
      </c>
      <c r="AD15">
        <v>53.9</v>
      </c>
      <c r="AE15">
        <v>145.80000000000001</v>
      </c>
      <c r="AF15">
        <v>5.3</v>
      </c>
      <c r="AG15">
        <v>57.7</v>
      </c>
      <c r="AH15">
        <v>15.3</v>
      </c>
      <c r="AI15">
        <v>26</v>
      </c>
      <c r="AJ15">
        <v>4.9000000000000004</v>
      </c>
      <c r="AK15">
        <v>82.2</v>
      </c>
      <c r="AL15">
        <v>51.6</v>
      </c>
      <c r="AM15">
        <v>22.9</v>
      </c>
      <c r="AN15">
        <v>45</v>
      </c>
      <c r="AO15">
        <v>18.399999999999999</v>
      </c>
      <c r="AP15">
        <v>53.8</v>
      </c>
      <c r="AQ15">
        <v>20.2</v>
      </c>
      <c r="AR15">
        <v>17.2</v>
      </c>
      <c r="AS15">
        <v>79.3</v>
      </c>
      <c r="AT15">
        <v>13.7</v>
      </c>
      <c r="AU15">
        <v>10.3</v>
      </c>
      <c r="AV15">
        <v>44.1</v>
      </c>
      <c r="AW15">
        <v>11.3</v>
      </c>
      <c r="AX15">
        <v>39.200000000000003</v>
      </c>
      <c r="AY15">
        <v>22.7</v>
      </c>
      <c r="AZ15">
        <v>31.7</v>
      </c>
      <c r="BA15">
        <v>7.2</v>
      </c>
      <c r="BB15">
        <v>2.5</v>
      </c>
      <c r="BC15">
        <v>92.8</v>
      </c>
      <c r="BD15">
        <v>21.8</v>
      </c>
      <c r="BE15">
        <v>3.2</v>
      </c>
      <c r="BF15">
        <v>14.2</v>
      </c>
      <c r="BG15">
        <v>13.3</v>
      </c>
      <c r="BH15">
        <v>10.9</v>
      </c>
      <c r="BI15">
        <v>13.2</v>
      </c>
      <c r="BJ15">
        <v>23.5</v>
      </c>
      <c r="BK15">
        <v>0.6</v>
      </c>
      <c r="BL15">
        <v>8.9</v>
      </c>
      <c r="BM15">
        <v>23.5</v>
      </c>
      <c r="BN15">
        <v>0.8</v>
      </c>
      <c r="BO15">
        <v>23.7</v>
      </c>
      <c r="BP15">
        <v>36.6</v>
      </c>
      <c r="BQ15">
        <v>5.8</v>
      </c>
    </row>
    <row r="16" spans="1:69" x14ac:dyDescent="0.2">
      <c r="A16" t="s">
        <v>106</v>
      </c>
      <c r="B16" s="7">
        <v>5925.3</v>
      </c>
      <c r="C16">
        <v>644.29999999999995</v>
      </c>
      <c r="D16" s="7">
        <v>1384.6</v>
      </c>
      <c r="E16" s="7">
        <v>1742.9</v>
      </c>
      <c r="F16" s="7">
        <v>2042.7</v>
      </c>
      <c r="G16">
        <v>103.9</v>
      </c>
      <c r="I16">
        <v>6.9</v>
      </c>
      <c r="J16" s="7">
        <v>1131.9000000000001</v>
      </c>
      <c r="K16">
        <v>167.8</v>
      </c>
      <c r="L16">
        <v>396.4</v>
      </c>
      <c r="M16">
        <v>138.9</v>
      </c>
      <c r="N16">
        <v>115.2</v>
      </c>
      <c r="O16">
        <v>300.2</v>
      </c>
      <c r="P16">
        <v>261.5</v>
      </c>
      <c r="Q16">
        <v>251.5</v>
      </c>
      <c r="R16">
        <v>76.099999999999994</v>
      </c>
      <c r="S16">
        <v>83.9</v>
      </c>
      <c r="T16">
        <v>88.2</v>
      </c>
      <c r="U16">
        <v>54.1</v>
      </c>
      <c r="V16">
        <v>112.9</v>
      </c>
      <c r="W16">
        <v>158.80000000000001</v>
      </c>
      <c r="X16">
        <v>195.5</v>
      </c>
      <c r="Y16">
        <v>106.8</v>
      </c>
      <c r="Z16">
        <v>23.4</v>
      </c>
      <c r="AA16">
        <v>8.3000000000000007</v>
      </c>
      <c r="AB16">
        <v>126.5</v>
      </c>
      <c r="AC16">
        <v>11.5</v>
      </c>
      <c r="AD16">
        <v>62</v>
      </c>
      <c r="AE16">
        <v>157.4</v>
      </c>
      <c r="AF16">
        <v>9.6999999999999993</v>
      </c>
      <c r="AG16">
        <v>51.2</v>
      </c>
      <c r="AH16">
        <v>16</v>
      </c>
      <c r="AI16">
        <v>37</v>
      </c>
      <c r="AJ16">
        <v>6.5</v>
      </c>
      <c r="AK16">
        <v>112.5</v>
      </c>
      <c r="AL16">
        <v>44.8</v>
      </c>
      <c r="AM16">
        <v>19.5</v>
      </c>
      <c r="AN16">
        <v>45.2</v>
      </c>
      <c r="AO16">
        <v>20.100000000000001</v>
      </c>
      <c r="AP16">
        <v>68.7</v>
      </c>
      <c r="AQ16">
        <v>24.3</v>
      </c>
      <c r="AR16">
        <v>22.2</v>
      </c>
      <c r="AS16">
        <v>69.099999999999994</v>
      </c>
      <c r="AT16">
        <v>15.3</v>
      </c>
      <c r="AU16">
        <v>6.2</v>
      </c>
      <c r="AV16">
        <v>44.4</v>
      </c>
      <c r="AW16">
        <v>21.1</v>
      </c>
      <c r="AX16">
        <v>44</v>
      </c>
      <c r="AY16">
        <v>24.5</v>
      </c>
      <c r="AZ16">
        <v>30.3</v>
      </c>
      <c r="BA16">
        <v>2.6</v>
      </c>
      <c r="BB16">
        <v>3</v>
      </c>
      <c r="BC16">
        <v>88</v>
      </c>
      <c r="BD16">
        <v>24.2</v>
      </c>
      <c r="BE16">
        <v>2.9</v>
      </c>
      <c r="BF16">
        <v>17.600000000000001</v>
      </c>
      <c r="BG16">
        <v>12.6</v>
      </c>
      <c r="BH16">
        <v>11.6</v>
      </c>
      <c r="BI16">
        <v>10.6</v>
      </c>
      <c r="BJ16">
        <v>23.9</v>
      </c>
      <c r="BK16">
        <v>0.5</v>
      </c>
      <c r="BL16">
        <v>10.199999999999999</v>
      </c>
      <c r="BM16">
        <v>16.899999999999999</v>
      </c>
      <c r="BN16">
        <v>1</v>
      </c>
      <c r="BO16">
        <v>26.6</v>
      </c>
      <c r="BP16">
        <v>18.3</v>
      </c>
      <c r="BQ16">
        <v>9.9</v>
      </c>
    </row>
    <row r="17" spans="1:69" x14ac:dyDescent="0.2">
      <c r="A17" t="s">
        <v>107</v>
      </c>
      <c r="B17" s="7">
        <v>6564.5</v>
      </c>
      <c r="C17">
        <v>684.3</v>
      </c>
      <c r="D17" s="7">
        <v>1381.9</v>
      </c>
      <c r="E17" s="7">
        <v>2038.3</v>
      </c>
      <c r="F17" s="7">
        <v>2345.6</v>
      </c>
      <c r="G17">
        <v>101</v>
      </c>
      <c r="I17">
        <v>13.4</v>
      </c>
      <c r="J17" s="7">
        <v>1154.0999999999999</v>
      </c>
      <c r="K17">
        <v>207.2</v>
      </c>
      <c r="L17">
        <v>476</v>
      </c>
      <c r="M17">
        <v>207.1</v>
      </c>
      <c r="N17">
        <v>139.1</v>
      </c>
      <c r="O17">
        <v>346.5</v>
      </c>
      <c r="P17">
        <v>305.10000000000002</v>
      </c>
      <c r="Q17">
        <v>291.39999999999998</v>
      </c>
      <c r="R17">
        <v>97.3</v>
      </c>
      <c r="S17">
        <v>106.7</v>
      </c>
      <c r="T17">
        <v>83.1</v>
      </c>
      <c r="U17">
        <v>61.4</v>
      </c>
      <c r="V17">
        <v>134</v>
      </c>
      <c r="W17">
        <v>169.8</v>
      </c>
      <c r="X17">
        <v>227.7</v>
      </c>
      <c r="Y17">
        <v>100</v>
      </c>
      <c r="Z17">
        <v>23.1</v>
      </c>
      <c r="AA17">
        <v>6.2</v>
      </c>
      <c r="AB17">
        <v>120.7</v>
      </c>
      <c r="AC17">
        <v>39.200000000000003</v>
      </c>
      <c r="AD17">
        <v>68.400000000000006</v>
      </c>
      <c r="AE17">
        <v>149.19999999999999</v>
      </c>
      <c r="AF17">
        <v>12.5</v>
      </c>
      <c r="AG17">
        <v>49.2</v>
      </c>
      <c r="AH17">
        <v>14.8</v>
      </c>
      <c r="AI17">
        <v>41.8</v>
      </c>
      <c r="AJ17">
        <v>4.9000000000000004</v>
      </c>
      <c r="AK17">
        <v>142.5</v>
      </c>
      <c r="AL17">
        <v>67.3</v>
      </c>
      <c r="AM17">
        <v>24.2</v>
      </c>
      <c r="AN17">
        <v>54.2</v>
      </c>
      <c r="AO17">
        <v>16.8</v>
      </c>
      <c r="AP17">
        <v>58</v>
      </c>
      <c r="AQ17">
        <v>25.1</v>
      </c>
      <c r="AR17">
        <v>28.2</v>
      </c>
      <c r="AS17">
        <v>81.3</v>
      </c>
      <c r="AT17">
        <v>15</v>
      </c>
      <c r="AU17">
        <v>4.8</v>
      </c>
      <c r="AV17">
        <v>51.6</v>
      </c>
      <c r="AW17">
        <v>28.5</v>
      </c>
      <c r="AX17">
        <v>34.5</v>
      </c>
      <c r="AY17">
        <v>26.3</v>
      </c>
      <c r="AZ17">
        <v>25.2</v>
      </c>
      <c r="BA17">
        <v>7.3</v>
      </c>
      <c r="BB17">
        <v>4.0999999999999996</v>
      </c>
      <c r="BC17">
        <v>98.9</v>
      </c>
      <c r="BD17">
        <v>17.100000000000001</v>
      </c>
      <c r="BE17">
        <v>2.2000000000000002</v>
      </c>
      <c r="BF17">
        <v>17.899999999999999</v>
      </c>
      <c r="BG17">
        <v>14.9</v>
      </c>
      <c r="BH17">
        <v>13.3</v>
      </c>
      <c r="BI17">
        <v>16.600000000000001</v>
      </c>
      <c r="BJ17">
        <v>32.700000000000003</v>
      </c>
      <c r="BK17">
        <v>0.3</v>
      </c>
      <c r="BL17">
        <v>11</v>
      </c>
      <c r="BM17">
        <v>13.4</v>
      </c>
      <c r="BN17">
        <v>3</v>
      </c>
      <c r="BO17">
        <v>37.6</v>
      </c>
      <c r="BP17">
        <v>21.4</v>
      </c>
      <c r="BQ17">
        <v>21.3</v>
      </c>
    </row>
    <row r="18" spans="1:69" x14ac:dyDescent="0.2">
      <c r="A18" t="s">
        <v>108</v>
      </c>
      <c r="B18" s="7">
        <v>6991</v>
      </c>
      <c r="C18">
        <v>716.4</v>
      </c>
      <c r="D18" s="7">
        <v>1558.9</v>
      </c>
      <c r="E18" s="7">
        <v>2160.1999999999998</v>
      </c>
      <c r="F18" s="7">
        <v>2443.8000000000002</v>
      </c>
      <c r="G18">
        <v>105.1</v>
      </c>
      <c r="I18">
        <v>6.6</v>
      </c>
      <c r="J18" s="7">
        <v>1262.2</v>
      </c>
      <c r="K18">
        <v>252.8</v>
      </c>
      <c r="L18">
        <v>565.1</v>
      </c>
      <c r="M18">
        <v>224.2</v>
      </c>
      <c r="N18">
        <v>139.19999999999999</v>
      </c>
      <c r="O18">
        <v>344.3</v>
      </c>
      <c r="P18">
        <v>336.5</v>
      </c>
      <c r="Q18">
        <v>338.1</v>
      </c>
      <c r="R18">
        <v>93.1</v>
      </c>
      <c r="S18">
        <v>129.5</v>
      </c>
      <c r="T18">
        <v>86.4</v>
      </c>
      <c r="U18">
        <v>67</v>
      </c>
      <c r="V18">
        <v>150.30000000000001</v>
      </c>
      <c r="W18">
        <v>175.6</v>
      </c>
      <c r="X18">
        <v>186.2</v>
      </c>
      <c r="Y18">
        <v>101.3</v>
      </c>
      <c r="Z18">
        <v>54.6</v>
      </c>
      <c r="AA18">
        <v>6.9</v>
      </c>
      <c r="AB18">
        <v>141.6</v>
      </c>
      <c r="AC18">
        <v>23.4</v>
      </c>
      <c r="AD18">
        <v>65.099999999999994</v>
      </c>
      <c r="AE18">
        <v>128.1</v>
      </c>
      <c r="AF18">
        <v>17.7</v>
      </c>
      <c r="AG18">
        <v>25.8</v>
      </c>
      <c r="AH18">
        <v>16.899999999999999</v>
      </c>
      <c r="AI18">
        <v>40.1</v>
      </c>
      <c r="AJ18">
        <v>17.399999999999999</v>
      </c>
      <c r="AK18">
        <v>154.6</v>
      </c>
      <c r="AL18">
        <v>66.3</v>
      </c>
      <c r="AM18">
        <v>23.2</v>
      </c>
      <c r="AN18">
        <v>64.5</v>
      </c>
      <c r="AO18">
        <v>21</v>
      </c>
      <c r="AP18">
        <v>66.5</v>
      </c>
      <c r="AQ18">
        <v>30.8</v>
      </c>
      <c r="AR18">
        <v>30.1</v>
      </c>
      <c r="AS18">
        <v>108.6</v>
      </c>
      <c r="AT18">
        <v>19.5</v>
      </c>
      <c r="AU18">
        <v>11.8</v>
      </c>
      <c r="AV18">
        <v>50.1</v>
      </c>
      <c r="AW18">
        <v>29</v>
      </c>
      <c r="AX18">
        <v>28.6</v>
      </c>
      <c r="AY18">
        <v>29.8</v>
      </c>
      <c r="AZ18">
        <v>24.6</v>
      </c>
      <c r="BA18">
        <v>11.8</v>
      </c>
      <c r="BB18">
        <v>7.3</v>
      </c>
      <c r="BC18">
        <v>79.2</v>
      </c>
      <c r="BD18">
        <v>17.3</v>
      </c>
      <c r="BE18">
        <v>1.6</v>
      </c>
      <c r="BF18">
        <v>19.5</v>
      </c>
      <c r="BG18">
        <v>17.8</v>
      </c>
      <c r="BH18">
        <v>14.4</v>
      </c>
      <c r="BI18">
        <v>21.5</v>
      </c>
      <c r="BJ18">
        <v>30.5</v>
      </c>
      <c r="BK18">
        <v>1.2</v>
      </c>
      <c r="BL18">
        <v>7.8</v>
      </c>
      <c r="BM18">
        <v>5.0999999999999996</v>
      </c>
      <c r="BN18">
        <v>6.6</v>
      </c>
      <c r="BO18">
        <v>38.6</v>
      </c>
      <c r="BP18">
        <v>17.399999999999999</v>
      </c>
      <c r="BQ18">
        <v>46</v>
      </c>
    </row>
    <row r="19" spans="1:69" x14ac:dyDescent="0.2">
      <c r="A19" t="s">
        <v>109</v>
      </c>
      <c r="B19" s="7">
        <v>7783.2</v>
      </c>
      <c r="C19">
        <v>708.1</v>
      </c>
      <c r="D19" s="7">
        <v>1991.6</v>
      </c>
      <c r="E19" s="7">
        <v>2475.4</v>
      </c>
      <c r="F19" s="7">
        <v>2490.9</v>
      </c>
      <c r="G19">
        <v>112.8</v>
      </c>
      <c r="I19">
        <v>4.4000000000000004</v>
      </c>
      <c r="J19" s="7">
        <v>1632.8</v>
      </c>
      <c r="K19">
        <v>310.89999999999998</v>
      </c>
      <c r="L19">
        <v>520</v>
      </c>
      <c r="M19">
        <v>233.9</v>
      </c>
      <c r="N19">
        <v>174.1</v>
      </c>
      <c r="O19">
        <v>356.3</v>
      </c>
      <c r="P19">
        <v>414.2</v>
      </c>
      <c r="Q19">
        <v>392.8</v>
      </c>
      <c r="R19">
        <v>117.5</v>
      </c>
      <c r="S19">
        <v>164.7</v>
      </c>
      <c r="T19">
        <v>92.1</v>
      </c>
      <c r="U19">
        <v>81.7</v>
      </c>
      <c r="V19">
        <v>152.4</v>
      </c>
      <c r="W19">
        <v>197.9</v>
      </c>
      <c r="X19">
        <v>232.1</v>
      </c>
      <c r="Y19">
        <v>118.6</v>
      </c>
      <c r="Z19">
        <v>69.099999999999994</v>
      </c>
      <c r="AA19">
        <v>12.3</v>
      </c>
      <c r="AB19">
        <v>153.69999999999999</v>
      </c>
      <c r="AC19">
        <v>22.2</v>
      </c>
      <c r="AD19">
        <v>90</v>
      </c>
      <c r="AE19">
        <v>137.4</v>
      </c>
      <c r="AF19">
        <v>17.899999999999999</v>
      </c>
      <c r="AG19">
        <v>11.8</v>
      </c>
      <c r="AH19">
        <v>19.899999999999999</v>
      </c>
      <c r="AI19">
        <v>42.3</v>
      </c>
      <c r="AJ19">
        <v>20.9</v>
      </c>
      <c r="AK19">
        <v>150.9</v>
      </c>
      <c r="AL19">
        <v>43.7</v>
      </c>
      <c r="AM19">
        <v>30.7</v>
      </c>
      <c r="AN19">
        <v>68.7</v>
      </c>
      <c r="AO19">
        <v>24.2</v>
      </c>
      <c r="AP19">
        <v>74.2</v>
      </c>
      <c r="AQ19">
        <v>32.799999999999997</v>
      </c>
      <c r="AR19">
        <v>40.6</v>
      </c>
      <c r="AS19">
        <v>81.400000000000006</v>
      </c>
      <c r="AT19">
        <v>27</v>
      </c>
      <c r="AU19">
        <v>18</v>
      </c>
      <c r="AV19">
        <v>68.900000000000006</v>
      </c>
      <c r="AW19">
        <v>18.2</v>
      </c>
      <c r="AX19">
        <v>30.7</v>
      </c>
      <c r="AY19">
        <v>35.6</v>
      </c>
      <c r="AZ19">
        <v>24</v>
      </c>
      <c r="BA19">
        <v>19.2</v>
      </c>
      <c r="BB19">
        <v>11.8</v>
      </c>
      <c r="BC19">
        <v>63.5</v>
      </c>
      <c r="BD19">
        <v>24.5</v>
      </c>
      <c r="BE19">
        <v>2.2999999999999998</v>
      </c>
      <c r="BF19">
        <v>21.2</v>
      </c>
      <c r="BG19">
        <v>24.7</v>
      </c>
      <c r="BH19">
        <v>14.8</v>
      </c>
      <c r="BI19">
        <v>22.5</v>
      </c>
      <c r="BJ19">
        <v>29</v>
      </c>
      <c r="BK19">
        <v>0.5</v>
      </c>
      <c r="BL19">
        <v>9</v>
      </c>
      <c r="BM19">
        <v>9.6</v>
      </c>
      <c r="BN19">
        <v>8.1</v>
      </c>
      <c r="BO19">
        <v>48.3</v>
      </c>
      <c r="BP19">
        <v>35</v>
      </c>
      <c r="BQ19">
        <v>28.7</v>
      </c>
    </row>
    <row r="20" spans="1:69" x14ac:dyDescent="0.2">
      <c r="A20" t="s">
        <v>110</v>
      </c>
      <c r="B20" s="7">
        <v>8475.2000000000007</v>
      </c>
      <c r="C20">
        <v>920.2</v>
      </c>
      <c r="D20" s="7">
        <v>2176.6</v>
      </c>
      <c r="E20" s="7">
        <v>2725</v>
      </c>
      <c r="F20" s="7">
        <v>2538.4</v>
      </c>
      <c r="G20">
        <v>111.5</v>
      </c>
      <c r="I20">
        <v>3.5</v>
      </c>
      <c r="J20" s="7">
        <v>1640.6</v>
      </c>
      <c r="K20">
        <v>292</v>
      </c>
      <c r="L20">
        <v>512.20000000000005</v>
      </c>
      <c r="M20">
        <v>307.2</v>
      </c>
      <c r="N20">
        <v>191</v>
      </c>
      <c r="O20">
        <v>389.4</v>
      </c>
      <c r="P20">
        <v>424.2</v>
      </c>
      <c r="Q20">
        <v>421.2</v>
      </c>
      <c r="R20">
        <v>137.5</v>
      </c>
      <c r="S20">
        <v>207.5</v>
      </c>
      <c r="T20">
        <v>88.4</v>
      </c>
      <c r="U20">
        <v>88.9</v>
      </c>
      <c r="V20">
        <v>146.4</v>
      </c>
      <c r="W20">
        <v>206.3</v>
      </c>
      <c r="X20">
        <v>223.8</v>
      </c>
      <c r="Y20">
        <v>113.5</v>
      </c>
      <c r="Z20">
        <v>122.2</v>
      </c>
      <c r="AA20">
        <v>35.4</v>
      </c>
      <c r="AB20">
        <v>178.6</v>
      </c>
      <c r="AC20">
        <v>22.2</v>
      </c>
      <c r="AD20">
        <v>125.4</v>
      </c>
      <c r="AE20">
        <v>149.30000000000001</v>
      </c>
      <c r="AF20">
        <v>22</v>
      </c>
      <c r="AG20">
        <v>39.6</v>
      </c>
      <c r="AH20">
        <v>34.1</v>
      </c>
      <c r="AI20">
        <v>64.099999999999994</v>
      </c>
      <c r="AJ20">
        <v>39</v>
      </c>
      <c r="AK20">
        <v>156.1</v>
      </c>
      <c r="AL20">
        <v>69.8</v>
      </c>
      <c r="AM20">
        <v>33.1</v>
      </c>
      <c r="AN20">
        <v>74.099999999999994</v>
      </c>
      <c r="AO20">
        <v>48.9</v>
      </c>
      <c r="AP20">
        <v>81.900000000000006</v>
      </c>
      <c r="AQ20">
        <v>37</v>
      </c>
      <c r="AR20">
        <v>51.5</v>
      </c>
      <c r="AS20">
        <v>77.8</v>
      </c>
      <c r="AT20">
        <v>27.2</v>
      </c>
      <c r="AU20">
        <v>43.2</v>
      </c>
      <c r="AV20">
        <v>67.3</v>
      </c>
      <c r="AW20">
        <v>29.9</v>
      </c>
      <c r="AX20">
        <v>45.9</v>
      </c>
      <c r="AY20">
        <v>32.5</v>
      </c>
      <c r="AZ20">
        <v>35.700000000000003</v>
      </c>
      <c r="BA20">
        <v>28.6</v>
      </c>
      <c r="BB20">
        <v>13.5</v>
      </c>
      <c r="BC20">
        <v>73.3</v>
      </c>
      <c r="BD20">
        <v>41.3</v>
      </c>
      <c r="BE20">
        <v>2</v>
      </c>
      <c r="BF20">
        <v>31.8</v>
      </c>
      <c r="BG20">
        <v>27.3</v>
      </c>
      <c r="BH20">
        <v>15.1</v>
      </c>
      <c r="BI20">
        <v>18.399999999999999</v>
      </c>
      <c r="BJ20">
        <v>24.4</v>
      </c>
      <c r="BK20">
        <v>1.5</v>
      </c>
      <c r="BL20">
        <v>9.3000000000000007</v>
      </c>
      <c r="BM20">
        <v>5.8</v>
      </c>
      <c r="BN20">
        <v>12.8</v>
      </c>
      <c r="BO20">
        <v>51.4</v>
      </c>
      <c r="BP20">
        <v>40.200000000000003</v>
      </c>
      <c r="BQ20">
        <v>34.4</v>
      </c>
    </row>
    <row r="21" spans="1:69" x14ac:dyDescent="0.2">
      <c r="A21" t="s">
        <v>111</v>
      </c>
      <c r="B21" s="7">
        <v>9743.6</v>
      </c>
      <c r="C21" s="7">
        <v>1140.5</v>
      </c>
      <c r="D21" s="7">
        <v>2418.3000000000002</v>
      </c>
      <c r="E21" s="7">
        <v>3108.6</v>
      </c>
      <c r="F21" s="7">
        <v>2951.2</v>
      </c>
      <c r="G21">
        <v>120.1</v>
      </c>
      <c r="I21">
        <v>4.7</v>
      </c>
      <c r="J21" s="7">
        <v>1655.8</v>
      </c>
      <c r="K21">
        <v>434.8</v>
      </c>
      <c r="L21">
        <v>632.70000000000005</v>
      </c>
      <c r="M21">
        <v>512.6</v>
      </c>
      <c r="N21">
        <v>224</v>
      </c>
      <c r="O21">
        <v>417.2</v>
      </c>
      <c r="P21">
        <v>485.1</v>
      </c>
      <c r="Q21">
        <v>412.3</v>
      </c>
      <c r="R21">
        <v>119.8</v>
      </c>
      <c r="S21">
        <v>251.6</v>
      </c>
      <c r="T21">
        <v>94.5</v>
      </c>
      <c r="U21">
        <v>98.2</v>
      </c>
      <c r="V21">
        <v>162</v>
      </c>
      <c r="W21">
        <v>196.6</v>
      </c>
      <c r="X21">
        <v>187.8</v>
      </c>
      <c r="Y21">
        <v>119.8</v>
      </c>
      <c r="Z21">
        <v>247.9</v>
      </c>
      <c r="AA21">
        <v>73.400000000000006</v>
      </c>
      <c r="AB21">
        <v>200.2</v>
      </c>
      <c r="AC21">
        <v>83.1</v>
      </c>
      <c r="AD21">
        <v>138.9</v>
      </c>
      <c r="AE21">
        <v>129.30000000000001</v>
      </c>
      <c r="AF21">
        <v>36.200000000000003</v>
      </c>
      <c r="AG21">
        <v>28</v>
      </c>
      <c r="AH21">
        <v>43.5</v>
      </c>
      <c r="AI21">
        <v>73.2</v>
      </c>
      <c r="AJ21">
        <v>97.3</v>
      </c>
      <c r="AK21">
        <v>154.6</v>
      </c>
      <c r="AL21">
        <v>71.8</v>
      </c>
      <c r="AM21">
        <v>33.1</v>
      </c>
      <c r="AN21">
        <v>71.3</v>
      </c>
      <c r="AO21">
        <v>55.5</v>
      </c>
      <c r="AP21">
        <v>69.7</v>
      </c>
      <c r="AQ21">
        <v>49.3</v>
      </c>
      <c r="AR21">
        <v>55.6</v>
      </c>
      <c r="AS21">
        <v>72.7</v>
      </c>
      <c r="AT21">
        <v>31.8</v>
      </c>
      <c r="AU21">
        <v>44.2</v>
      </c>
      <c r="AV21">
        <v>60.3</v>
      </c>
      <c r="AW21">
        <v>30.8</v>
      </c>
      <c r="AX21">
        <v>59.9</v>
      </c>
      <c r="AY21">
        <v>34.200000000000003</v>
      </c>
      <c r="AZ21">
        <v>75.599999999999994</v>
      </c>
      <c r="BA21">
        <v>49.5</v>
      </c>
      <c r="BB21">
        <v>12.8</v>
      </c>
      <c r="BC21">
        <v>73</v>
      </c>
      <c r="BD21">
        <v>50.5</v>
      </c>
      <c r="BE21">
        <v>4.5</v>
      </c>
      <c r="BF21">
        <v>23.7</v>
      </c>
      <c r="BG21">
        <v>25.7</v>
      </c>
      <c r="BH21">
        <v>19.100000000000001</v>
      </c>
      <c r="BI21">
        <v>22.5</v>
      </c>
      <c r="BJ21">
        <v>24.9</v>
      </c>
      <c r="BK21">
        <v>4</v>
      </c>
      <c r="BL21">
        <v>9.3000000000000007</v>
      </c>
      <c r="BM21">
        <v>5.7</v>
      </c>
      <c r="BN21">
        <v>12.5</v>
      </c>
      <c r="BO21">
        <v>61.2</v>
      </c>
      <c r="BP21">
        <v>54.4</v>
      </c>
      <c r="BQ21">
        <v>78.599999999999994</v>
      </c>
    </row>
    <row r="22" spans="1:69" x14ac:dyDescent="0.2">
      <c r="A22" t="s">
        <v>112</v>
      </c>
      <c r="B22" s="7">
        <v>9095.9</v>
      </c>
      <c r="C22" s="7">
        <v>1034.8</v>
      </c>
      <c r="D22" s="7">
        <v>2206.1</v>
      </c>
      <c r="E22" s="7">
        <v>2520.4</v>
      </c>
      <c r="F22" s="7">
        <v>3200.6</v>
      </c>
      <c r="G22">
        <v>127</v>
      </c>
      <c r="I22">
        <v>7.1</v>
      </c>
      <c r="J22" s="7">
        <v>1487.4</v>
      </c>
      <c r="K22">
        <v>412.7</v>
      </c>
      <c r="L22">
        <v>662.9</v>
      </c>
      <c r="M22">
        <v>293.2</v>
      </c>
      <c r="N22">
        <v>254</v>
      </c>
      <c r="O22">
        <v>370.8</v>
      </c>
      <c r="P22">
        <v>464.8</v>
      </c>
      <c r="Q22">
        <v>324.89999999999998</v>
      </c>
      <c r="R22">
        <v>148.69999999999999</v>
      </c>
      <c r="S22">
        <v>234.6</v>
      </c>
      <c r="T22">
        <v>104.5</v>
      </c>
      <c r="U22">
        <v>100.4</v>
      </c>
      <c r="V22">
        <v>129.4</v>
      </c>
      <c r="W22">
        <v>134.30000000000001</v>
      </c>
      <c r="X22">
        <v>150.6</v>
      </c>
      <c r="Y22">
        <v>100.1</v>
      </c>
      <c r="Z22">
        <v>250.3</v>
      </c>
      <c r="AA22">
        <v>53.6</v>
      </c>
      <c r="AB22">
        <v>170.7</v>
      </c>
      <c r="AC22">
        <v>46.1</v>
      </c>
      <c r="AD22">
        <v>111.4</v>
      </c>
      <c r="AE22">
        <v>120.7</v>
      </c>
      <c r="AF22">
        <v>42.4</v>
      </c>
      <c r="AG22">
        <v>33</v>
      </c>
      <c r="AH22">
        <v>53.6</v>
      </c>
      <c r="AI22">
        <v>60.4</v>
      </c>
      <c r="AJ22">
        <v>78.400000000000006</v>
      </c>
      <c r="AK22">
        <v>179.3</v>
      </c>
      <c r="AL22">
        <v>65.900000000000006</v>
      </c>
      <c r="AM22">
        <v>40.200000000000003</v>
      </c>
      <c r="AN22">
        <v>61.8</v>
      </c>
      <c r="AO22">
        <v>60.6</v>
      </c>
      <c r="AP22">
        <v>58.4</v>
      </c>
      <c r="AQ22">
        <v>60.7</v>
      </c>
      <c r="AR22">
        <v>50.7</v>
      </c>
      <c r="AS22">
        <v>59.8</v>
      </c>
      <c r="AT22">
        <v>33.700000000000003</v>
      </c>
      <c r="AU22">
        <v>40.5</v>
      </c>
      <c r="AV22">
        <v>51.5</v>
      </c>
      <c r="AW22">
        <v>32.799999999999997</v>
      </c>
      <c r="AX22">
        <v>55.4</v>
      </c>
      <c r="AY22">
        <v>33.799999999999997</v>
      </c>
      <c r="AZ22">
        <v>63.4</v>
      </c>
      <c r="BA22">
        <v>45.1</v>
      </c>
      <c r="BB22">
        <v>14.7</v>
      </c>
      <c r="BC22">
        <v>48</v>
      </c>
      <c r="BD22">
        <v>62.6</v>
      </c>
      <c r="BE22">
        <v>3.5</v>
      </c>
      <c r="BF22">
        <v>20.5</v>
      </c>
      <c r="BG22">
        <v>22.3</v>
      </c>
      <c r="BH22">
        <v>15.6</v>
      </c>
      <c r="BI22">
        <v>0</v>
      </c>
      <c r="BJ22">
        <v>23.7</v>
      </c>
      <c r="BK22">
        <v>5.5</v>
      </c>
      <c r="BL22">
        <v>10</v>
      </c>
      <c r="BM22">
        <v>10.3</v>
      </c>
      <c r="BN22">
        <v>17.3</v>
      </c>
      <c r="BO22">
        <v>43.9</v>
      </c>
      <c r="BP22">
        <v>50.3</v>
      </c>
      <c r="BQ22">
        <v>141.6</v>
      </c>
    </row>
    <row r="23" spans="1:69" x14ac:dyDescent="0.2">
      <c r="A23" t="s">
        <v>113</v>
      </c>
      <c r="B23" s="7">
        <v>9151.9</v>
      </c>
      <c r="C23" s="7">
        <v>1081.8</v>
      </c>
      <c r="D23" s="7">
        <v>1987.6</v>
      </c>
      <c r="E23" s="7">
        <v>2311.6</v>
      </c>
      <c r="F23" s="7">
        <v>3660.1</v>
      </c>
      <c r="G23">
        <v>98.6</v>
      </c>
      <c r="I23">
        <v>12.1</v>
      </c>
      <c r="J23" s="7">
        <v>1212.9000000000001</v>
      </c>
      <c r="K23">
        <v>400.3</v>
      </c>
      <c r="L23">
        <v>639.29999999999995</v>
      </c>
      <c r="M23">
        <v>378.2</v>
      </c>
      <c r="N23">
        <v>276</v>
      </c>
      <c r="O23">
        <v>311.39999999999998</v>
      </c>
      <c r="P23">
        <v>416.4</v>
      </c>
      <c r="Q23">
        <v>265.3</v>
      </c>
      <c r="R23">
        <v>218.6</v>
      </c>
      <c r="S23">
        <v>207.9</v>
      </c>
      <c r="T23">
        <v>82.1</v>
      </c>
      <c r="U23">
        <v>86.6</v>
      </c>
      <c r="V23">
        <v>110.8</v>
      </c>
      <c r="W23">
        <v>109.3</v>
      </c>
      <c r="X23">
        <v>241</v>
      </c>
      <c r="Y23">
        <v>83.2</v>
      </c>
      <c r="Z23">
        <v>322.10000000000002</v>
      </c>
      <c r="AA23">
        <v>66.099999999999994</v>
      </c>
      <c r="AB23">
        <v>156.4</v>
      </c>
      <c r="AC23">
        <v>61.7</v>
      </c>
      <c r="AD23">
        <v>113.1</v>
      </c>
      <c r="AE23">
        <v>80.2</v>
      </c>
      <c r="AF23">
        <v>64.400000000000006</v>
      </c>
      <c r="AG23">
        <v>31.4</v>
      </c>
      <c r="AH23">
        <v>55.3</v>
      </c>
      <c r="AI23">
        <v>68.3</v>
      </c>
      <c r="AJ23">
        <v>89.9</v>
      </c>
      <c r="AK23">
        <v>152.80000000000001</v>
      </c>
      <c r="AL23">
        <v>62.9</v>
      </c>
      <c r="AM23">
        <v>41.1</v>
      </c>
      <c r="AN23">
        <v>74.099999999999994</v>
      </c>
      <c r="AO23">
        <v>72.599999999999994</v>
      </c>
      <c r="AP23">
        <v>60.9</v>
      </c>
      <c r="AQ23">
        <v>62.1</v>
      </c>
      <c r="AR23">
        <v>53.5</v>
      </c>
      <c r="AS23">
        <v>71</v>
      </c>
      <c r="AT23">
        <v>27.7</v>
      </c>
      <c r="AU23">
        <v>32.700000000000003</v>
      </c>
      <c r="AV23">
        <v>39.200000000000003</v>
      </c>
      <c r="AW23">
        <v>22.7</v>
      </c>
      <c r="AX23">
        <v>64.7</v>
      </c>
      <c r="AY23">
        <v>30.1</v>
      </c>
      <c r="AZ23">
        <v>77.099999999999994</v>
      </c>
      <c r="BA23">
        <v>34.5</v>
      </c>
      <c r="BB23">
        <v>21.6</v>
      </c>
      <c r="BC23">
        <v>41.1</v>
      </c>
      <c r="BD23">
        <v>60.6</v>
      </c>
      <c r="BE23">
        <v>3.3</v>
      </c>
      <c r="BF23">
        <v>33.9</v>
      </c>
      <c r="BG23">
        <v>21.4</v>
      </c>
      <c r="BH23">
        <v>12</v>
      </c>
      <c r="BI23">
        <v>0.4</v>
      </c>
      <c r="BJ23">
        <v>25.5</v>
      </c>
      <c r="BK23">
        <v>8.1999999999999993</v>
      </c>
      <c r="BL23">
        <v>10.8</v>
      </c>
      <c r="BM23">
        <v>23.9</v>
      </c>
      <c r="BN23">
        <v>20.3</v>
      </c>
      <c r="BO23">
        <v>37.799999999999997</v>
      </c>
      <c r="BP23">
        <v>53.1</v>
      </c>
      <c r="BQ23">
        <v>227.5</v>
      </c>
    </row>
    <row r="24" spans="1:69" x14ac:dyDescent="0.2">
      <c r="A24" t="s">
        <v>114</v>
      </c>
      <c r="B24" s="7">
        <v>12621.1</v>
      </c>
      <c r="C24" s="7">
        <v>1392</v>
      </c>
      <c r="D24" s="7">
        <v>2947.7</v>
      </c>
      <c r="E24" s="7">
        <v>3117.8</v>
      </c>
      <c r="F24" s="7">
        <v>5014.8</v>
      </c>
      <c r="G24">
        <v>130.30000000000001</v>
      </c>
      <c r="I24">
        <v>18.600000000000001</v>
      </c>
      <c r="J24" s="7">
        <v>1749.9</v>
      </c>
      <c r="K24">
        <v>786.1</v>
      </c>
      <c r="L24">
        <v>764</v>
      </c>
      <c r="M24">
        <v>572.6</v>
      </c>
      <c r="N24">
        <v>376</v>
      </c>
      <c r="O24">
        <v>385.2</v>
      </c>
      <c r="P24">
        <v>525.1</v>
      </c>
      <c r="Q24">
        <v>364.9</v>
      </c>
      <c r="R24">
        <v>443.8</v>
      </c>
      <c r="S24">
        <v>334.6</v>
      </c>
      <c r="T24">
        <v>108.6</v>
      </c>
      <c r="U24">
        <v>129.1</v>
      </c>
      <c r="V24">
        <v>115.6</v>
      </c>
      <c r="W24">
        <v>170.2</v>
      </c>
      <c r="X24">
        <v>347</v>
      </c>
      <c r="Y24">
        <v>100.7</v>
      </c>
      <c r="Z24">
        <v>472.2</v>
      </c>
      <c r="AA24">
        <v>63.6</v>
      </c>
      <c r="AB24">
        <v>206</v>
      </c>
      <c r="AC24">
        <v>66.099999999999994</v>
      </c>
      <c r="AD24">
        <v>200.4</v>
      </c>
      <c r="AE24">
        <v>138.1</v>
      </c>
      <c r="AF24">
        <v>97.8</v>
      </c>
      <c r="AG24">
        <v>55.1</v>
      </c>
      <c r="AH24">
        <v>92</v>
      </c>
      <c r="AI24">
        <v>98</v>
      </c>
      <c r="AJ24">
        <v>135.19999999999999</v>
      </c>
      <c r="AK24">
        <v>192.2</v>
      </c>
      <c r="AL24">
        <v>116.3</v>
      </c>
      <c r="AM24">
        <v>59.1</v>
      </c>
      <c r="AN24">
        <v>96.3</v>
      </c>
      <c r="AO24">
        <v>123</v>
      </c>
      <c r="AP24">
        <v>66.099999999999994</v>
      </c>
      <c r="AQ24">
        <v>64.8</v>
      </c>
      <c r="AR24">
        <v>94</v>
      </c>
      <c r="AS24">
        <v>190.4</v>
      </c>
      <c r="AT24">
        <v>53.4</v>
      </c>
      <c r="AU24">
        <v>37.299999999999997</v>
      </c>
      <c r="AV24">
        <v>46.4</v>
      </c>
      <c r="AW24">
        <v>32.9</v>
      </c>
      <c r="AX24">
        <v>90.4</v>
      </c>
      <c r="AY24">
        <v>38.4</v>
      </c>
      <c r="AZ24">
        <v>65.599999999999994</v>
      </c>
      <c r="BA24">
        <v>62</v>
      </c>
      <c r="BB24">
        <v>34.9</v>
      </c>
      <c r="BC24">
        <v>66.3</v>
      </c>
      <c r="BD24">
        <v>64.7</v>
      </c>
      <c r="BE24">
        <v>6</v>
      </c>
      <c r="BF24">
        <v>40.9</v>
      </c>
      <c r="BG24">
        <v>33</v>
      </c>
      <c r="BH24">
        <v>16.3</v>
      </c>
      <c r="BI24">
        <v>0.3</v>
      </c>
      <c r="BJ24">
        <v>24.2</v>
      </c>
      <c r="BK24">
        <v>9.4</v>
      </c>
      <c r="BL24">
        <v>11.2</v>
      </c>
      <c r="BM24">
        <v>12.9</v>
      </c>
      <c r="BN24">
        <v>23.7</v>
      </c>
      <c r="BO24">
        <v>29.5</v>
      </c>
      <c r="BP24">
        <v>39.5</v>
      </c>
      <c r="BQ24">
        <v>183.4</v>
      </c>
    </row>
    <row r="25" spans="1:69" x14ac:dyDescent="0.2">
      <c r="A25" t="s">
        <v>115</v>
      </c>
      <c r="B25" s="7">
        <v>14327.3</v>
      </c>
      <c r="C25" s="7">
        <v>1977.2</v>
      </c>
      <c r="D25" s="7">
        <v>3448.6</v>
      </c>
      <c r="E25" s="7">
        <v>3465.7</v>
      </c>
      <c r="F25" s="7">
        <v>5257.7</v>
      </c>
      <c r="G25">
        <v>173.8</v>
      </c>
      <c r="I25">
        <v>4.3</v>
      </c>
      <c r="J25" s="7">
        <v>2086</v>
      </c>
      <c r="K25">
        <v>810.5</v>
      </c>
      <c r="L25">
        <v>746.7</v>
      </c>
      <c r="M25">
        <v>616.6</v>
      </c>
      <c r="N25">
        <v>418.3</v>
      </c>
      <c r="O25">
        <v>469</v>
      </c>
      <c r="P25">
        <v>595.29999999999995</v>
      </c>
      <c r="Q25">
        <v>402.8</v>
      </c>
      <c r="R25">
        <v>726.9</v>
      </c>
      <c r="S25">
        <v>559</v>
      </c>
      <c r="T25">
        <v>148</v>
      </c>
      <c r="U25">
        <v>151.80000000000001</v>
      </c>
      <c r="V25">
        <v>148.19999999999999</v>
      </c>
      <c r="W25">
        <v>184.9</v>
      </c>
      <c r="X25">
        <v>261.8</v>
      </c>
      <c r="Y25">
        <v>145.30000000000001</v>
      </c>
      <c r="Z25">
        <v>404.7</v>
      </c>
      <c r="AA25">
        <v>65.400000000000006</v>
      </c>
      <c r="AB25">
        <v>219.1</v>
      </c>
      <c r="AC25">
        <v>77.8</v>
      </c>
      <c r="AD25">
        <v>178</v>
      </c>
      <c r="AE25">
        <v>161.30000000000001</v>
      </c>
      <c r="AF25">
        <v>119.1</v>
      </c>
      <c r="AG25">
        <v>82.2</v>
      </c>
      <c r="AH25">
        <v>115.8</v>
      </c>
      <c r="AI25">
        <v>123.6</v>
      </c>
      <c r="AJ25">
        <v>179.4</v>
      </c>
      <c r="AK25">
        <v>233</v>
      </c>
      <c r="AL25">
        <v>138</v>
      </c>
      <c r="AM25">
        <v>120.3</v>
      </c>
      <c r="AN25">
        <v>113.7</v>
      </c>
      <c r="AO25">
        <v>178.6</v>
      </c>
      <c r="AP25">
        <v>64.7</v>
      </c>
      <c r="AQ25">
        <v>81.5</v>
      </c>
      <c r="AR25">
        <v>97.7</v>
      </c>
      <c r="AS25">
        <v>145.4</v>
      </c>
      <c r="AT25">
        <v>62.7</v>
      </c>
      <c r="AU25">
        <v>44.5</v>
      </c>
      <c r="AV25">
        <v>63.1</v>
      </c>
      <c r="AW25">
        <v>48.9</v>
      </c>
      <c r="AX25">
        <v>158.30000000000001</v>
      </c>
      <c r="AY25">
        <v>43.8</v>
      </c>
      <c r="AZ25">
        <v>85.8</v>
      </c>
      <c r="BA25">
        <v>68.599999999999994</v>
      </c>
      <c r="BB25">
        <v>38.5</v>
      </c>
      <c r="BC25">
        <v>60.7</v>
      </c>
      <c r="BD25">
        <v>75.3</v>
      </c>
      <c r="BE25">
        <v>12.3</v>
      </c>
      <c r="BF25">
        <v>34.799999999999997</v>
      </c>
      <c r="BG25">
        <v>37.700000000000003</v>
      </c>
      <c r="BH25">
        <v>19.399999999999999</v>
      </c>
      <c r="BI25">
        <v>0</v>
      </c>
      <c r="BJ25">
        <v>35.200000000000003</v>
      </c>
      <c r="BK25">
        <v>11.2</v>
      </c>
      <c r="BL25">
        <v>20</v>
      </c>
      <c r="BM25">
        <v>25.3</v>
      </c>
      <c r="BN25">
        <v>27.3</v>
      </c>
      <c r="BO25">
        <v>24</v>
      </c>
      <c r="BP25">
        <v>30.5</v>
      </c>
      <c r="BQ25">
        <v>136.69999999999999</v>
      </c>
    </row>
    <row r="26" spans="1:69" x14ac:dyDescent="0.2">
      <c r="A26" t="s">
        <v>116</v>
      </c>
      <c r="B26" s="7">
        <v>14424</v>
      </c>
      <c r="C26" s="7">
        <v>1592</v>
      </c>
      <c r="D26" s="7">
        <v>3607.5</v>
      </c>
      <c r="E26" s="7">
        <v>3189.1</v>
      </c>
      <c r="F26" s="7">
        <v>5860</v>
      </c>
      <c r="G26">
        <v>172.6</v>
      </c>
      <c r="I26">
        <v>2.7</v>
      </c>
      <c r="J26" s="7">
        <v>2296.1999999999998</v>
      </c>
      <c r="K26" s="7">
        <v>1103.5</v>
      </c>
      <c r="L26">
        <v>640.20000000000005</v>
      </c>
      <c r="M26">
        <v>601.6</v>
      </c>
      <c r="N26">
        <v>395.8</v>
      </c>
      <c r="O26">
        <v>490</v>
      </c>
      <c r="P26">
        <v>497.4</v>
      </c>
      <c r="Q26">
        <v>309.7</v>
      </c>
      <c r="R26" s="7">
        <v>1291.5999999999999</v>
      </c>
      <c r="S26">
        <v>401.2</v>
      </c>
      <c r="T26">
        <v>146.6</v>
      </c>
      <c r="U26">
        <v>135.1</v>
      </c>
      <c r="V26">
        <v>129.9</v>
      </c>
      <c r="W26">
        <v>157.19999999999999</v>
      </c>
      <c r="X26">
        <v>244.9</v>
      </c>
      <c r="Y26">
        <v>139.4</v>
      </c>
      <c r="Z26">
        <v>384.3</v>
      </c>
      <c r="AA26">
        <v>77.599999999999994</v>
      </c>
      <c r="AB26">
        <v>183.3</v>
      </c>
      <c r="AC26">
        <v>77.2</v>
      </c>
      <c r="AD26">
        <v>190</v>
      </c>
      <c r="AE26">
        <v>138.19999999999999</v>
      </c>
      <c r="AF26">
        <v>125.7</v>
      </c>
      <c r="AG26">
        <v>77.2</v>
      </c>
      <c r="AH26">
        <v>114.3</v>
      </c>
      <c r="AI26">
        <v>117.8</v>
      </c>
      <c r="AJ26">
        <v>174.1</v>
      </c>
      <c r="AK26">
        <v>188.8</v>
      </c>
      <c r="AL26">
        <v>166</v>
      </c>
      <c r="AM26">
        <v>139.30000000000001</v>
      </c>
      <c r="AN26">
        <v>102.8</v>
      </c>
      <c r="AO26">
        <v>159.5</v>
      </c>
      <c r="AP26">
        <v>51.3</v>
      </c>
      <c r="AQ26">
        <v>70.599999999999994</v>
      </c>
      <c r="AR26">
        <v>88.4</v>
      </c>
      <c r="AS26">
        <v>144</v>
      </c>
      <c r="AT26">
        <v>68.599999999999994</v>
      </c>
      <c r="AU26">
        <v>59.6</v>
      </c>
      <c r="AV26">
        <v>55.9</v>
      </c>
      <c r="AW26">
        <v>46.1</v>
      </c>
      <c r="AX26">
        <v>111.7</v>
      </c>
      <c r="AY26">
        <v>41.5</v>
      </c>
      <c r="AZ26">
        <v>50.4</v>
      </c>
      <c r="BA26">
        <v>72.400000000000006</v>
      </c>
      <c r="BB26">
        <v>52.3</v>
      </c>
      <c r="BC26">
        <v>55.5</v>
      </c>
      <c r="BD26">
        <v>46.5</v>
      </c>
      <c r="BE26">
        <v>15</v>
      </c>
      <c r="BF26">
        <v>48.8</v>
      </c>
      <c r="BG26">
        <v>35.9</v>
      </c>
      <c r="BH26">
        <v>19.399999999999999</v>
      </c>
      <c r="BI26">
        <v>6.1</v>
      </c>
      <c r="BJ26">
        <v>33.799999999999997</v>
      </c>
      <c r="BK26">
        <v>17.8</v>
      </c>
      <c r="BL26">
        <v>27.3</v>
      </c>
      <c r="BM26">
        <v>21.9</v>
      </c>
      <c r="BN26">
        <v>25.8</v>
      </c>
      <c r="BO26">
        <v>19.2</v>
      </c>
      <c r="BP26">
        <v>54.7</v>
      </c>
      <c r="BQ26">
        <v>148.19999999999999</v>
      </c>
    </row>
    <row r="27" spans="1:69" x14ac:dyDescent="0.2">
      <c r="A27" t="s">
        <v>117</v>
      </c>
      <c r="B27" s="7">
        <v>17993.8</v>
      </c>
      <c r="C27" s="7">
        <v>1853.1</v>
      </c>
      <c r="D27" s="7">
        <v>4417.5</v>
      </c>
      <c r="E27" s="7">
        <v>3921</v>
      </c>
      <c r="F27" s="7">
        <v>7484.3</v>
      </c>
      <c r="G27">
        <v>225.7</v>
      </c>
      <c r="H27">
        <v>0</v>
      </c>
      <c r="I27">
        <v>92.2</v>
      </c>
      <c r="J27" s="7">
        <v>3032.6</v>
      </c>
      <c r="K27" s="7">
        <v>1188.2</v>
      </c>
      <c r="L27">
        <v>862</v>
      </c>
      <c r="M27">
        <v>730.8</v>
      </c>
      <c r="N27">
        <v>501.1</v>
      </c>
      <c r="O27">
        <v>576.20000000000005</v>
      </c>
      <c r="P27">
        <v>583.6</v>
      </c>
      <c r="Q27">
        <v>387.5</v>
      </c>
      <c r="R27" s="7">
        <v>2099.8000000000002</v>
      </c>
      <c r="S27">
        <v>390.8</v>
      </c>
      <c r="T27">
        <v>187.9</v>
      </c>
      <c r="U27">
        <v>181</v>
      </c>
      <c r="V27">
        <v>187.7</v>
      </c>
      <c r="W27">
        <v>206</v>
      </c>
      <c r="X27">
        <v>279.3</v>
      </c>
      <c r="Y27">
        <v>193.2</v>
      </c>
      <c r="Z27">
        <v>397.6</v>
      </c>
      <c r="AA27">
        <v>79.5</v>
      </c>
      <c r="AB27">
        <v>212</v>
      </c>
      <c r="AC27">
        <v>87.2</v>
      </c>
      <c r="AD27">
        <v>213.1</v>
      </c>
      <c r="AE27">
        <v>179.2</v>
      </c>
      <c r="AF27">
        <v>211.2</v>
      </c>
      <c r="AG27">
        <v>101.7</v>
      </c>
      <c r="AH27">
        <v>108.1</v>
      </c>
      <c r="AI27">
        <v>121.9</v>
      </c>
      <c r="AJ27">
        <v>186.6</v>
      </c>
      <c r="AK27">
        <v>128.5</v>
      </c>
      <c r="AL27">
        <v>145.4</v>
      </c>
      <c r="AM27">
        <v>130.69999999999999</v>
      </c>
      <c r="AN27">
        <v>115.2</v>
      </c>
      <c r="AO27">
        <v>164.9</v>
      </c>
      <c r="AP27">
        <v>76.5</v>
      </c>
      <c r="AQ27">
        <v>90.6</v>
      </c>
      <c r="AR27">
        <v>117.3</v>
      </c>
      <c r="AS27">
        <v>158.1</v>
      </c>
      <c r="AT27">
        <v>71.7</v>
      </c>
      <c r="AU27">
        <v>63.7</v>
      </c>
      <c r="AV27">
        <v>70.900000000000006</v>
      </c>
      <c r="AW27">
        <v>58</v>
      </c>
      <c r="AX27">
        <v>154.5</v>
      </c>
      <c r="AY27">
        <v>57.9</v>
      </c>
      <c r="AZ27">
        <v>76.900000000000006</v>
      </c>
      <c r="BA27">
        <v>70.5</v>
      </c>
      <c r="BB27">
        <v>41.6</v>
      </c>
      <c r="BC27">
        <v>66.599999999999994</v>
      </c>
      <c r="BD27">
        <v>44.8</v>
      </c>
      <c r="BE27">
        <v>22.1</v>
      </c>
      <c r="BF27">
        <v>50</v>
      </c>
      <c r="BG27">
        <v>48.4</v>
      </c>
      <c r="BH27">
        <v>29.3</v>
      </c>
      <c r="BI27">
        <v>12.8</v>
      </c>
      <c r="BJ27">
        <v>37</v>
      </c>
      <c r="BK27">
        <v>46.3</v>
      </c>
      <c r="BL27">
        <v>41.3</v>
      </c>
      <c r="BM27">
        <v>21.3</v>
      </c>
      <c r="BN27">
        <v>22.6</v>
      </c>
      <c r="BO27">
        <v>23.2</v>
      </c>
      <c r="BP27">
        <v>67.3</v>
      </c>
      <c r="BQ27">
        <v>204.1</v>
      </c>
    </row>
    <row r="28" spans="1:69" x14ac:dyDescent="0.2">
      <c r="A28" t="s">
        <v>118</v>
      </c>
      <c r="B28" s="7">
        <v>18020.400000000001</v>
      </c>
      <c r="C28" s="7">
        <v>1872</v>
      </c>
      <c r="D28" s="7">
        <v>4720.6000000000004</v>
      </c>
      <c r="E28" s="7">
        <v>3838.4</v>
      </c>
      <c r="F28" s="7">
        <v>7344.5</v>
      </c>
      <c r="G28">
        <v>244.4</v>
      </c>
      <c r="I28">
        <v>0.5</v>
      </c>
      <c r="J28" s="7">
        <v>3361.5</v>
      </c>
      <c r="K28" s="7">
        <v>1338.9</v>
      </c>
      <c r="L28" s="7">
        <v>1046.4000000000001</v>
      </c>
      <c r="M28">
        <v>630</v>
      </c>
      <c r="N28">
        <v>490.3</v>
      </c>
      <c r="O28">
        <v>598.4</v>
      </c>
      <c r="P28">
        <v>566.9</v>
      </c>
      <c r="Q28">
        <v>383.2</v>
      </c>
      <c r="R28" s="7">
        <v>1772</v>
      </c>
      <c r="S28">
        <v>418.3</v>
      </c>
      <c r="T28">
        <v>201</v>
      </c>
      <c r="U28">
        <v>195</v>
      </c>
      <c r="V28">
        <v>193.5</v>
      </c>
      <c r="W28">
        <v>216.2</v>
      </c>
      <c r="X28">
        <v>314.2</v>
      </c>
      <c r="Y28">
        <v>193.1</v>
      </c>
      <c r="Z28">
        <v>309.3</v>
      </c>
      <c r="AA28">
        <v>86.5</v>
      </c>
      <c r="AB28">
        <v>230.1</v>
      </c>
      <c r="AC28">
        <v>96.2</v>
      </c>
      <c r="AD28">
        <v>185.5</v>
      </c>
      <c r="AE28">
        <v>185.2</v>
      </c>
      <c r="AF28">
        <v>295.10000000000002</v>
      </c>
      <c r="AG28">
        <v>108.6</v>
      </c>
      <c r="AH28">
        <v>125.9</v>
      </c>
      <c r="AI28">
        <v>85.9</v>
      </c>
      <c r="AJ28">
        <v>196.6</v>
      </c>
      <c r="AK28">
        <v>115.4</v>
      </c>
      <c r="AL28">
        <v>137</v>
      </c>
      <c r="AM28">
        <v>93.1</v>
      </c>
      <c r="AN28">
        <v>102.8</v>
      </c>
      <c r="AO28">
        <v>172.3</v>
      </c>
      <c r="AP28">
        <v>77.900000000000006</v>
      </c>
      <c r="AQ28">
        <v>90.7</v>
      </c>
      <c r="AR28">
        <v>108.8</v>
      </c>
      <c r="AS28">
        <v>131.69999999999999</v>
      </c>
      <c r="AT28">
        <v>69.900000000000006</v>
      </c>
      <c r="AU28">
        <v>77.599999999999994</v>
      </c>
      <c r="AV28">
        <v>85.7</v>
      </c>
      <c r="AW28">
        <v>52.4</v>
      </c>
      <c r="AX28">
        <v>151.9</v>
      </c>
      <c r="AY28">
        <v>65.2</v>
      </c>
      <c r="AZ28">
        <v>68</v>
      </c>
      <c r="BA28">
        <v>55.5</v>
      </c>
      <c r="BB28">
        <v>53.3</v>
      </c>
      <c r="BC28">
        <v>59.7</v>
      </c>
      <c r="BD28">
        <v>58.9</v>
      </c>
      <c r="BE28">
        <v>20.100000000000001</v>
      </c>
      <c r="BF28">
        <v>48.2</v>
      </c>
      <c r="BG28">
        <v>49.7</v>
      </c>
      <c r="BH28">
        <v>35.1</v>
      </c>
      <c r="BI28">
        <v>21.3</v>
      </c>
      <c r="BJ28">
        <v>43.7</v>
      </c>
      <c r="BK28">
        <v>49.9</v>
      </c>
      <c r="BL28">
        <v>26.9</v>
      </c>
      <c r="BM28">
        <v>23.6</v>
      </c>
      <c r="BN28">
        <v>12.8</v>
      </c>
      <c r="BO28">
        <v>24.7</v>
      </c>
      <c r="BP28">
        <v>59.7</v>
      </c>
      <c r="BQ28">
        <v>166</v>
      </c>
    </row>
    <row r="29" spans="1:69" x14ac:dyDescent="0.2">
      <c r="A29" t="s">
        <v>119</v>
      </c>
      <c r="B29" s="7">
        <v>16656.900000000001</v>
      </c>
      <c r="C29" s="7">
        <v>1641.1</v>
      </c>
      <c r="D29" s="7">
        <v>4495.2</v>
      </c>
      <c r="E29" s="7">
        <v>3467.4</v>
      </c>
      <c r="F29" s="7">
        <v>6807.8</v>
      </c>
      <c r="G29">
        <v>245.1</v>
      </c>
      <c r="I29">
        <v>0.3</v>
      </c>
      <c r="J29" s="7">
        <v>3404.2</v>
      </c>
      <c r="K29" s="7">
        <v>1344</v>
      </c>
      <c r="L29">
        <v>888.8</v>
      </c>
      <c r="M29">
        <v>541.5</v>
      </c>
      <c r="N29">
        <v>485.2</v>
      </c>
      <c r="O29">
        <v>564.4</v>
      </c>
      <c r="P29">
        <v>537.1</v>
      </c>
      <c r="Q29">
        <v>353.7</v>
      </c>
      <c r="R29" s="7">
        <v>1683.5</v>
      </c>
      <c r="S29">
        <v>348.8</v>
      </c>
      <c r="T29">
        <v>205.6</v>
      </c>
      <c r="U29">
        <v>173.4</v>
      </c>
      <c r="V29">
        <v>180.5</v>
      </c>
      <c r="W29">
        <v>209.6</v>
      </c>
      <c r="X29">
        <v>300.10000000000002</v>
      </c>
      <c r="Y29">
        <v>186.2</v>
      </c>
      <c r="Z29">
        <v>174</v>
      </c>
      <c r="AA29">
        <v>82.3</v>
      </c>
      <c r="AB29">
        <v>188.8</v>
      </c>
      <c r="AC29">
        <v>105</v>
      </c>
      <c r="AD29">
        <v>177.2</v>
      </c>
      <c r="AE29">
        <v>167</v>
      </c>
      <c r="AF29">
        <v>190.5</v>
      </c>
      <c r="AG29">
        <v>102.6</v>
      </c>
      <c r="AH29">
        <v>135.30000000000001</v>
      </c>
      <c r="AI29">
        <v>82.2</v>
      </c>
      <c r="AJ29">
        <v>152.6</v>
      </c>
      <c r="AK29">
        <v>105.9</v>
      </c>
      <c r="AL29">
        <v>123.6</v>
      </c>
      <c r="AM29">
        <v>103.5</v>
      </c>
      <c r="AN29">
        <v>104.9</v>
      </c>
      <c r="AO29">
        <v>139.69999999999999</v>
      </c>
      <c r="AP29">
        <v>77.3</v>
      </c>
      <c r="AQ29">
        <v>81.400000000000006</v>
      </c>
      <c r="AR29">
        <v>101.4</v>
      </c>
      <c r="AS29">
        <v>116.2</v>
      </c>
      <c r="AT29">
        <v>71</v>
      </c>
      <c r="AU29">
        <v>72.099999999999994</v>
      </c>
      <c r="AV29">
        <v>71.2</v>
      </c>
      <c r="AW29">
        <v>58.6</v>
      </c>
      <c r="AX29">
        <v>127.6</v>
      </c>
      <c r="AY29">
        <v>60.3</v>
      </c>
      <c r="AZ29">
        <v>68.400000000000006</v>
      </c>
      <c r="BA29">
        <v>64.3</v>
      </c>
      <c r="BB29">
        <v>46.4</v>
      </c>
      <c r="BC29">
        <v>57.9</v>
      </c>
      <c r="BD29">
        <v>45.4</v>
      </c>
      <c r="BE29">
        <v>19.600000000000001</v>
      </c>
      <c r="BF29">
        <v>36.9</v>
      </c>
      <c r="BG29">
        <v>38.299999999999997</v>
      </c>
      <c r="BH29">
        <v>31.3</v>
      </c>
      <c r="BI29">
        <v>19.3</v>
      </c>
      <c r="BJ29">
        <v>41.1</v>
      </c>
      <c r="BK29">
        <v>57.2</v>
      </c>
      <c r="BL29">
        <v>22.8</v>
      </c>
      <c r="BM29">
        <v>29.5</v>
      </c>
      <c r="BN29">
        <v>15.6</v>
      </c>
      <c r="BO29">
        <v>24.6</v>
      </c>
      <c r="BP29">
        <v>44.6</v>
      </c>
      <c r="BQ29">
        <v>116.8</v>
      </c>
    </row>
    <row r="30" spans="1:69" x14ac:dyDescent="0.2">
      <c r="A30" t="s">
        <v>120</v>
      </c>
      <c r="B30" s="7">
        <v>16402</v>
      </c>
      <c r="C30" s="7">
        <v>1477</v>
      </c>
      <c r="D30" s="7">
        <v>4704.6000000000004</v>
      </c>
      <c r="E30" s="7">
        <v>3603.9</v>
      </c>
      <c r="F30" s="7">
        <v>6358.8</v>
      </c>
      <c r="G30">
        <v>256.8</v>
      </c>
      <c r="I30">
        <v>0.9</v>
      </c>
      <c r="J30" s="7">
        <v>3471.4</v>
      </c>
      <c r="K30" s="7">
        <v>1373.8</v>
      </c>
      <c r="L30">
        <v>683.7</v>
      </c>
      <c r="M30">
        <v>540.79999999999995</v>
      </c>
      <c r="N30">
        <v>495.4</v>
      </c>
      <c r="O30">
        <v>523.9</v>
      </c>
      <c r="P30">
        <v>566.29999999999995</v>
      </c>
      <c r="Q30">
        <v>373.6</v>
      </c>
      <c r="R30" s="7">
        <v>1303.0999999999999</v>
      </c>
      <c r="S30">
        <v>290.5</v>
      </c>
      <c r="T30">
        <v>213.9</v>
      </c>
      <c r="U30">
        <v>221.5</v>
      </c>
      <c r="V30">
        <v>188</v>
      </c>
      <c r="W30">
        <v>215.7</v>
      </c>
      <c r="X30">
        <v>317.8</v>
      </c>
      <c r="Y30">
        <v>202.7</v>
      </c>
      <c r="Z30">
        <v>313.7</v>
      </c>
      <c r="AA30">
        <v>104.7</v>
      </c>
      <c r="AB30">
        <v>186.4</v>
      </c>
      <c r="AC30">
        <v>110.9</v>
      </c>
      <c r="AD30">
        <v>194</v>
      </c>
      <c r="AE30">
        <v>165.8</v>
      </c>
      <c r="AF30">
        <v>198.9</v>
      </c>
      <c r="AG30">
        <v>74</v>
      </c>
      <c r="AH30">
        <v>128.4</v>
      </c>
      <c r="AI30">
        <v>85.8</v>
      </c>
      <c r="AJ30">
        <v>160.9</v>
      </c>
      <c r="AK30">
        <v>109.8</v>
      </c>
      <c r="AL30">
        <v>128.30000000000001</v>
      </c>
      <c r="AM30">
        <v>119.9</v>
      </c>
      <c r="AN30">
        <v>97.6</v>
      </c>
      <c r="AO30">
        <v>146.4</v>
      </c>
      <c r="AP30">
        <v>88.1</v>
      </c>
      <c r="AQ30">
        <v>79.7</v>
      </c>
      <c r="AR30">
        <v>115.7</v>
      </c>
      <c r="AS30">
        <v>105.6</v>
      </c>
      <c r="AT30">
        <v>70.7</v>
      </c>
      <c r="AU30">
        <v>84.8</v>
      </c>
      <c r="AV30">
        <v>76.7</v>
      </c>
      <c r="AW30">
        <v>54</v>
      </c>
      <c r="AX30">
        <v>91.2</v>
      </c>
      <c r="AY30">
        <v>59.2</v>
      </c>
      <c r="AZ30">
        <v>51</v>
      </c>
      <c r="BA30">
        <v>51.1</v>
      </c>
      <c r="BB30">
        <v>44.2</v>
      </c>
      <c r="BC30">
        <v>58</v>
      </c>
      <c r="BD30">
        <v>45.4</v>
      </c>
      <c r="BE30">
        <v>22.7</v>
      </c>
      <c r="BF30">
        <v>43.9</v>
      </c>
      <c r="BG30">
        <v>39.700000000000003</v>
      </c>
      <c r="BH30">
        <v>33.200000000000003</v>
      </c>
      <c r="BI30">
        <v>14.9</v>
      </c>
      <c r="BJ30">
        <v>38.700000000000003</v>
      </c>
      <c r="BK30">
        <v>51.4</v>
      </c>
      <c r="BL30">
        <v>19.8</v>
      </c>
      <c r="BM30">
        <v>20.9</v>
      </c>
      <c r="BN30">
        <v>15.4</v>
      </c>
      <c r="BO30">
        <v>26.6</v>
      </c>
      <c r="BP30">
        <v>56.6</v>
      </c>
      <c r="BQ30">
        <v>89.7</v>
      </c>
    </row>
    <row r="31" spans="1:69" x14ac:dyDescent="0.2">
      <c r="A31" t="s">
        <v>121</v>
      </c>
      <c r="B31" s="7">
        <v>17078.400000000001</v>
      </c>
      <c r="C31" s="7">
        <v>1653.8</v>
      </c>
      <c r="D31" s="7">
        <v>4971.8</v>
      </c>
      <c r="E31" s="7">
        <v>3918.4</v>
      </c>
      <c r="F31" s="7">
        <v>6252.8</v>
      </c>
      <c r="G31">
        <v>281.3</v>
      </c>
      <c r="H31">
        <v>0.1</v>
      </c>
      <c r="I31">
        <v>0</v>
      </c>
      <c r="J31" s="7">
        <v>3563.4</v>
      </c>
      <c r="K31" s="7">
        <v>1519.4</v>
      </c>
      <c r="L31">
        <v>498.7</v>
      </c>
      <c r="M31">
        <v>708.2</v>
      </c>
      <c r="N31">
        <v>496.6</v>
      </c>
      <c r="O31">
        <v>523.29999999999995</v>
      </c>
      <c r="P31">
        <v>578.1</v>
      </c>
      <c r="Q31">
        <v>409.2</v>
      </c>
      <c r="R31" s="7">
        <v>1144.7</v>
      </c>
      <c r="S31">
        <v>352.4</v>
      </c>
      <c r="T31">
        <v>227.1</v>
      </c>
      <c r="U31">
        <v>198.5</v>
      </c>
      <c r="V31">
        <v>206.3</v>
      </c>
      <c r="W31">
        <v>236.1</v>
      </c>
      <c r="X31">
        <v>329</v>
      </c>
      <c r="Y31">
        <v>204</v>
      </c>
      <c r="Z31">
        <v>403.7</v>
      </c>
      <c r="AA31">
        <v>123.1</v>
      </c>
      <c r="AB31">
        <v>195.2</v>
      </c>
      <c r="AC31">
        <v>134.19999999999999</v>
      </c>
      <c r="AD31">
        <v>222.3</v>
      </c>
      <c r="AE31">
        <v>171</v>
      </c>
      <c r="AF31">
        <v>212.8</v>
      </c>
      <c r="AG31">
        <v>88.9</v>
      </c>
      <c r="AH31">
        <v>131.4</v>
      </c>
      <c r="AI31">
        <v>98.7</v>
      </c>
      <c r="AJ31">
        <v>198.7</v>
      </c>
      <c r="AK31">
        <v>136.19999999999999</v>
      </c>
      <c r="AL31">
        <v>130.6</v>
      </c>
      <c r="AM31">
        <v>130.5</v>
      </c>
      <c r="AN31">
        <v>99.7</v>
      </c>
      <c r="AO31">
        <v>134.80000000000001</v>
      </c>
      <c r="AP31">
        <v>85.1</v>
      </c>
      <c r="AQ31">
        <v>77.900000000000006</v>
      </c>
      <c r="AR31">
        <v>117.5</v>
      </c>
      <c r="AS31">
        <v>92.4</v>
      </c>
      <c r="AT31">
        <v>88.2</v>
      </c>
      <c r="AU31">
        <v>89</v>
      </c>
      <c r="AV31">
        <v>88.3</v>
      </c>
      <c r="AW31">
        <v>54.4</v>
      </c>
      <c r="AX31">
        <v>78.099999999999994</v>
      </c>
      <c r="AY31">
        <v>70.400000000000006</v>
      </c>
      <c r="AZ31">
        <v>35.5</v>
      </c>
      <c r="BA31">
        <v>64.2</v>
      </c>
      <c r="BB31">
        <v>54</v>
      </c>
      <c r="BC31">
        <v>69.7</v>
      </c>
      <c r="BD31">
        <v>51.7</v>
      </c>
      <c r="BE31">
        <v>34.9</v>
      </c>
      <c r="BF31">
        <v>45.5</v>
      </c>
      <c r="BG31">
        <v>47.6</v>
      </c>
      <c r="BH31">
        <v>45.5</v>
      </c>
      <c r="BI31">
        <v>18.2</v>
      </c>
      <c r="BJ31">
        <v>40.4</v>
      </c>
      <c r="BK31">
        <v>62.7</v>
      </c>
      <c r="BL31">
        <v>21.5</v>
      </c>
      <c r="BM31">
        <v>32.1</v>
      </c>
      <c r="BN31">
        <v>14.1</v>
      </c>
      <c r="BO31">
        <v>28.1</v>
      </c>
      <c r="BP31">
        <v>57.6</v>
      </c>
      <c r="BQ31">
        <v>101</v>
      </c>
    </row>
    <row r="32" spans="1:69" x14ac:dyDescent="0.2">
      <c r="A32" t="s">
        <v>122</v>
      </c>
      <c r="B32" s="7">
        <v>18286.7</v>
      </c>
      <c r="C32" s="7">
        <v>1814.5</v>
      </c>
      <c r="D32" s="7">
        <v>5405.5</v>
      </c>
      <c r="E32" s="7">
        <v>3794</v>
      </c>
      <c r="F32" s="7">
        <v>6968.6</v>
      </c>
      <c r="G32">
        <v>302.10000000000002</v>
      </c>
      <c r="I32">
        <v>2</v>
      </c>
      <c r="J32" s="7">
        <v>3923.7</v>
      </c>
      <c r="K32" s="7">
        <v>1630.9</v>
      </c>
      <c r="L32">
        <v>446.5</v>
      </c>
      <c r="M32">
        <v>568.29999999999995</v>
      </c>
      <c r="N32">
        <v>545.4</v>
      </c>
      <c r="O32">
        <v>570</v>
      </c>
      <c r="P32">
        <v>526.6</v>
      </c>
      <c r="Q32">
        <v>401</v>
      </c>
      <c r="R32" s="7">
        <v>1565.6</v>
      </c>
      <c r="S32">
        <v>400.4</v>
      </c>
      <c r="T32">
        <v>234.4</v>
      </c>
      <c r="U32">
        <v>219</v>
      </c>
      <c r="V32">
        <v>210.5</v>
      </c>
      <c r="W32">
        <v>250.5</v>
      </c>
      <c r="X32">
        <v>388.4</v>
      </c>
      <c r="Y32">
        <v>209.5</v>
      </c>
      <c r="Z32">
        <v>368.2</v>
      </c>
      <c r="AA32">
        <v>126.7</v>
      </c>
      <c r="AB32">
        <v>192.3</v>
      </c>
      <c r="AC32">
        <v>189.7</v>
      </c>
      <c r="AD32">
        <v>209.5</v>
      </c>
      <c r="AE32">
        <v>190.5</v>
      </c>
      <c r="AF32">
        <v>273.7</v>
      </c>
      <c r="AG32">
        <v>80.7</v>
      </c>
      <c r="AH32">
        <v>160.30000000000001</v>
      </c>
      <c r="AI32">
        <v>106.6</v>
      </c>
      <c r="AJ32">
        <v>206.8</v>
      </c>
      <c r="AK32">
        <v>116</v>
      </c>
      <c r="AL32">
        <v>166.8</v>
      </c>
      <c r="AM32">
        <v>193.9</v>
      </c>
      <c r="AN32">
        <v>108.3</v>
      </c>
      <c r="AO32">
        <v>171.1</v>
      </c>
      <c r="AP32">
        <v>94.8</v>
      </c>
      <c r="AQ32">
        <v>79.7</v>
      </c>
      <c r="AR32">
        <v>114.8</v>
      </c>
      <c r="AS32">
        <v>109.7</v>
      </c>
      <c r="AT32">
        <v>109.7</v>
      </c>
      <c r="AU32">
        <v>68.5</v>
      </c>
      <c r="AV32">
        <v>81.099999999999994</v>
      </c>
      <c r="AW32">
        <v>59.8</v>
      </c>
      <c r="AX32">
        <v>93.9</v>
      </c>
      <c r="AY32">
        <v>79.2</v>
      </c>
      <c r="AZ32">
        <v>37.4</v>
      </c>
      <c r="BA32">
        <v>45.6</v>
      </c>
      <c r="BB32">
        <v>66.2</v>
      </c>
      <c r="BC32">
        <v>65.099999999999994</v>
      </c>
      <c r="BD32">
        <v>58.6</v>
      </c>
      <c r="BE32">
        <v>52.5</v>
      </c>
      <c r="BF32">
        <v>59.2</v>
      </c>
      <c r="BG32">
        <v>52.8</v>
      </c>
      <c r="BH32">
        <v>57.4</v>
      </c>
      <c r="BI32">
        <v>22.8</v>
      </c>
      <c r="BJ32">
        <v>42.9</v>
      </c>
      <c r="BK32">
        <v>62.7</v>
      </c>
      <c r="BL32">
        <v>25.3</v>
      </c>
      <c r="BM32">
        <v>28.6</v>
      </c>
      <c r="BN32">
        <v>14.1</v>
      </c>
      <c r="BO32">
        <v>25.8</v>
      </c>
      <c r="BP32">
        <v>57.2</v>
      </c>
      <c r="BQ32">
        <v>93.1</v>
      </c>
    </row>
    <row r="33" spans="1:69" x14ac:dyDescent="0.2">
      <c r="A33" t="s">
        <v>123</v>
      </c>
      <c r="B33" s="7">
        <v>16836.5</v>
      </c>
      <c r="C33" s="7">
        <v>1873.6</v>
      </c>
      <c r="D33" s="7">
        <v>5135.3</v>
      </c>
      <c r="E33" s="7">
        <v>3493.1</v>
      </c>
      <c r="F33" s="7">
        <v>6049.6</v>
      </c>
      <c r="G33">
        <v>284.7</v>
      </c>
      <c r="I33">
        <v>0.2</v>
      </c>
      <c r="J33" s="7">
        <v>3820.7</v>
      </c>
      <c r="K33" s="7">
        <v>1492.1</v>
      </c>
      <c r="L33">
        <v>480</v>
      </c>
      <c r="M33">
        <v>571.79999999999995</v>
      </c>
      <c r="N33">
        <v>569.1</v>
      </c>
      <c r="O33">
        <v>527.9</v>
      </c>
      <c r="P33">
        <v>481.9</v>
      </c>
      <c r="Q33">
        <v>321.60000000000002</v>
      </c>
      <c r="R33">
        <v>822.9</v>
      </c>
      <c r="S33">
        <v>378.8</v>
      </c>
      <c r="T33">
        <v>220.6</v>
      </c>
      <c r="U33">
        <v>220.3</v>
      </c>
      <c r="V33">
        <v>215.5</v>
      </c>
      <c r="W33">
        <v>202.6</v>
      </c>
      <c r="X33">
        <v>321.39999999999998</v>
      </c>
      <c r="Y33">
        <v>210.6</v>
      </c>
      <c r="Z33">
        <v>293.60000000000002</v>
      </c>
      <c r="AA33">
        <v>135.6</v>
      </c>
      <c r="AB33">
        <v>168.1</v>
      </c>
      <c r="AC33">
        <v>175.8</v>
      </c>
      <c r="AD33">
        <v>207.5</v>
      </c>
      <c r="AE33">
        <v>173.4</v>
      </c>
      <c r="AF33">
        <v>233.8</v>
      </c>
      <c r="AG33">
        <v>121.1</v>
      </c>
      <c r="AH33">
        <v>135.9</v>
      </c>
      <c r="AI33">
        <v>101.9</v>
      </c>
      <c r="AJ33">
        <v>195.8</v>
      </c>
      <c r="AK33">
        <v>151.1</v>
      </c>
      <c r="AL33">
        <v>155.4</v>
      </c>
      <c r="AM33">
        <v>178.3</v>
      </c>
      <c r="AN33">
        <v>105.6</v>
      </c>
      <c r="AO33">
        <v>156.5</v>
      </c>
      <c r="AP33">
        <v>97</v>
      </c>
      <c r="AQ33">
        <v>84</v>
      </c>
      <c r="AR33">
        <v>96.4</v>
      </c>
      <c r="AS33">
        <v>108.6</v>
      </c>
      <c r="AT33">
        <v>101.5</v>
      </c>
      <c r="AU33">
        <v>111.7</v>
      </c>
      <c r="AV33">
        <v>77.7</v>
      </c>
      <c r="AW33">
        <v>60.7</v>
      </c>
      <c r="AX33">
        <v>92.2</v>
      </c>
      <c r="AY33">
        <v>76.3</v>
      </c>
      <c r="AZ33">
        <v>32.1</v>
      </c>
      <c r="BA33">
        <v>60.8</v>
      </c>
      <c r="BB33">
        <v>47.9</v>
      </c>
      <c r="BC33">
        <v>57.3</v>
      </c>
      <c r="BD33">
        <v>42.9</v>
      </c>
      <c r="BE33">
        <v>59.9</v>
      </c>
      <c r="BF33">
        <v>44.4</v>
      </c>
      <c r="BG33">
        <v>47.4</v>
      </c>
      <c r="BH33">
        <v>54.7</v>
      </c>
      <c r="BI33">
        <v>16.3</v>
      </c>
      <c r="BJ33">
        <v>40.200000000000003</v>
      </c>
      <c r="BK33">
        <v>62.9</v>
      </c>
      <c r="BL33">
        <v>30.6</v>
      </c>
      <c r="BM33">
        <v>33.6</v>
      </c>
      <c r="BN33">
        <v>16</v>
      </c>
      <c r="BO33">
        <v>25.7</v>
      </c>
      <c r="BP33">
        <v>51.6</v>
      </c>
      <c r="BQ33">
        <v>314.89999999999998</v>
      </c>
    </row>
    <row r="34" spans="1:69" x14ac:dyDescent="0.2">
      <c r="A34" t="s">
        <v>8</v>
      </c>
      <c r="B34" s="7">
        <v>15872.5</v>
      </c>
      <c r="C34" s="7">
        <v>1622.7</v>
      </c>
      <c r="D34" s="7">
        <v>5635.4</v>
      </c>
      <c r="E34" s="7">
        <v>3227.2</v>
      </c>
      <c r="F34" s="7">
        <v>5044.8</v>
      </c>
      <c r="G34">
        <v>342.3</v>
      </c>
      <c r="I34">
        <v>0</v>
      </c>
      <c r="J34" s="7">
        <v>4423.8</v>
      </c>
      <c r="K34" s="7">
        <v>1301</v>
      </c>
      <c r="L34">
        <v>452.5</v>
      </c>
      <c r="M34">
        <v>417</v>
      </c>
      <c r="N34">
        <v>502.8</v>
      </c>
      <c r="O34">
        <v>477.1</v>
      </c>
      <c r="P34">
        <v>460.9</v>
      </c>
      <c r="Q34">
        <v>271.39999999999998</v>
      </c>
      <c r="R34">
        <v>897.6</v>
      </c>
      <c r="S34">
        <v>276.8</v>
      </c>
      <c r="T34">
        <v>279.10000000000002</v>
      </c>
      <c r="U34">
        <v>247.3</v>
      </c>
      <c r="V34">
        <v>239.2</v>
      </c>
      <c r="W34">
        <v>181.1</v>
      </c>
      <c r="X34">
        <v>310.2</v>
      </c>
      <c r="Y34">
        <v>227.2</v>
      </c>
      <c r="Z34">
        <v>234.9</v>
      </c>
      <c r="AA34">
        <v>111.9</v>
      </c>
      <c r="AB34">
        <v>156.69999999999999</v>
      </c>
      <c r="AC34">
        <v>185.5</v>
      </c>
      <c r="AD34">
        <v>174</v>
      </c>
      <c r="AE34">
        <v>133.80000000000001</v>
      </c>
      <c r="AF34">
        <v>238.7</v>
      </c>
      <c r="AG34">
        <v>141.4</v>
      </c>
      <c r="AH34">
        <v>93.9</v>
      </c>
      <c r="AI34">
        <v>79.599999999999994</v>
      </c>
      <c r="AJ34">
        <v>201.5</v>
      </c>
      <c r="AK34">
        <v>91.8</v>
      </c>
      <c r="AL34">
        <v>79.5</v>
      </c>
      <c r="AM34">
        <v>109</v>
      </c>
      <c r="AN34">
        <v>88.5</v>
      </c>
      <c r="AO34">
        <v>135.80000000000001</v>
      </c>
      <c r="AP34">
        <v>107</v>
      </c>
      <c r="AQ34">
        <v>64.599999999999994</v>
      </c>
      <c r="AR34">
        <v>102.6</v>
      </c>
      <c r="AS34">
        <v>81.900000000000006</v>
      </c>
      <c r="AT34">
        <v>92.2</v>
      </c>
      <c r="AU34">
        <v>95.3</v>
      </c>
      <c r="AV34">
        <v>90</v>
      </c>
      <c r="AW34">
        <v>81.400000000000006</v>
      </c>
      <c r="AX34">
        <v>81.599999999999994</v>
      </c>
      <c r="AY34">
        <v>84</v>
      </c>
      <c r="AZ34">
        <v>15</v>
      </c>
      <c r="BA34">
        <v>75.7</v>
      </c>
      <c r="BB34">
        <v>55.7</v>
      </c>
      <c r="BC34">
        <v>52.4</v>
      </c>
      <c r="BD34">
        <v>43.2</v>
      </c>
      <c r="BE34">
        <v>52.1</v>
      </c>
      <c r="BF34">
        <v>20.6</v>
      </c>
      <c r="BG34">
        <v>52.9</v>
      </c>
      <c r="BH34">
        <v>54.5</v>
      </c>
      <c r="BI34">
        <v>13.1</v>
      </c>
      <c r="BJ34">
        <v>29.5</v>
      </c>
      <c r="BK34">
        <v>45.9</v>
      </c>
      <c r="BL34">
        <v>22.6</v>
      </c>
      <c r="BM34">
        <v>38.799999999999997</v>
      </c>
      <c r="BN34">
        <v>17.399999999999999</v>
      </c>
      <c r="BO34">
        <v>24.9</v>
      </c>
      <c r="BP34">
        <v>56.9</v>
      </c>
      <c r="BQ34">
        <v>101.9</v>
      </c>
    </row>
    <row r="35" spans="1:69" x14ac:dyDescent="0.2">
      <c r="A35" t="s">
        <v>9</v>
      </c>
      <c r="B35" s="7">
        <v>23790.6</v>
      </c>
      <c r="C35" s="7">
        <v>2390.1999999999998</v>
      </c>
      <c r="D35" s="7">
        <v>7692.4</v>
      </c>
      <c r="E35" s="7">
        <v>4951.6000000000004</v>
      </c>
      <c r="F35" s="7">
        <v>8366</v>
      </c>
      <c r="G35">
        <v>390.4</v>
      </c>
      <c r="I35">
        <v>0</v>
      </c>
      <c r="J35" s="7">
        <v>5709.1</v>
      </c>
      <c r="K35" s="7">
        <v>3496.1</v>
      </c>
      <c r="L35">
        <v>619.5</v>
      </c>
      <c r="M35">
        <v>895.7</v>
      </c>
      <c r="N35">
        <v>780</v>
      </c>
      <c r="O35">
        <v>621.70000000000005</v>
      </c>
      <c r="P35">
        <v>567.29999999999995</v>
      </c>
      <c r="Q35">
        <v>440.8</v>
      </c>
      <c r="R35" s="7">
        <v>1086.0999999999999</v>
      </c>
      <c r="S35">
        <v>543.9</v>
      </c>
      <c r="T35">
        <v>312.89999999999998</v>
      </c>
      <c r="U35">
        <v>330.7</v>
      </c>
      <c r="V35">
        <v>332.9</v>
      </c>
      <c r="W35">
        <v>332.6</v>
      </c>
      <c r="X35">
        <v>414.1</v>
      </c>
      <c r="Y35">
        <v>301.8</v>
      </c>
      <c r="Z35">
        <v>336.7</v>
      </c>
      <c r="AA35">
        <v>185.9</v>
      </c>
      <c r="AB35">
        <v>253.8</v>
      </c>
      <c r="AC35">
        <v>260.2</v>
      </c>
      <c r="AD35">
        <v>353.7</v>
      </c>
      <c r="AE35">
        <v>183.9</v>
      </c>
      <c r="AF35">
        <v>288.60000000000002</v>
      </c>
      <c r="AG35">
        <v>198.2</v>
      </c>
      <c r="AH35">
        <v>181.4</v>
      </c>
      <c r="AI35">
        <v>173.3</v>
      </c>
      <c r="AJ35">
        <v>265.10000000000002</v>
      </c>
      <c r="AK35">
        <v>115.2</v>
      </c>
      <c r="AL35">
        <v>129.19999999999999</v>
      </c>
      <c r="AM35">
        <v>132.19999999999999</v>
      </c>
      <c r="AN35">
        <v>127.9</v>
      </c>
      <c r="AO35">
        <v>245.6</v>
      </c>
      <c r="AP35">
        <v>142.30000000000001</v>
      </c>
      <c r="AQ35">
        <v>138.80000000000001</v>
      </c>
      <c r="AR35">
        <v>145.5</v>
      </c>
      <c r="AS35">
        <v>111.4</v>
      </c>
      <c r="AT35">
        <v>133.4</v>
      </c>
      <c r="AU35">
        <v>84.9</v>
      </c>
      <c r="AV35">
        <v>126.7</v>
      </c>
      <c r="AW35">
        <v>87.2</v>
      </c>
      <c r="AX35">
        <v>99.3</v>
      </c>
      <c r="AY35">
        <v>105.5</v>
      </c>
      <c r="AZ35">
        <v>42.1</v>
      </c>
      <c r="BA35">
        <v>121.1</v>
      </c>
      <c r="BB35">
        <v>146.80000000000001</v>
      </c>
      <c r="BC35">
        <v>68.3</v>
      </c>
      <c r="BD35">
        <v>66.2</v>
      </c>
      <c r="BE35">
        <v>53.5</v>
      </c>
      <c r="BF35">
        <v>42.4</v>
      </c>
      <c r="BG35">
        <v>61.7</v>
      </c>
      <c r="BH35">
        <v>66.8</v>
      </c>
      <c r="BI35">
        <v>31.7</v>
      </c>
      <c r="BJ35">
        <v>43.3</v>
      </c>
      <c r="BK35">
        <v>55.9</v>
      </c>
      <c r="BL35">
        <v>48</v>
      </c>
      <c r="BM35">
        <v>39.9</v>
      </c>
      <c r="BN35">
        <v>43.4</v>
      </c>
      <c r="BO35">
        <v>37.799999999999997</v>
      </c>
      <c r="BP35">
        <v>77.5</v>
      </c>
      <c r="BQ35">
        <v>58.6</v>
      </c>
    </row>
    <row r="36" spans="1:69" x14ac:dyDescent="0.2">
      <c r="A36" t="s">
        <v>11</v>
      </c>
      <c r="B36" s="7">
        <v>18136.099999999999</v>
      </c>
      <c r="C36" s="7">
        <v>2152.6999999999998</v>
      </c>
      <c r="D36" s="7">
        <v>5825.7</v>
      </c>
      <c r="E36" s="7">
        <v>4061.6</v>
      </c>
      <c r="F36" s="7">
        <v>5709.9</v>
      </c>
      <c r="G36">
        <v>386.3</v>
      </c>
      <c r="I36">
        <v>0.1</v>
      </c>
      <c r="J36" s="7">
        <v>4487.8999999999996</v>
      </c>
      <c r="K36" s="7">
        <v>1944.3</v>
      </c>
      <c r="L36">
        <v>682.4</v>
      </c>
      <c r="M36">
        <v>676.5</v>
      </c>
      <c r="N36">
        <v>669.6</v>
      </c>
      <c r="O36">
        <v>534</v>
      </c>
      <c r="P36">
        <v>509.9</v>
      </c>
      <c r="Q36">
        <v>450.6</v>
      </c>
      <c r="R36">
        <v>405.5</v>
      </c>
      <c r="S36">
        <v>324.60000000000002</v>
      </c>
      <c r="T36">
        <v>316.10000000000002</v>
      </c>
      <c r="U36">
        <v>287.7</v>
      </c>
      <c r="V36">
        <v>286.39999999999998</v>
      </c>
      <c r="W36">
        <v>271.2</v>
      </c>
      <c r="X36">
        <v>257.8</v>
      </c>
      <c r="Y36">
        <v>253.4</v>
      </c>
      <c r="Z36">
        <v>215.3</v>
      </c>
      <c r="AA36">
        <v>212.6</v>
      </c>
      <c r="AB36">
        <v>202.9</v>
      </c>
      <c r="AC36">
        <v>200.3</v>
      </c>
      <c r="AD36">
        <v>189.7</v>
      </c>
      <c r="AE36">
        <v>182.2</v>
      </c>
      <c r="AF36">
        <v>180.7</v>
      </c>
      <c r="AG36">
        <v>174.2</v>
      </c>
      <c r="AH36">
        <v>161.6</v>
      </c>
      <c r="AI36">
        <v>161.1</v>
      </c>
      <c r="AJ36">
        <v>154.9</v>
      </c>
      <c r="AK36">
        <v>143.1</v>
      </c>
      <c r="AL36">
        <v>139.6</v>
      </c>
      <c r="AM36">
        <v>137.19999999999999</v>
      </c>
      <c r="AN36">
        <v>133.9</v>
      </c>
      <c r="AO36">
        <v>129.19999999999999</v>
      </c>
      <c r="AP36">
        <v>126.8</v>
      </c>
      <c r="AQ36">
        <v>125.5</v>
      </c>
      <c r="AR36">
        <v>113.7</v>
      </c>
      <c r="AS36">
        <v>111.9</v>
      </c>
      <c r="AT36">
        <v>98.9</v>
      </c>
      <c r="AU36">
        <v>98.8</v>
      </c>
      <c r="AV36">
        <v>94.2</v>
      </c>
      <c r="AW36">
        <v>84.5</v>
      </c>
      <c r="AX36">
        <v>79.3</v>
      </c>
      <c r="AY36">
        <v>79</v>
      </c>
      <c r="AZ36">
        <v>77.7</v>
      </c>
      <c r="BA36">
        <v>75.3</v>
      </c>
      <c r="BB36">
        <v>67.3</v>
      </c>
      <c r="BC36">
        <v>66.099999999999994</v>
      </c>
      <c r="BD36">
        <v>60.8</v>
      </c>
      <c r="BE36">
        <v>59.7</v>
      </c>
      <c r="BF36">
        <v>56.9</v>
      </c>
      <c r="BG36">
        <v>56.4</v>
      </c>
      <c r="BH36">
        <v>56</v>
      </c>
      <c r="BI36">
        <v>54.8</v>
      </c>
      <c r="BJ36">
        <v>53.3</v>
      </c>
      <c r="BK36">
        <v>46.7</v>
      </c>
      <c r="BL36">
        <v>46.6</v>
      </c>
      <c r="BM36">
        <v>45</v>
      </c>
      <c r="BN36">
        <v>43.6</v>
      </c>
      <c r="BO36">
        <v>42.1</v>
      </c>
      <c r="BP36">
        <v>42</v>
      </c>
      <c r="BQ36">
        <v>38.9</v>
      </c>
    </row>
    <row r="40" spans="1:69" x14ac:dyDescent="0.2">
      <c r="A40" t="s">
        <v>46</v>
      </c>
      <c r="B40" t="s">
        <v>1293</v>
      </c>
      <c r="C40" t="s">
        <v>1296</v>
      </c>
      <c r="D40" t="s">
        <v>1297</v>
      </c>
      <c r="E40" t="s">
        <v>1298</v>
      </c>
      <c r="F40" t="s">
        <v>1299</v>
      </c>
      <c r="G40" t="s">
        <v>1300</v>
      </c>
    </row>
    <row r="41" spans="1:69" x14ac:dyDescent="0.2">
      <c r="A41" t="s">
        <v>8</v>
      </c>
      <c r="B41" s="7">
        <v>15872.5</v>
      </c>
      <c r="C41" s="7">
        <v>1622.7</v>
      </c>
      <c r="D41" s="7">
        <v>5635.4</v>
      </c>
      <c r="E41" s="7">
        <v>3227.2</v>
      </c>
      <c r="F41" s="7">
        <v>5044.8</v>
      </c>
      <c r="G41">
        <v>342.3</v>
      </c>
    </row>
    <row r="42" spans="1:69" x14ac:dyDescent="0.2">
      <c r="A42" t="s">
        <v>9</v>
      </c>
      <c r="B42" s="7">
        <v>23790.6</v>
      </c>
      <c r="C42" s="7">
        <v>2390.1999999999998</v>
      </c>
      <c r="D42" s="7">
        <v>7692.4</v>
      </c>
      <c r="E42" s="7">
        <v>4951.6000000000004</v>
      </c>
      <c r="F42" s="7">
        <v>8366</v>
      </c>
      <c r="G42">
        <v>390.4</v>
      </c>
    </row>
    <row r="43" spans="1:69" x14ac:dyDescent="0.2">
      <c r="A43" t="s">
        <v>11</v>
      </c>
      <c r="B43" s="7">
        <v>18136.099999999999</v>
      </c>
      <c r="C43" s="7">
        <v>2152.6999999999998</v>
      </c>
      <c r="D43" s="7">
        <v>5825.7</v>
      </c>
      <c r="E43" s="7">
        <v>4061.6</v>
      </c>
      <c r="F43" s="7">
        <v>5709.9</v>
      </c>
      <c r="G43">
        <v>386.3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D325-37E8-3A41-AFD7-7779C5152399}">
  <dimension ref="A1:K61"/>
  <sheetViews>
    <sheetView workbookViewId="0">
      <selection activeCell="H17" sqref="H17"/>
    </sheetView>
  </sheetViews>
  <sheetFormatPr baseColWidth="10" defaultRowHeight="16" x14ac:dyDescent="0.2"/>
  <cols>
    <col min="8" max="8" width="54.83203125" bestFit="1" customWidth="1"/>
  </cols>
  <sheetData>
    <row r="1" spans="1:11" x14ac:dyDescent="0.2">
      <c r="A1" t="s">
        <v>289</v>
      </c>
      <c r="B1" t="s">
        <v>1282</v>
      </c>
      <c r="C1" t="s">
        <v>1283</v>
      </c>
      <c r="D1" t="s">
        <v>1284</v>
      </c>
    </row>
    <row r="2" spans="1:11" x14ac:dyDescent="0.2">
      <c r="A2" s="11">
        <v>39965</v>
      </c>
      <c r="B2" s="7">
        <v>-24016.7</v>
      </c>
      <c r="C2" s="7">
        <v>38468.5</v>
      </c>
      <c r="D2" s="7">
        <v>62485.2</v>
      </c>
    </row>
    <row r="3" spans="1:11" x14ac:dyDescent="0.2">
      <c r="A3" s="11">
        <v>40057</v>
      </c>
      <c r="B3" s="7">
        <v>-23143.5</v>
      </c>
      <c r="C3" s="7">
        <v>42551</v>
      </c>
      <c r="D3" s="7">
        <v>65694.5</v>
      </c>
      <c r="I3" s="11">
        <v>44986</v>
      </c>
      <c r="J3" s="11">
        <v>45352</v>
      </c>
      <c r="K3" t="s">
        <v>1290</v>
      </c>
    </row>
    <row r="4" spans="1:11" x14ac:dyDescent="0.2">
      <c r="A4" s="11">
        <v>40148</v>
      </c>
      <c r="B4" s="7">
        <v>-32952.400000000001</v>
      </c>
      <c r="C4" s="7">
        <v>46230.7</v>
      </c>
      <c r="D4" s="7">
        <v>79183.100000000006</v>
      </c>
      <c r="H4" t="s">
        <v>1285</v>
      </c>
      <c r="I4" s="7">
        <v>1024.0999999999999</v>
      </c>
      <c r="J4" s="7">
        <v>1093.9000000000001</v>
      </c>
      <c r="K4">
        <v>6.82</v>
      </c>
    </row>
    <row r="5" spans="1:11" x14ac:dyDescent="0.2">
      <c r="A5" s="11">
        <v>40238</v>
      </c>
      <c r="B5" s="7">
        <v>-29503.200000000001</v>
      </c>
      <c r="C5" s="7">
        <v>51535.6</v>
      </c>
      <c r="D5" s="7">
        <v>81038.8</v>
      </c>
      <c r="H5" t="s">
        <v>1286</v>
      </c>
      <c r="I5">
        <v>476.7</v>
      </c>
      <c r="J5">
        <v>439.4</v>
      </c>
      <c r="K5">
        <v>-7.83</v>
      </c>
    </row>
    <row r="6" spans="1:11" x14ac:dyDescent="0.2">
      <c r="A6" s="11">
        <v>40330</v>
      </c>
      <c r="B6" s="7">
        <v>-29345.9</v>
      </c>
      <c r="C6" s="7">
        <v>54093</v>
      </c>
      <c r="D6" s="7">
        <v>83438.899999999994</v>
      </c>
      <c r="H6" t="s">
        <v>1287</v>
      </c>
      <c r="I6" s="7">
        <v>1447.9</v>
      </c>
      <c r="J6" s="7">
        <v>1472.9</v>
      </c>
      <c r="K6">
        <v>1.73</v>
      </c>
    </row>
    <row r="7" spans="1:11" x14ac:dyDescent="0.2">
      <c r="A7" s="11">
        <v>40422</v>
      </c>
      <c r="B7" s="7">
        <v>-35200.1</v>
      </c>
      <c r="C7" s="7">
        <v>51102.9</v>
      </c>
      <c r="D7" s="7">
        <v>86303</v>
      </c>
      <c r="H7" t="s">
        <v>1288</v>
      </c>
      <c r="I7">
        <v>37.5</v>
      </c>
      <c r="J7">
        <v>28.4</v>
      </c>
      <c r="K7">
        <v>-24.1</v>
      </c>
    </row>
    <row r="8" spans="1:11" x14ac:dyDescent="0.2">
      <c r="A8" s="11">
        <v>40513</v>
      </c>
      <c r="B8" s="7">
        <v>-26965.200000000001</v>
      </c>
      <c r="C8" s="7">
        <v>65835.100000000006</v>
      </c>
      <c r="D8" s="7">
        <v>92800.2</v>
      </c>
      <c r="H8" t="s">
        <v>1289</v>
      </c>
      <c r="I8">
        <v>110.9</v>
      </c>
      <c r="J8">
        <v>129</v>
      </c>
      <c r="K8">
        <v>16.27</v>
      </c>
    </row>
    <row r="9" spans="1:11" x14ac:dyDescent="0.2">
      <c r="A9" s="11">
        <v>40603</v>
      </c>
      <c r="B9" s="7">
        <v>-24281.200000000001</v>
      </c>
      <c r="C9" s="7">
        <v>76313.600000000006</v>
      </c>
      <c r="D9" s="7">
        <v>100594.8</v>
      </c>
    </row>
    <row r="10" spans="1:11" x14ac:dyDescent="0.2">
      <c r="A10" s="11">
        <v>40695</v>
      </c>
      <c r="B10" s="7">
        <v>-46220.2</v>
      </c>
      <c r="C10" s="7">
        <v>76506.100000000006</v>
      </c>
      <c r="D10" s="7">
        <v>122726.3</v>
      </c>
    </row>
    <row r="11" spans="1:11" x14ac:dyDescent="0.2">
      <c r="A11" s="11">
        <v>40787</v>
      </c>
      <c r="B11" s="7">
        <v>-43040.1</v>
      </c>
      <c r="C11" s="7">
        <v>77807.7</v>
      </c>
      <c r="D11" s="7">
        <v>120847.8</v>
      </c>
    </row>
    <row r="12" spans="1:11" x14ac:dyDescent="0.2">
      <c r="A12" s="11">
        <v>40878</v>
      </c>
      <c r="B12" s="7">
        <v>-47883.6</v>
      </c>
      <c r="C12" s="7">
        <v>72214.5</v>
      </c>
      <c r="D12" s="7">
        <v>120098.1</v>
      </c>
    </row>
    <row r="13" spans="1:11" x14ac:dyDescent="0.2">
      <c r="A13" s="11">
        <v>40969</v>
      </c>
      <c r="B13" s="7">
        <v>-46062.400000000001</v>
      </c>
      <c r="C13" s="7">
        <v>79366.100000000006</v>
      </c>
      <c r="D13" s="7">
        <v>125428.5</v>
      </c>
    </row>
    <row r="14" spans="1:11" x14ac:dyDescent="0.2">
      <c r="A14" s="11">
        <v>41061</v>
      </c>
      <c r="B14" s="7">
        <v>-41780</v>
      </c>
      <c r="C14" s="7">
        <v>73346.100000000006</v>
      </c>
      <c r="D14" s="7">
        <v>115126</v>
      </c>
    </row>
    <row r="15" spans="1:11" x14ac:dyDescent="0.2">
      <c r="A15" s="11">
        <v>41153</v>
      </c>
      <c r="B15" s="7">
        <v>-48807.7</v>
      </c>
      <c r="C15" s="7">
        <v>71090.8</v>
      </c>
      <c r="D15" s="7">
        <v>119898.5</v>
      </c>
    </row>
    <row r="16" spans="1:11" x14ac:dyDescent="0.2">
      <c r="A16" s="11">
        <v>41244</v>
      </c>
      <c r="B16" s="7">
        <v>-54957.3</v>
      </c>
      <c r="C16" s="7">
        <v>72757.8</v>
      </c>
      <c r="D16" s="7">
        <v>127715.1</v>
      </c>
    </row>
    <row r="17" spans="1:4" x14ac:dyDescent="0.2">
      <c r="A17" s="11">
        <v>41334</v>
      </c>
      <c r="B17" s="7">
        <v>-43502.2</v>
      </c>
      <c r="C17" s="7">
        <v>82992.399999999994</v>
      </c>
      <c r="D17" s="7">
        <v>126494.6</v>
      </c>
    </row>
    <row r="18" spans="1:4" x14ac:dyDescent="0.2">
      <c r="A18" s="11">
        <v>41426</v>
      </c>
      <c r="B18" s="7">
        <v>-47457.599999999999</v>
      </c>
      <c r="C18" s="7">
        <v>72281.399999999994</v>
      </c>
      <c r="D18" s="7">
        <v>119738.9</v>
      </c>
    </row>
    <row r="19" spans="1:4" x14ac:dyDescent="0.2">
      <c r="A19" s="11">
        <v>41518</v>
      </c>
      <c r="B19" s="7">
        <v>-29173.8</v>
      </c>
      <c r="C19" s="7">
        <v>80521.8</v>
      </c>
      <c r="D19" s="7">
        <v>109695.5</v>
      </c>
    </row>
    <row r="20" spans="1:4" x14ac:dyDescent="0.2">
      <c r="A20" s="11">
        <v>41609</v>
      </c>
      <c r="B20" s="7">
        <v>-30355.599999999999</v>
      </c>
      <c r="C20" s="7">
        <v>78075.8</v>
      </c>
      <c r="D20" s="7">
        <v>108431.4</v>
      </c>
    </row>
    <row r="21" spans="1:4" x14ac:dyDescent="0.2">
      <c r="A21" s="11">
        <v>41699</v>
      </c>
      <c r="B21" s="7">
        <v>-28685.599999999999</v>
      </c>
      <c r="C21" s="7">
        <v>82509.2</v>
      </c>
      <c r="D21" s="7">
        <v>111194.8</v>
      </c>
    </row>
    <row r="22" spans="1:4" x14ac:dyDescent="0.2">
      <c r="A22" s="11">
        <v>41791</v>
      </c>
      <c r="B22" s="7">
        <v>-33493.199999999997</v>
      </c>
      <c r="C22" s="7">
        <v>79719</v>
      </c>
      <c r="D22" s="7">
        <v>113212.1</v>
      </c>
    </row>
    <row r="23" spans="1:4" x14ac:dyDescent="0.2">
      <c r="A23" s="11">
        <v>41883</v>
      </c>
      <c r="B23" s="7">
        <v>-39412.9</v>
      </c>
      <c r="C23" s="7">
        <v>81503.7</v>
      </c>
      <c r="D23" s="7">
        <v>120916.5</v>
      </c>
    </row>
    <row r="24" spans="1:4" x14ac:dyDescent="0.2">
      <c r="A24" s="11">
        <v>41974</v>
      </c>
      <c r="B24" s="7">
        <v>-38882.9</v>
      </c>
      <c r="C24" s="7">
        <v>78448.100000000006</v>
      </c>
      <c r="D24" s="7">
        <v>117330.9</v>
      </c>
    </row>
    <row r="25" spans="1:4" x14ac:dyDescent="0.2">
      <c r="A25" s="11">
        <v>42064</v>
      </c>
      <c r="B25" s="7">
        <v>-26018.799999999999</v>
      </c>
      <c r="C25" s="7">
        <v>70403.899999999994</v>
      </c>
      <c r="D25" s="7">
        <v>96422.7</v>
      </c>
    </row>
    <row r="26" spans="1:4" x14ac:dyDescent="0.2">
      <c r="A26" s="11">
        <v>42156</v>
      </c>
      <c r="B26" s="7">
        <v>-32869.199999999997</v>
      </c>
      <c r="C26" s="7">
        <v>66963</v>
      </c>
      <c r="D26" s="7">
        <v>99832.2</v>
      </c>
    </row>
    <row r="27" spans="1:4" x14ac:dyDescent="0.2">
      <c r="A27" s="11">
        <v>42248</v>
      </c>
      <c r="B27" s="7">
        <v>-35634.6</v>
      </c>
      <c r="C27" s="7">
        <v>66770.5</v>
      </c>
      <c r="D27" s="7">
        <v>102405.1</v>
      </c>
    </row>
    <row r="28" spans="1:4" x14ac:dyDescent="0.2">
      <c r="A28" s="11">
        <v>42339</v>
      </c>
      <c r="B28" s="7">
        <v>-31548.1</v>
      </c>
      <c r="C28" s="7">
        <v>63610.2</v>
      </c>
      <c r="D28" s="7">
        <v>95158.3</v>
      </c>
    </row>
    <row r="29" spans="1:4" x14ac:dyDescent="0.2">
      <c r="A29" s="11">
        <v>42430</v>
      </c>
      <c r="B29" s="7">
        <v>-18651.8</v>
      </c>
      <c r="C29" s="7">
        <v>64944.2</v>
      </c>
      <c r="D29" s="7">
        <v>83596.100000000006</v>
      </c>
    </row>
    <row r="30" spans="1:4" x14ac:dyDescent="0.2">
      <c r="A30" s="11">
        <v>42522</v>
      </c>
      <c r="B30" s="7">
        <v>-19078.099999999999</v>
      </c>
      <c r="C30" s="7">
        <v>65915.7</v>
      </c>
      <c r="D30" s="7">
        <v>84993.8</v>
      </c>
    </row>
    <row r="31" spans="1:4" x14ac:dyDescent="0.2">
      <c r="A31" s="11">
        <v>42614</v>
      </c>
      <c r="B31" s="7">
        <v>-24423.7</v>
      </c>
      <c r="C31" s="7">
        <v>66045.8</v>
      </c>
      <c r="D31" s="7">
        <v>90469.4</v>
      </c>
    </row>
    <row r="32" spans="1:4" x14ac:dyDescent="0.2">
      <c r="A32" s="11">
        <v>42705</v>
      </c>
      <c r="B32" s="7">
        <v>-35060.300000000003</v>
      </c>
      <c r="C32" s="7">
        <v>67443</v>
      </c>
      <c r="D32" s="7">
        <v>102503.3</v>
      </c>
    </row>
    <row r="33" spans="1:4" x14ac:dyDescent="0.2">
      <c r="A33" s="11">
        <v>42795</v>
      </c>
      <c r="B33" s="7">
        <v>-30054.7</v>
      </c>
      <c r="C33" s="7">
        <v>76258.899999999994</v>
      </c>
      <c r="D33" s="7">
        <v>106313.60000000001</v>
      </c>
    </row>
    <row r="34" spans="1:4" x14ac:dyDescent="0.2">
      <c r="A34" s="11">
        <v>42887</v>
      </c>
      <c r="B34" s="7">
        <v>-42628.6</v>
      </c>
      <c r="C34" s="7">
        <v>71537.5</v>
      </c>
      <c r="D34" s="7">
        <v>114166.1</v>
      </c>
    </row>
    <row r="35" spans="1:4" x14ac:dyDescent="0.2">
      <c r="A35" s="11">
        <v>42979</v>
      </c>
      <c r="B35" s="7">
        <v>-34022.699999999997</v>
      </c>
      <c r="C35" s="7">
        <v>74222.600000000006</v>
      </c>
      <c r="D35" s="7">
        <v>108245.3</v>
      </c>
    </row>
    <row r="36" spans="1:4" x14ac:dyDescent="0.2">
      <c r="A36" s="11">
        <v>43070</v>
      </c>
      <c r="B36" s="7">
        <v>-43905</v>
      </c>
      <c r="C36" s="7">
        <v>76970.399999999994</v>
      </c>
      <c r="D36" s="7">
        <v>120875.4</v>
      </c>
    </row>
    <row r="37" spans="1:4" x14ac:dyDescent="0.2">
      <c r="A37" s="11">
        <v>43160</v>
      </c>
      <c r="B37" s="7">
        <v>-41480.699999999997</v>
      </c>
      <c r="C37" s="7">
        <v>80842.8</v>
      </c>
      <c r="D37" s="7">
        <v>122323.5</v>
      </c>
    </row>
    <row r="38" spans="1:4" x14ac:dyDescent="0.2">
      <c r="A38" s="11">
        <v>43252</v>
      </c>
      <c r="B38" s="7">
        <v>-46654.6</v>
      </c>
      <c r="C38" s="7">
        <v>82029.899999999994</v>
      </c>
      <c r="D38" s="7">
        <v>128684.5</v>
      </c>
    </row>
    <row r="39" spans="1:4" x14ac:dyDescent="0.2">
      <c r="A39" s="11">
        <v>43344</v>
      </c>
      <c r="B39" s="7">
        <v>-51497.5</v>
      </c>
      <c r="C39" s="7">
        <v>81614.5</v>
      </c>
      <c r="D39" s="7">
        <v>133112</v>
      </c>
    </row>
    <row r="40" spans="1:4" x14ac:dyDescent="0.2">
      <c r="A40" s="11">
        <v>43435</v>
      </c>
      <c r="B40" s="7">
        <v>-50120.9</v>
      </c>
      <c r="C40" s="7">
        <v>80541.7</v>
      </c>
      <c r="D40" s="7">
        <v>130662.6</v>
      </c>
    </row>
    <row r="41" spans="1:4" x14ac:dyDescent="0.2">
      <c r="A41" s="11">
        <v>43525</v>
      </c>
      <c r="B41" s="7">
        <v>-35766.5</v>
      </c>
      <c r="C41" s="7">
        <v>85893.7</v>
      </c>
      <c r="D41" s="7">
        <v>121660.2</v>
      </c>
    </row>
    <row r="42" spans="1:4" x14ac:dyDescent="0.2">
      <c r="A42" s="11">
        <v>43617</v>
      </c>
      <c r="B42" s="7">
        <v>-49183.4</v>
      </c>
      <c r="C42" s="7">
        <v>80910.5</v>
      </c>
      <c r="D42" s="7">
        <v>130093.9</v>
      </c>
    </row>
    <row r="43" spans="1:4" x14ac:dyDescent="0.2">
      <c r="A43" s="11">
        <v>43709</v>
      </c>
      <c r="B43" s="7">
        <v>-39742</v>
      </c>
      <c r="C43" s="7">
        <v>78344.2</v>
      </c>
      <c r="D43" s="7">
        <v>118086.1</v>
      </c>
    </row>
    <row r="44" spans="1:4" x14ac:dyDescent="0.2">
      <c r="A44" s="11">
        <v>43800</v>
      </c>
      <c r="B44" s="7">
        <v>-36993.4</v>
      </c>
      <c r="C44" s="7">
        <v>79107.8</v>
      </c>
      <c r="D44" s="7">
        <v>116101.2</v>
      </c>
    </row>
    <row r="45" spans="1:4" x14ac:dyDescent="0.2">
      <c r="A45" s="11">
        <v>43891</v>
      </c>
      <c r="B45" s="7">
        <v>-35369.199999999997</v>
      </c>
      <c r="C45" s="7">
        <v>74970</v>
      </c>
      <c r="D45" s="7">
        <v>110339.2</v>
      </c>
    </row>
    <row r="46" spans="1:4" x14ac:dyDescent="0.2">
      <c r="A46" s="11">
        <v>43983</v>
      </c>
      <c r="B46" s="7">
        <v>-9842.2999999999993</v>
      </c>
      <c r="C46" s="7">
        <v>51414</v>
      </c>
      <c r="D46" s="7">
        <v>61256.3</v>
      </c>
    </row>
    <row r="47" spans="1:4" x14ac:dyDescent="0.2">
      <c r="A47" s="11">
        <v>44075</v>
      </c>
      <c r="B47" s="7">
        <v>-16535.900000000001</v>
      </c>
      <c r="C47" s="7">
        <v>74113.7</v>
      </c>
      <c r="D47" s="7">
        <v>90649.600000000006</v>
      </c>
    </row>
    <row r="48" spans="1:4" x14ac:dyDescent="0.2">
      <c r="A48" s="11">
        <v>44166</v>
      </c>
      <c r="B48" s="7">
        <v>-35064.1</v>
      </c>
      <c r="C48" s="7">
        <v>75761</v>
      </c>
      <c r="D48" s="7">
        <v>110825.2</v>
      </c>
    </row>
    <row r="49" spans="1:4" x14ac:dyDescent="0.2">
      <c r="A49" s="11">
        <v>44256</v>
      </c>
      <c r="B49" s="7">
        <v>-41250.9</v>
      </c>
      <c r="C49" s="7">
        <v>90413.4</v>
      </c>
      <c r="D49" s="7">
        <v>131664.29999999999</v>
      </c>
    </row>
    <row r="50" spans="1:4" x14ac:dyDescent="0.2">
      <c r="A50" s="11">
        <v>44348</v>
      </c>
      <c r="B50" s="7">
        <v>-31517</v>
      </c>
      <c r="C50" s="7">
        <v>95570.5</v>
      </c>
      <c r="D50" s="7">
        <v>127087.5</v>
      </c>
    </row>
    <row r="51" spans="1:4" x14ac:dyDescent="0.2">
      <c r="A51" s="11">
        <v>44440</v>
      </c>
      <c r="B51" s="7">
        <v>-44736.1</v>
      </c>
      <c r="C51" s="7">
        <v>102719.9</v>
      </c>
      <c r="D51" s="7">
        <v>147456</v>
      </c>
    </row>
    <row r="52" spans="1:4" x14ac:dyDescent="0.2">
      <c r="A52" s="11">
        <v>44531</v>
      </c>
      <c r="B52" s="7">
        <v>-60174</v>
      </c>
      <c r="C52" s="7">
        <v>106791.2</v>
      </c>
      <c r="D52" s="7">
        <v>166965.20000000001</v>
      </c>
    </row>
    <row r="53" spans="1:4" x14ac:dyDescent="0.2">
      <c r="A53" s="11">
        <v>44621</v>
      </c>
      <c r="B53" s="7">
        <v>-54599.3</v>
      </c>
      <c r="C53" s="7">
        <v>117064.9</v>
      </c>
      <c r="D53" s="7">
        <v>171664.2</v>
      </c>
    </row>
    <row r="54" spans="1:4" x14ac:dyDescent="0.2">
      <c r="A54" s="11">
        <v>44713</v>
      </c>
      <c r="B54" s="7">
        <v>-62568.9</v>
      </c>
      <c r="C54" s="7">
        <v>120943.9</v>
      </c>
      <c r="D54" s="7">
        <v>183512.8</v>
      </c>
    </row>
    <row r="55" spans="1:4" x14ac:dyDescent="0.2">
      <c r="A55" s="11">
        <v>44805</v>
      </c>
      <c r="B55" s="7">
        <v>-78280.3</v>
      </c>
      <c r="C55" s="7">
        <v>110712.9</v>
      </c>
      <c r="D55" s="7">
        <v>188993.2</v>
      </c>
    </row>
    <row r="56" spans="1:4" x14ac:dyDescent="0.2">
      <c r="A56" s="11">
        <v>44896</v>
      </c>
      <c r="B56" s="7">
        <v>-71504.5</v>
      </c>
      <c r="C56" s="7">
        <v>104559</v>
      </c>
      <c r="D56" s="7">
        <v>176063.4</v>
      </c>
    </row>
    <row r="57" spans="1:4" x14ac:dyDescent="0.2">
      <c r="A57" s="11">
        <v>44986</v>
      </c>
      <c r="B57" s="7">
        <v>-52553.599999999999</v>
      </c>
      <c r="C57" s="7">
        <v>114771.5</v>
      </c>
      <c r="D57" s="7">
        <v>167325.1</v>
      </c>
    </row>
    <row r="58" spans="1:4" x14ac:dyDescent="0.2">
      <c r="A58" s="11">
        <v>45078</v>
      </c>
      <c r="B58" s="7">
        <v>-56171.5</v>
      </c>
      <c r="C58" s="7">
        <v>103894.5</v>
      </c>
      <c r="D58" s="7">
        <v>160065.9</v>
      </c>
    </row>
    <row r="59" spans="1:4" x14ac:dyDescent="0.2">
      <c r="A59" s="11">
        <v>45170</v>
      </c>
      <c r="B59" s="7">
        <v>-63083.1</v>
      </c>
      <c r="C59" s="7">
        <v>107206.9</v>
      </c>
      <c r="D59" s="7">
        <v>170290</v>
      </c>
    </row>
    <row r="60" spans="1:4" x14ac:dyDescent="0.2">
      <c r="A60" s="11">
        <v>45261</v>
      </c>
      <c r="B60" s="7">
        <v>-70595</v>
      </c>
      <c r="C60" s="7">
        <v>105581.5</v>
      </c>
      <c r="D60" s="7">
        <v>176176.5</v>
      </c>
    </row>
    <row r="61" spans="1:4" x14ac:dyDescent="0.2">
      <c r="A61" s="11">
        <v>45352</v>
      </c>
      <c r="B61" s="7">
        <v>-50345.599999999999</v>
      </c>
      <c r="C61" s="7">
        <v>120379.5</v>
      </c>
      <c r="D61" s="7">
        <v>170725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306B-DFDA-B047-B54F-51EEE5E57DA3}">
  <dimension ref="A1:J71"/>
  <sheetViews>
    <sheetView topLeftCell="A39" workbookViewId="0">
      <selection activeCell="C7" sqref="C7"/>
    </sheetView>
  </sheetViews>
  <sheetFormatPr baseColWidth="10" defaultRowHeight="16" x14ac:dyDescent="0.2"/>
  <cols>
    <col min="3" max="3" width="34.1640625" bestFit="1" customWidth="1"/>
    <col min="4" max="4" width="25.33203125" bestFit="1" customWidth="1"/>
    <col min="5" max="5" width="38.33203125" bestFit="1" customWidth="1"/>
    <col min="6" max="6" width="40.5" bestFit="1" customWidth="1"/>
    <col min="7" max="7" width="25" bestFit="1" customWidth="1"/>
  </cols>
  <sheetData>
    <row r="1" spans="1:10" x14ac:dyDescent="0.2">
      <c r="A1" t="s">
        <v>1271</v>
      </c>
    </row>
    <row r="2" spans="1:10" x14ac:dyDescent="0.2">
      <c r="A2" t="s">
        <v>55</v>
      </c>
      <c r="B2" t="s">
        <v>55</v>
      </c>
      <c r="C2" t="s">
        <v>47</v>
      </c>
      <c r="D2" t="s">
        <v>47</v>
      </c>
      <c r="E2" t="s">
        <v>47</v>
      </c>
      <c r="F2" t="s">
        <v>47</v>
      </c>
      <c r="G2" t="s">
        <v>1272</v>
      </c>
    </row>
    <row r="3" spans="1:10" x14ac:dyDescent="0.2">
      <c r="A3" t="s">
        <v>284</v>
      </c>
      <c r="B3">
        <v>4.8806799999999999</v>
      </c>
      <c r="C3">
        <v>2.5815399999999999</v>
      </c>
      <c r="D3">
        <v>1.5090300000000001</v>
      </c>
      <c r="E3">
        <v>0.19295999999999999</v>
      </c>
      <c r="F3">
        <v>9.776E-2</v>
      </c>
      <c r="G3">
        <v>0.20089000000000001</v>
      </c>
    </row>
    <row r="4" spans="1:10" x14ac:dyDescent="0.2">
      <c r="A4" t="s">
        <v>1266</v>
      </c>
    </row>
    <row r="5" spans="1:10" x14ac:dyDescent="0.2">
      <c r="A5" t="s">
        <v>271</v>
      </c>
      <c r="B5" t="s">
        <v>1281</v>
      </c>
      <c r="C5" t="s">
        <v>1273</v>
      </c>
      <c r="D5" t="s">
        <v>1274</v>
      </c>
      <c r="E5" t="s">
        <v>1275</v>
      </c>
      <c r="F5" t="s">
        <v>1276</v>
      </c>
      <c r="G5" t="s">
        <v>1277</v>
      </c>
      <c r="H5" t="s">
        <v>1278</v>
      </c>
      <c r="I5" t="s">
        <v>1279</v>
      </c>
      <c r="J5" t="s">
        <v>1280</v>
      </c>
    </row>
    <row r="6" spans="1:10" x14ac:dyDescent="0.2">
      <c r="A6" s="11">
        <v>43556</v>
      </c>
      <c r="B6">
        <v>3.92</v>
      </c>
      <c r="C6">
        <v>4.0999999999999996</v>
      </c>
      <c r="D6">
        <v>4.49</v>
      </c>
      <c r="E6">
        <v>0.72</v>
      </c>
      <c r="F6">
        <v>2.0499999999999998</v>
      </c>
      <c r="G6">
        <v>-2.36</v>
      </c>
      <c r="H6">
        <v>-1.07</v>
      </c>
      <c r="I6">
        <v>-0.43</v>
      </c>
      <c r="J6">
        <v>-2.87</v>
      </c>
    </row>
    <row r="7" spans="1:10" x14ac:dyDescent="0.2">
      <c r="A7" s="11">
        <v>43586</v>
      </c>
      <c r="B7">
        <v>3.37</v>
      </c>
      <c r="C7">
        <v>2.4</v>
      </c>
      <c r="D7">
        <v>4.47</v>
      </c>
      <c r="E7">
        <v>2.42</v>
      </c>
      <c r="F7">
        <v>1.82</v>
      </c>
      <c r="G7">
        <v>0.6</v>
      </c>
      <c r="H7">
        <v>-1.07</v>
      </c>
      <c r="I7">
        <v>-0.21</v>
      </c>
      <c r="J7">
        <v>-3.3</v>
      </c>
    </row>
    <row r="8" spans="1:10" x14ac:dyDescent="0.2">
      <c r="A8" s="11">
        <v>43617</v>
      </c>
      <c r="B8">
        <v>2.75</v>
      </c>
      <c r="C8">
        <v>1.56</v>
      </c>
      <c r="D8">
        <v>4.3099999999999996</v>
      </c>
      <c r="E8">
        <v>2.5</v>
      </c>
      <c r="F8">
        <v>1.31</v>
      </c>
      <c r="G8">
        <v>0.51</v>
      </c>
      <c r="H8">
        <v>-1.22</v>
      </c>
      <c r="I8">
        <v>-0.85</v>
      </c>
      <c r="J8">
        <v>-2.25</v>
      </c>
    </row>
    <row r="9" spans="1:10" x14ac:dyDescent="0.2">
      <c r="A9" s="11">
        <v>43647</v>
      </c>
      <c r="B9">
        <v>1.02</v>
      </c>
      <c r="C9">
        <v>-0.27</v>
      </c>
      <c r="D9">
        <v>2.76</v>
      </c>
      <c r="E9">
        <v>1.05</v>
      </c>
      <c r="F9">
        <v>1.1599999999999999</v>
      </c>
      <c r="G9">
        <v>-0.94</v>
      </c>
      <c r="H9">
        <v>-0.65</v>
      </c>
      <c r="I9">
        <v>-0.79</v>
      </c>
      <c r="J9">
        <v>-0.28999999999999998</v>
      </c>
    </row>
    <row r="10" spans="1:10" x14ac:dyDescent="0.2">
      <c r="A10" s="11">
        <v>43678</v>
      </c>
      <c r="B10">
        <v>-0.17</v>
      </c>
      <c r="C10">
        <v>-2.15</v>
      </c>
      <c r="D10">
        <v>2.0499999999999998</v>
      </c>
      <c r="E10">
        <v>0.35</v>
      </c>
      <c r="F10">
        <v>2.0299999999999998</v>
      </c>
      <c r="G10">
        <v>-1.19</v>
      </c>
      <c r="H10">
        <v>-0.86</v>
      </c>
      <c r="I10">
        <v>-0.86</v>
      </c>
      <c r="J10">
        <v>-0.95</v>
      </c>
    </row>
    <row r="11" spans="1:10" x14ac:dyDescent="0.2">
      <c r="A11" s="11">
        <v>43709</v>
      </c>
      <c r="B11">
        <v>-0.84</v>
      </c>
      <c r="C11">
        <v>-4.09</v>
      </c>
      <c r="D11">
        <v>2.2200000000000002</v>
      </c>
      <c r="E11">
        <v>2.11</v>
      </c>
      <c r="F11">
        <v>1.57</v>
      </c>
      <c r="G11">
        <v>-0.25</v>
      </c>
      <c r="H11">
        <v>0.51</v>
      </c>
      <c r="I11">
        <v>0.36</v>
      </c>
      <c r="J11">
        <v>0.74</v>
      </c>
    </row>
    <row r="12" spans="1:10" x14ac:dyDescent="0.2">
      <c r="A12" s="11">
        <v>43739</v>
      </c>
      <c r="B12">
        <v>-1.59</v>
      </c>
      <c r="C12">
        <v>-4.62</v>
      </c>
      <c r="D12">
        <v>1.17</v>
      </c>
      <c r="E12">
        <v>1.41</v>
      </c>
      <c r="F12">
        <v>1.63</v>
      </c>
      <c r="G12">
        <v>-2.16</v>
      </c>
      <c r="H12">
        <v>0</v>
      </c>
      <c r="I12">
        <v>-0.28999999999999998</v>
      </c>
      <c r="J12">
        <v>0.44</v>
      </c>
    </row>
    <row r="13" spans="1:10" x14ac:dyDescent="0.2">
      <c r="A13" s="11">
        <v>43770</v>
      </c>
      <c r="B13">
        <v>-2.1</v>
      </c>
      <c r="C13">
        <v>-6.07</v>
      </c>
      <c r="D13">
        <v>1.64</v>
      </c>
      <c r="E13">
        <v>0.79</v>
      </c>
      <c r="F13">
        <v>2.31</v>
      </c>
      <c r="G13">
        <v>-2</v>
      </c>
      <c r="H13">
        <v>0.14000000000000001</v>
      </c>
      <c r="I13">
        <v>0.65</v>
      </c>
      <c r="J13">
        <v>-1.0900000000000001</v>
      </c>
    </row>
    <row r="14" spans="1:10" x14ac:dyDescent="0.2">
      <c r="A14" s="11">
        <v>43800</v>
      </c>
      <c r="B14">
        <v>-2.44</v>
      </c>
      <c r="C14">
        <v>-5.23</v>
      </c>
      <c r="D14">
        <v>0.7</v>
      </c>
      <c r="E14">
        <v>0.88</v>
      </c>
      <c r="F14">
        <v>4.59</v>
      </c>
      <c r="G14">
        <v>-3.73</v>
      </c>
      <c r="H14">
        <v>0.36</v>
      </c>
      <c r="I14">
        <v>0.65</v>
      </c>
      <c r="J14">
        <v>-0.36</v>
      </c>
    </row>
    <row r="15" spans="1:10" x14ac:dyDescent="0.2">
      <c r="A15" s="11">
        <v>43831</v>
      </c>
      <c r="B15">
        <v>-2.1800000000000002</v>
      </c>
      <c r="C15">
        <v>-5.21</v>
      </c>
      <c r="D15">
        <v>1.0900000000000001</v>
      </c>
      <c r="E15">
        <v>1.86</v>
      </c>
      <c r="F15">
        <v>4.99</v>
      </c>
      <c r="G15">
        <v>-2.76</v>
      </c>
      <c r="H15">
        <v>-0.36</v>
      </c>
      <c r="I15">
        <v>-0.5</v>
      </c>
      <c r="J15">
        <v>0</v>
      </c>
    </row>
    <row r="16" spans="1:10" x14ac:dyDescent="0.2">
      <c r="A16" s="11">
        <v>43862</v>
      </c>
      <c r="B16">
        <v>-1.93</v>
      </c>
      <c r="C16">
        <v>-4.8600000000000003</v>
      </c>
      <c r="D16">
        <v>0.93</v>
      </c>
      <c r="E16">
        <v>1.34</v>
      </c>
      <c r="F16">
        <v>6.03</v>
      </c>
      <c r="G16">
        <v>-1.1000000000000001</v>
      </c>
      <c r="H16">
        <v>0.44</v>
      </c>
      <c r="I16">
        <v>0.36</v>
      </c>
      <c r="J16">
        <v>0.52</v>
      </c>
    </row>
    <row r="17" spans="1:10" x14ac:dyDescent="0.2">
      <c r="A17" s="11">
        <v>43891</v>
      </c>
      <c r="B17">
        <v>-1.6</v>
      </c>
      <c r="C17">
        <v>-4.3499999999999996</v>
      </c>
      <c r="D17">
        <v>0.85</v>
      </c>
      <c r="E17">
        <v>2.44</v>
      </c>
      <c r="F17">
        <v>9</v>
      </c>
      <c r="G17">
        <v>1.03</v>
      </c>
      <c r="H17">
        <v>7.0000000000000007E-2</v>
      </c>
      <c r="I17">
        <v>7.0000000000000007E-2</v>
      </c>
      <c r="J17">
        <v>0.15</v>
      </c>
    </row>
    <row r="18" spans="1:10" x14ac:dyDescent="0.2">
      <c r="A18" s="11">
        <v>43922</v>
      </c>
      <c r="B18">
        <v>-2.0099999999999998</v>
      </c>
      <c r="C18">
        <v>-5.37</v>
      </c>
      <c r="D18">
        <v>0.92</v>
      </c>
      <c r="E18">
        <v>1.34</v>
      </c>
      <c r="F18">
        <v>5.67</v>
      </c>
      <c r="G18">
        <v>1.38</v>
      </c>
      <c r="H18">
        <v>-7.0000000000000007E-2</v>
      </c>
      <c r="I18">
        <v>-0.86</v>
      </c>
      <c r="J18">
        <v>2.29</v>
      </c>
    </row>
    <row r="19" spans="1:10" x14ac:dyDescent="0.2">
      <c r="A19" s="11">
        <v>43952</v>
      </c>
      <c r="B19">
        <v>-3.68</v>
      </c>
      <c r="C19">
        <v>-7.66</v>
      </c>
      <c r="D19">
        <v>-0.08</v>
      </c>
      <c r="E19">
        <v>-0.09</v>
      </c>
      <c r="F19">
        <v>7.38</v>
      </c>
      <c r="G19">
        <v>2.74</v>
      </c>
      <c r="H19">
        <v>7.0000000000000007E-2</v>
      </c>
      <c r="I19">
        <v>-0.79</v>
      </c>
      <c r="J19">
        <v>2.2999999999999998</v>
      </c>
    </row>
    <row r="20" spans="1:10" x14ac:dyDescent="0.2">
      <c r="A20" s="11">
        <v>43983</v>
      </c>
      <c r="B20">
        <v>-4.8600000000000003</v>
      </c>
      <c r="C20">
        <v>-9.1199999999999992</v>
      </c>
      <c r="D20">
        <v>-1.22</v>
      </c>
      <c r="E20">
        <v>1.74</v>
      </c>
      <c r="F20">
        <v>7.17</v>
      </c>
      <c r="G20">
        <v>0.08</v>
      </c>
      <c r="H20">
        <v>-0.51</v>
      </c>
      <c r="I20">
        <v>-1.1499999999999999</v>
      </c>
      <c r="J20">
        <v>1.26</v>
      </c>
    </row>
    <row r="21" spans="1:10" x14ac:dyDescent="0.2">
      <c r="A21" s="11">
        <v>44013</v>
      </c>
      <c r="B21">
        <v>-5.05</v>
      </c>
      <c r="C21">
        <v>-8.5500000000000007</v>
      </c>
      <c r="D21">
        <v>-2.61</v>
      </c>
      <c r="E21">
        <v>-1.04</v>
      </c>
      <c r="F21">
        <v>7.21</v>
      </c>
      <c r="G21">
        <v>1.21</v>
      </c>
      <c r="H21">
        <v>-0.94</v>
      </c>
      <c r="I21">
        <v>-0.51</v>
      </c>
      <c r="J21">
        <v>-2.14</v>
      </c>
    </row>
    <row r="22" spans="1:10" x14ac:dyDescent="0.2">
      <c r="A22" s="11">
        <v>44044</v>
      </c>
      <c r="B22">
        <v>-4.32</v>
      </c>
      <c r="C22">
        <v>-7.98</v>
      </c>
      <c r="D22">
        <v>-0.62</v>
      </c>
      <c r="E22">
        <v>-0.26</v>
      </c>
      <c r="F22">
        <v>5.68</v>
      </c>
      <c r="G22">
        <v>-1.72</v>
      </c>
      <c r="H22">
        <v>-7.0000000000000007E-2</v>
      </c>
      <c r="I22">
        <v>-0.87</v>
      </c>
      <c r="J22">
        <v>2.14</v>
      </c>
    </row>
    <row r="23" spans="1:10" x14ac:dyDescent="0.2">
      <c r="A23" s="11">
        <v>44075</v>
      </c>
      <c r="B23">
        <v>-3.4</v>
      </c>
      <c r="C23">
        <v>-6.21</v>
      </c>
      <c r="D23">
        <v>-0.39</v>
      </c>
      <c r="E23">
        <v>-1.47</v>
      </c>
      <c r="F23">
        <v>8.8000000000000007</v>
      </c>
      <c r="G23">
        <v>-3.9</v>
      </c>
      <c r="H23">
        <v>-0.36</v>
      </c>
      <c r="I23">
        <v>-1.22</v>
      </c>
      <c r="J23">
        <v>2.19</v>
      </c>
    </row>
    <row r="24" spans="1:10" x14ac:dyDescent="0.2">
      <c r="A24" s="11">
        <v>44105</v>
      </c>
      <c r="B24">
        <v>-2.13</v>
      </c>
      <c r="C24">
        <v>-4.5599999999999996</v>
      </c>
      <c r="D24">
        <v>0.62</v>
      </c>
      <c r="E24">
        <v>-1.3</v>
      </c>
      <c r="F24">
        <v>9.65</v>
      </c>
      <c r="G24">
        <v>-2.21</v>
      </c>
      <c r="H24">
        <v>-7.0000000000000007E-2</v>
      </c>
      <c r="I24">
        <v>-1.3</v>
      </c>
      <c r="J24">
        <v>3.36</v>
      </c>
    </row>
    <row r="25" spans="1:10" x14ac:dyDescent="0.2">
      <c r="A25" s="11">
        <v>44136</v>
      </c>
      <c r="B25">
        <v>0.26</v>
      </c>
      <c r="C25">
        <v>0.28999999999999998</v>
      </c>
      <c r="D25">
        <v>0.54</v>
      </c>
      <c r="E25">
        <v>0.26</v>
      </c>
      <c r="F25">
        <v>7.95</v>
      </c>
      <c r="G25">
        <v>-2.63</v>
      </c>
      <c r="H25">
        <v>0.65</v>
      </c>
      <c r="I25">
        <v>-0.93</v>
      </c>
      <c r="J25">
        <v>4.92</v>
      </c>
    </row>
    <row r="26" spans="1:10" x14ac:dyDescent="0.2">
      <c r="A26" s="11">
        <v>44166</v>
      </c>
      <c r="B26">
        <v>2.67</v>
      </c>
      <c r="C26">
        <v>3.24</v>
      </c>
      <c r="D26">
        <v>3.09</v>
      </c>
      <c r="E26">
        <v>-0.52</v>
      </c>
      <c r="F26">
        <v>9.33</v>
      </c>
      <c r="G26">
        <v>-0.78</v>
      </c>
      <c r="H26">
        <v>0</v>
      </c>
      <c r="I26">
        <v>-1.57</v>
      </c>
      <c r="J26">
        <v>4.0199999999999996</v>
      </c>
    </row>
    <row r="27" spans="1:10" x14ac:dyDescent="0.2">
      <c r="A27" s="11">
        <v>44197</v>
      </c>
      <c r="B27">
        <v>5.76</v>
      </c>
      <c r="C27">
        <v>8.44</v>
      </c>
      <c r="D27">
        <v>4.16</v>
      </c>
      <c r="E27">
        <v>0.61</v>
      </c>
      <c r="F27">
        <v>9.1</v>
      </c>
      <c r="G27">
        <v>-0.34</v>
      </c>
      <c r="H27">
        <v>1.23</v>
      </c>
      <c r="I27">
        <v>0</v>
      </c>
      <c r="J27">
        <v>4.5</v>
      </c>
    </row>
    <row r="28" spans="1:10" x14ac:dyDescent="0.2">
      <c r="A28" s="11">
        <v>44228</v>
      </c>
      <c r="B28">
        <v>6.84</v>
      </c>
      <c r="C28">
        <v>10.59</v>
      </c>
      <c r="D28">
        <v>4.05</v>
      </c>
      <c r="E28">
        <v>2.2799999999999998</v>
      </c>
      <c r="F28">
        <v>13.08</v>
      </c>
      <c r="G28">
        <v>0.77</v>
      </c>
      <c r="H28">
        <v>1.0900000000000001</v>
      </c>
      <c r="I28">
        <v>-0.22</v>
      </c>
      <c r="J28">
        <v>4.8499999999999996</v>
      </c>
    </row>
    <row r="29" spans="1:10" x14ac:dyDescent="0.2">
      <c r="A29" s="11">
        <v>44256</v>
      </c>
      <c r="B29">
        <v>9.17</v>
      </c>
      <c r="C29">
        <v>13.64</v>
      </c>
      <c r="D29">
        <v>5.97</v>
      </c>
      <c r="E29">
        <v>5.03</v>
      </c>
      <c r="F29">
        <v>13.34</v>
      </c>
      <c r="G29">
        <v>0.43</v>
      </c>
      <c r="H29">
        <v>1.1599999999999999</v>
      </c>
      <c r="I29">
        <v>0.14000000000000001</v>
      </c>
      <c r="J29">
        <v>4.0199999999999996</v>
      </c>
    </row>
    <row r="30" spans="1:10" x14ac:dyDescent="0.2">
      <c r="A30" s="11">
        <v>44287</v>
      </c>
      <c r="B30">
        <v>10</v>
      </c>
      <c r="C30">
        <v>14.47</v>
      </c>
      <c r="D30">
        <v>6.54</v>
      </c>
      <c r="E30">
        <v>7.78</v>
      </c>
      <c r="F30">
        <v>15.82</v>
      </c>
      <c r="G30">
        <v>1.88</v>
      </c>
      <c r="H30">
        <v>1.01</v>
      </c>
      <c r="I30">
        <v>0.14000000000000001</v>
      </c>
      <c r="J30">
        <v>3.54</v>
      </c>
    </row>
    <row r="31" spans="1:10" x14ac:dyDescent="0.2">
      <c r="A31" s="11">
        <v>44317</v>
      </c>
      <c r="B31">
        <v>11.55</v>
      </c>
      <c r="C31">
        <v>17.66</v>
      </c>
      <c r="D31">
        <v>6.8</v>
      </c>
      <c r="E31">
        <v>7.44</v>
      </c>
      <c r="F31">
        <v>15.01</v>
      </c>
      <c r="G31">
        <v>1.84</v>
      </c>
      <c r="H31">
        <v>1.08</v>
      </c>
      <c r="I31">
        <v>0.79</v>
      </c>
      <c r="J31">
        <v>1.96</v>
      </c>
    </row>
    <row r="32" spans="1:10" x14ac:dyDescent="0.2">
      <c r="A32" s="11">
        <v>44348</v>
      </c>
      <c r="B32">
        <v>14.17</v>
      </c>
      <c r="C32">
        <v>20.48</v>
      </c>
      <c r="D32">
        <v>10.3</v>
      </c>
      <c r="E32">
        <v>4.3600000000000003</v>
      </c>
      <c r="F32">
        <v>14.46</v>
      </c>
      <c r="G32">
        <v>3.3</v>
      </c>
      <c r="H32">
        <v>2.84</v>
      </c>
      <c r="I32">
        <v>1.96</v>
      </c>
      <c r="J32">
        <v>5.0599999999999996</v>
      </c>
    </row>
    <row r="33" spans="1:10" x14ac:dyDescent="0.2">
      <c r="A33" s="11">
        <v>44378</v>
      </c>
      <c r="B33">
        <v>15.85</v>
      </c>
      <c r="C33">
        <v>20.58</v>
      </c>
      <c r="D33">
        <v>14.48</v>
      </c>
      <c r="E33">
        <v>7.87</v>
      </c>
      <c r="F33">
        <v>12.25</v>
      </c>
      <c r="G33">
        <v>5.82</v>
      </c>
      <c r="H33">
        <v>3.96</v>
      </c>
      <c r="I33">
        <v>2.25</v>
      </c>
      <c r="J33">
        <v>8.6</v>
      </c>
    </row>
    <row r="34" spans="1:10" x14ac:dyDescent="0.2">
      <c r="A34" s="11">
        <v>44409</v>
      </c>
      <c r="B34">
        <v>17.350000000000001</v>
      </c>
      <c r="C34">
        <v>23.23</v>
      </c>
      <c r="D34">
        <v>14.47</v>
      </c>
      <c r="E34">
        <v>7.91</v>
      </c>
      <c r="F34">
        <v>12.63</v>
      </c>
      <c r="G34">
        <v>8.1300000000000008</v>
      </c>
      <c r="H34">
        <v>3.27</v>
      </c>
      <c r="I34">
        <v>2.99</v>
      </c>
      <c r="J34">
        <v>3.98</v>
      </c>
    </row>
    <row r="35" spans="1:10" x14ac:dyDescent="0.2">
      <c r="A35" s="11">
        <v>44440</v>
      </c>
      <c r="B35">
        <v>17.34</v>
      </c>
      <c r="C35">
        <v>23.52</v>
      </c>
      <c r="D35">
        <v>13.69</v>
      </c>
      <c r="E35">
        <v>9.19</v>
      </c>
      <c r="F35">
        <v>8.34</v>
      </c>
      <c r="G35">
        <v>11.75</v>
      </c>
      <c r="H35">
        <v>4.12</v>
      </c>
      <c r="I35">
        <v>4.28</v>
      </c>
      <c r="J35">
        <v>3.57</v>
      </c>
    </row>
    <row r="36" spans="1:10" x14ac:dyDescent="0.2">
      <c r="A36" s="11">
        <v>44470</v>
      </c>
      <c r="B36">
        <v>17.420000000000002</v>
      </c>
      <c r="C36">
        <v>24</v>
      </c>
      <c r="D36">
        <v>12.99</v>
      </c>
      <c r="E36">
        <v>9.15</v>
      </c>
      <c r="F36">
        <v>8.35</v>
      </c>
      <c r="G36">
        <v>10.94</v>
      </c>
      <c r="H36">
        <v>4.2699999999999996</v>
      </c>
      <c r="I36">
        <v>4.2300000000000004</v>
      </c>
      <c r="J36">
        <v>4.53</v>
      </c>
    </row>
    <row r="37" spans="1:10" x14ac:dyDescent="0.2">
      <c r="A37" s="11">
        <v>44501</v>
      </c>
      <c r="B37">
        <v>18.239999999999998</v>
      </c>
      <c r="C37">
        <v>25.69</v>
      </c>
      <c r="D37">
        <v>12.99</v>
      </c>
      <c r="E37">
        <v>10.26</v>
      </c>
      <c r="F37">
        <v>8.44</v>
      </c>
      <c r="G37">
        <v>11.67</v>
      </c>
      <c r="H37">
        <v>3.37</v>
      </c>
      <c r="I37">
        <v>3.25</v>
      </c>
      <c r="J37">
        <v>3.64</v>
      </c>
    </row>
    <row r="38" spans="1:10" x14ac:dyDescent="0.2">
      <c r="A38" s="11">
        <v>44531</v>
      </c>
      <c r="B38">
        <v>16.88</v>
      </c>
      <c r="C38">
        <v>22.95</v>
      </c>
      <c r="D38">
        <v>12.3</v>
      </c>
      <c r="E38">
        <v>11.65</v>
      </c>
      <c r="F38">
        <v>4.83</v>
      </c>
      <c r="G38">
        <v>12.34</v>
      </c>
      <c r="H38">
        <v>3.95</v>
      </c>
      <c r="I38">
        <v>3.77</v>
      </c>
      <c r="J38">
        <v>4.57</v>
      </c>
    </row>
    <row r="39" spans="1:10" x14ac:dyDescent="0.2">
      <c r="A39" s="11">
        <v>44562</v>
      </c>
      <c r="B39">
        <v>13.89</v>
      </c>
      <c r="C39">
        <v>18.18</v>
      </c>
      <c r="D39">
        <v>10.72</v>
      </c>
      <c r="E39">
        <v>12.72</v>
      </c>
      <c r="F39">
        <v>4.3600000000000003</v>
      </c>
      <c r="G39">
        <v>11.32</v>
      </c>
      <c r="H39">
        <v>3.73</v>
      </c>
      <c r="I39">
        <v>3.39</v>
      </c>
      <c r="J39">
        <v>4.58</v>
      </c>
    </row>
    <row r="40" spans="1:10" x14ac:dyDescent="0.2">
      <c r="A40" s="11">
        <v>44593</v>
      </c>
      <c r="B40">
        <v>14.01</v>
      </c>
      <c r="C40">
        <v>17.86</v>
      </c>
      <c r="D40">
        <v>11.45</v>
      </c>
      <c r="E40">
        <v>11.68</v>
      </c>
      <c r="F40">
        <v>0.36</v>
      </c>
      <c r="G40">
        <v>11.31</v>
      </c>
      <c r="H40">
        <v>3.65</v>
      </c>
      <c r="I40">
        <v>3.61</v>
      </c>
      <c r="J40">
        <v>3.5</v>
      </c>
    </row>
    <row r="41" spans="1:10" x14ac:dyDescent="0.2">
      <c r="A41" s="11">
        <v>44621</v>
      </c>
      <c r="B41">
        <v>12.95</v>
      </c>
      <c r="C41">
        <v>15.75</v>
      </c>
      <c r="D41">
        <v>11.26</v>
      </c>
      <c r="E41">
        <v>8.15</v>
      </c>
      <c r="F41">
        <v>-2.93</v>
      </c>
      <c r="G41">
        <v>12.21</v>
      </c>
      <c r="H41">
        <v>3.64</v>
      </c>
      <c r="I41">
        <v>3.23</v>
      </c>
      <c r="J41">
        <v>4.5599999999999996</v>
      </c>
    </row>
    <row r="42" spans="1:10" x14ac:dyDescent="0.2">
      <c r="A42" s="11">
        <v>44652</v>
      </c>
      <c r="B42">
        <v>13.29</v>
      </c>
      <c r="C42">
        <v>16.2</v>
      </c>
      <c r="D42">
        <v>11.21</v>
      </c>
      <c r="E42">
        <v>9.19</v>
      </c>
      <c r="F42">
        <v>-2.52</v>
      </c>
      <c r="G42">
        <v>12.05</v>
      </c>
      <c r="H42">
        <v>4.42</v>
      </c>
      <c r="I42">
        <v>4.38</v>
      </c>
      <c r="J42">
        <v>4.32</v>
      </c>
    </row>
    <row r="43" spans="1:10" x14ac:dyDescent="0.2">
      <c r="A43" s="11">
        <v>44682</v>
      </c>
      <c r="B43">
        <v>15.56</v>
      </c>
      <c r="C43">
        <v>18.989999999999998</v>
      </c>
      <c r="D43">
        <v>13.66</v>
      </c>
      <c r="E43">
        <v>8.7200000000000006</v>
      </c>
      <c r="F43">
        <v>-2.9</v>
      </c>
      <c r="G43">
        <v>10.74</v>
      </c>
      <c r="H43">
        <v>4.8600000000000003</v>
      </c>
      <c r="I43">
        <v>4.1500000000000004</v>
      </c>
      <c r="J43">
        <v>6.82</v>
      </c>
    </row>
    <row r="44" spans="1:10" x14ac:dyDescent="0.2">
      <c r="A44" s="11">
        <v>44713</v>
      </c>
      <c r="B44">
        <v>15.11</v>
      </c>
      <c r="C44">
        <v>19.309999999999999</v>
      </c>
      <c r="D44">
        <v>11.94</v>
      </c>
      <c r="E44">
        <v>8.68</v>
      </c>
      <c r="F44">
        <v>-4.68</v>
      </c>
      <c r="G44">
        <v>10.47</v>
      </c>
      <c r="H44">
        <v>3.9</v>
      </c>
      <c r="I44">
        <v>3.42</v>
      </c>
      <c r="J44">
        <v>5.0999999999999996</v>
      </c>
    </row>
    <row r="45" spans="1:10" x14ac:dyDescent="0.2">
      <c r="A45" s="11">
        <v>44743</v>
      </c>
      <c r="B45">
        <v>12.61</v>
      </c>
      <c r="C45">
        <v>15.83</v>
      </c>
      <c r="D45">
        <v>9.83</v>
      </c>
      <c r="E45">
        <v>7.46</v>
      </c>
      <c r="F45">
        <v>-4.1500000000000004</v>
      </c>
      <c r="G45">
        <v>10.029999999999999</v>
      </c>
      <c r="H45">
        <v>4.2300000000000004</v>
      </c>
      <c r="I45">
        <v>4.05</v>
      </c>
      <c r="J45">
        <v>4.79</v>
      </c>
    </row>
    <row r="46" spans="1:10" x14ac:dyDescent="0.2">
      <c r="A46" s="11">
        <v>44774</v>
      </c>
      <c r="B46">
        <v>10.48</v>
      </c>
      <c r="C46">
        <v>12.46</v>
      </c>
      <c r="D46">
        <v>8.6300000000000008</v>
      </c>
      <c r="E46">
        <v>8.2899999999999991</v>
      </c>
      <c r="F46">
        <v>-3.94</v>
      </c>
      <c r="G46">
        <v>8.25</v>
      </c>
      <c r="H46">
        <v>5.14</v>
      </c>
      <c r="I46">
        <v>4.74</v>
      </c>
      <c r="J46">
        <v>6.05</v>
      </c>
    </row>
    <row r="47" spans="1:10" x14ac:dyDescent="0.2">
      <c r="A47" s="11">
        <v>44805</v>
      </c>
      <c r="B47">
        <v>8.4</v>
      </c>
      <c r="C47">
        <v>9.0399999999999991</v>
      </c>
      <c r="D47">
        <v>8.34</v>
      </c>
      <c r="E47">
        <v>7.3</v>
      </c>
      <c r="F47">
        <v>-3.94</v>
      </c>
      <c r="G47">
        <v>4.74</v>
      </c>
      <c r="H47">
        <v>3.75</v>
      </c>
      <c r="I47">
        <v>2.92</v>
      </c>
      <c r="J47">
        <v>6.14</v>
      </c>
    </row>
    <row r="48" spans="1:10" x14ac:dyDescent="0.2">
      <c r="A48" s="11">
        <v>44835</v>
      </c>
      <c r="B48">
        <v>5.71</v>
      </c>
      <c r="C48">
        <v>3.86</v>
      </c>
      <c r="D48">
        <v>8.91</v>
      </c>
      <c r="E48">
        <v>6.77</v>
      </c>
      <c r="F48">
        <v>-8.06</v>
      </c>
      <c r="G48">
        <v>2.0299999999999998</v>
      </c>
      <c r="H48">
        <v>3.54</v>
      </c>
      <c r="I48">
        <v>3.5</v>
      </c>
      <c r="J48">
        <v>3.72</v>
      </c>
    </row>
    <row r="49" spans="1:10" x14ac:dyDescent="0.2">
      <c r="A49" s="11">
        <v>44866</v>
      </c>
      <c r="B49">
        <v>0.8</v>
      </c>
      <c r="C49">
        <v>-4.5199999999999996</v>
      </c>
      <c r="D49">
        <v>7.64</v>
      </c>
      <c r="E49">
        <v>2.44</v>
      </c>
      <c r="F49">
        <v>-11.23</v>
      </c>
      <c r="G49">
        <v>1.72</v>
      </c>
      <c r="H49">
        <v>4.0199999999999996</v>
      </c>
      <c r="I49">
        <v>4.0599999999999996</v>
      </c>
      <c r="J49">
        <v>3.92</v>
      </c>
    </row>
    <row r="50" spans="1:10" x14ac:dyDescent="0.2">
      <c r="A50" s="11">
        <v>44896</v>
      </c>
      <c r="B50">
        <v>-1.1499999999999999</v>
      </c>
      <c r="C50">
        <v>-6.82</v>
      </c>
      <c r="D50">
        <v>5.81</v>
      </c>
      <c r="E50">
        <v>-1.02</v>
      </c>
      <c r="F50">
        <v>-9.2200000000000006</v>
      </c>
      <c r="G50">
        <v>2.0099999999999998</v>
      </c>
      <c r="H50">
        <v>3.39</v>
      </c>
      <c r="I50">
        <v>3.77</v>
      </c>
      <c r="J50">
        <v>2.29</v>
      </c>
    </row>
    <row r="51" spans="1:10" x14ac:dyDescent="0.2">
      <c r="A51" s="11">
        <v>44927</v>
      </c>
      <c r="B51">
        <v>-2.21</v>
      </c>
      <c r="C51">
        <v>-8.43</v>
      </c>
      <c r="D51">
        <v>6.01</v>
      </c>
      <c r="E51">
        <v>-4.68</v>
      </c>
      <c r="F51">
        <v>-10.86</v>
      </c>
      <c r="G51">
        <v>0.31</v>
      </c>
      <c r="H51">
        <v>3.04</v>
      </c>
      <c r="I51">
        <v>3.21</v>
      </c>
      <c r="J51">
        <v>2.7</v>
      </c>
    </row>
    <row r="52" spans="1:10" x14ac:dyDescent="0.2">
      <c r="A52" s="11">
        <v>44958</v>
      </c>
      <c r="B52">
        <v>-3.65</v>
      </c>
      <c r="C52">
        <v>-10.220000000000001</v>
      </c>
      <c r="D52">
        <v>4.9400000000000004</v>
      </c>
      <c r="E52">
        <v>-5.38</v>
      </c>
      <c r="F52">
        <v>-11.04</v>
      </c>
      <c r="G52">
        <v>-0.38</v>
      </c>
      <c r="H52">
        <v>3.46</v>
      </c>
      <c r="I52">
        <v>3.41</v>
      </c>
      <c r="J52">
        <v>3.65</v>
      </c>
    </row>
    <row r="53" spans="1:10" x14ac:dyDescent="0.2">
      <c r="A53" s="11">
        <v>44986</v>
      </c>
      <c r="B53">
        <v>-4.93</v>
      </c>
      <c r="C53">
        <v>-11.52</v>
      </c>
      <c r="D53">
        <v>3.5</v>
      </c>
      <c r="E53">
        <v>-4.12</v>
      </c>
      <c r="F53">
        <v>-10.71</v>
      </c>
      <c r="G53">
        <v>-3.33</v>
      </c>
      <c r="H53">
        <v>3.38</v>
      </c>
      <c r="I53">
        <v>3.27</v>
      </c>
      <c r="J53">
        <v>3.63</v>
      </c>
    </row>
    <row r="54" spans="1:10" x14ac:dyDescent="0.2">
      <c r="A54" s="11">
        <v>45017</v>
      </c>
      <c r="B54">
        <v>-5.9</v>
      </c>
      <c r="C54">
        <v>-12.3</v>
      </c>
      <c r="D54">
        <v>2.89</v>
      </c>
      <c r="E54">
        <v>-7.89</v>
      </c>
      <c r="F54">
        <v>-14.01</v>
      </c>
      <c r="G54">
        <v>-3.21</v>
      </c>
      <c r="H54">
        <v>2.0499999999999998</v>
      </c>
      <c r="I54">
        <v>2.13</v>
      </c>
      <c r="J54">
        <v>1.67</v>
      </c>
    </row>
    <row r="55" spans="1:10" x14ac:dyDescent="0.2">
      <c r="A55" s="11">
        <v>45047</v>
      </c>
      <c r="B55">
        <v>-8.48</v>
      </c>
      <c r="C55">
        <v>-15.33</v>
      </c>
      <c r="D55">
        <v>0.13</v>
      </c>
      <c r="E55">
        <v>-9.07</v>
      </c>
      <c r="F55">
        <v>-16.25</v>
      </c>
      <c r="G55">
        <v>-3.55</v>
      </c>
      <c r="H55">
        <v>2.25</v>
      </c>
      <c r="I55">
        <v>2.06</v>
      </c>
      <c r="J55">
        <v>2.73</v>
      </c>
    </row>
    <row r="56" spans="1:10" x14ac:dyDescent="0.2">
      <c r="A56" s="11">
        <v>45078</v>
      </c>
      <c r="B56">
        <v>-9.7100000000000009</v>
      </c>
      <c r="C56">
        <v>-16.940000000000001</v>
      </c>
      <c r="D56">
        <v>-0.82</v>
      </c>
      <c r="E56">
        <v>-9.57</v>
      </c>
      <c r="F56">
        <v>-14.36</v>
      </c>
      <c r="G56">
        <v>-3.93</v>
      </c>
      <c r="H56">
        <v>2.04</v>
      </c>
      <c r="I56">
        <v>2.27</v>
      </c>
      <c r="J56">
        <v>1.59</v>
      </c>
    </row>
    <row r="57" spans="1:10" x14ac:dyDescent="0.2">
      <c r="A57" s="11">
        <v>45108</v>
      </c>
      <c r="B57">
        <v>-9.1</v>
      </c>
      <c r="C57">
        <v>-15.37</v>
      </c>
      <c r="D57">
        <v>-1.44</v>
      </c>
      <c r="E57">
        <v>-10.029999999999999</v>
      </c>
      <c r="F57">
        <v>-13.37</v>
      </c>
      <c r="G57">
        <v>-6.03</v>
      </c>
      <c r="H57">
        <v>1.62</v>
      </c>
      <c r="I57">
        <v>1.0900000000000001</v>
      </c>
      <c r="J57">
        <v>3.18</v>
      </c>
    </row>
    <row r="58" spans="1:10" x14ac:dyDescent="0.2">
      <c r="A58" s="11">
        <v>45139</v>
      </c>
      <c r="B58">
        <v>-8.4600000000000009</v>
      </c>
      <c r="C58">
        <v>-13.81</v>
      </c>
      <c r="D58">
        <v>-1.81</v>
      </c>
      <c r="E58">
        <v>-10.86</v>
      </c>
      <c r="F58">
        <v>-11.93</v>
      </c>
      <c r="G58">
        <v>-7.02</v>
      </c>
      <c r="H58">
        <v>0.87</v>
      </c>
      <c r="I58">
        <v>0.68</v>
      </c>
      <c r="J58">
        <v>1.51</v>
      </c>
    </row>
    <row r="59" spans="1:10" x14ac:dyDescent="0.2">
      <c r="A59" s="11">
        <v>45170</v>
      </c>
      <c r="B59">
        <v>-7.06</v>
      </c>
      <c r="C59">
        <v>-11.96</v>
      </c>
      <c r="D59">
        <v>-0.82</v>
      </c>
      <c r="E59">
        <v>-10.99</v>
      </c>
      <c r="F59">
        <v>-13.49</v>
      </c>
      <c r="G59">
        <v>-5.51</v>
      </c>
      <c r="H59">
        <v>0.8</v>
      </c>
      <c r="I59">
        <v>0.41</v>
      </c>
      <c r="J59">
        <v>1.62</v>
      </c>
    </row>
    <row r="60" spans="1:10" x14ac:dyDescent="0.2">
      <c r="A60" s="11">
        <v>45200</v>
      </c>
      <c r="B60">
        <v>-5.47</v>
      </c>
      <c r="C60">
        <v>-8.7100000000000009</v>
      </c>
      <c r="D60">
        <v>-2.06</v>
      </c>
      <c r="E60">
        <v>-8.68</v>
      </c>
      <c r="F60">
        <v>-12.04</v>
      </c>
      <c r="G60">
        <v>0.46</v>
      </c>
      <c r="H60">
        <v>1.81</v>
      </c>
      <c r="I60">
        <v>1.08</v>
      </c>
      <c r="J60">
        <v>3.46</v>
      </c>
    </row>
    <row r="61" spans="1:10" x14ac:dyDescent="0.2">
      <c r="A61" s="11">
        <v>45231</v>
      </c>
      <c r="B61">
        <v>-3.59</v>
      </c>
      <c r="C61">
        <v>-5.21</v>
      </c>
      <c r="D61">
        <v>-1.76</v>
      </c>
      <c r="E61">
        <v>-9.08</v>
      </c>
      <c r="F61">
        <v>-9.6199999999999992</v>
      </c>
      <c r="G61">
        <v>0.61</v>
      </c>
      <c r="H61">
        <v>0.93</v>
      </c>
      <c r="I61">
        <v>0.13</v>
      </c>
      <c r="J61">
        <v>2.99</v>
      </c>
    </row>
    <row r="62" spans="1:10" x14ac:dyDescent="0.2">
      <c r="A62" s="11">
        <v>45261</v>
      </c>
      <c r="B62">
        <v>-2.83</v>
      </c>
      <c r="C62">
        <v>-4.51</v>
      </c>
      <c r="D62">
        <v>-1.07</v>
      </c>
      <c r="E62">
        <v>-5.15</v>
      </c>
      <c r="F62">
        <v>-9.82</v>
      </c>
      <c r="G62">
        <v>-1.1399999999999999</v>
      </c>
      <c r="H62">
        <v>1.54</v>
      </c>
      <c r="I62">
        <v>0.27</v>
      </c>
      <c r="J62">
        <v>5.0599999999999996</v>
      </c>
    </row>
    <row r="63" spans="1:10" x14ac:dyDescent="0.2">
      <c r="A63" s="11">
        <v>45292</v>
      </c>
      <c r="B63">
        <v>-2.2599999999999998</v>
      </c>
      <c r="C63">
        <v>-4.12</v>
      </c>
      <c r="D63">
        <v>-0.5</v>
      </c>
      <c r="E63">
        <v>-4.99</v>
      </c>
      <c r="F63">
        <v>-7.97</v>
      </c>
      <c r="G63">
        <v>1.24</v>
      </c>
      <c r="H63">
        <v>1.21</v>
      </c>
      <c r="I63">
        <v>0.41</v>
      </c>
      <c r="J63">
        <v>3.41</v>
      </c>
    </row>
    <row r="64" spans="1:10" x14ac:dyDescent="0.2">
      <c r="A64" s="11">
        <v>45323</v>
      </c>
      <c r="B64">
        <v>-1.9</v>
      </c>
      <c r="C64">
        <v>-3.39</v>
      </c>
      <c r="D64">
        <v>-0.88</v>
      </c>
      <c r="E64">
        <v>-2.44</v>
      </c>
      <c r="F64">
        <v>-6.51</v>
      </c>
      <c r="G64">
        <v>-0.38</v>
      </c>
      <c r="H64">
        <v>1.47</v>
      </c>
      <c r="I64">
        <v>0.47</v>
      </c>
      <c r="J64">
        <v>4.18</v>
      </c>
    </row>
    <row r="65" spans="1:10" x14ac:dyDescent="0.2">
      <c r="A65" s="11">
        <v>45352</v>
      </c>
      <c r="B65">
        <v>-1.68</v>
      </c>
      <c r="C65">
        <v>-2.36</v>
      </c>
      <c r="D65">
        <v>-1.88</v>
      </c>
      <c r="E65">
        <v>-2.19</v>
      </c>
      <c r="F65">
        <v>-5.17</v>
      </c>
      <c r="G65">
        <v>2.58</v>
      </c>
      <c r="H65">
        <v>0.87</v>
      </c>
      <c r="I65">
        <v>0.13</v>
      </c>
      <c r="J65">
        <v>2.59</v>
      </c>
    </row>
    <row r="66" spans="1:10" x14ac:dyDescent="0.2">
      <c r="A66" t="s">
        <v>285</v>
      </c>
      <c r="B66" t="s">
        <v>1269</v>
      </c>
      <c r="C66" t="s">
        <v>1269</v>
      </c>
      <c r="D66" t="s">
        <v>1269</v>
      </c>
      <c r="E66" t="s">
        <v>1269</v>
      </c>
      <c r="F66" t="s">
        <v>1269</v>
      </c>
      <c r="G66" t="s">
        <v>1269</v>
      </c>
    </row>
    <row r="67" spans="1:10" x14ac:dyDescent="0.2">
      <c r="A67" t="s">
        <v>123</v>
      </c>
      <c r="B67">
        <v>-0.18</v>
      </c>
      <c r="C67">
        <v>-2.44</v>
      </c>
      <c r="D67">
        <v>2.21</v>
      </c>
      <c r="E67">
        <v>1.48</v>
      </c>
      <c r="F67">
        <v>3.2</v>
      </c>
      <c r="G67">
        <v>-1.21</v>
      </c>
    </row>
    <row r="68" spans="1:10" x14ac:dyDescent="0.2">
      <c r="A68" t="s">
        <v>8</v>
      </c>
      <c r="B68">
        <v>-0.1</v>
      </c>
      <c r="C68">
        <v>-1.24</v>
      </c>
      <c r="D68">
        <v>1.2</v>
      </c>
      <c r="E68">
        <v>0.54</v>
      </c>
      <c r="F68">
        <v>8.74</v>
      </c>
      <c r="G68">
        <v>-0.42</v>
      </c>
    </row>
    <row r="69" spans="1:10" x14ac:dyDescent="0.2">
      <c r="A69" t="s">
        <v>9</v>
      </c>
      <c r="B69">
        <v>14.94</v>
      </c>
      <c r="C69">
        <v>20.25</v>
      </c>
      <c r="D69">
        <v>11.48</v>
      </c>
      <c r="E69">
        <v>9.01</v>
      </c>
      <c r="F69">
        <v>8.26</v>
      </c>
      <c r="G69">
        <v>8.5</v>
      </c>
    </row>
    <row r="70" spans="1:10" x14ac:dyDescent="0.2">
      <c r="A70" t="s">
        <v>11</v>
      </c>
      <c r="B70">
        <v>5.55</v>
      </c>
      <c r="C70">
        <v>3.91</v>
      </c>
      <c r="D70">
        <v>8.2899999999999991</v>
      </c>
      <c r="E70">
        <v>3.51</v>
      </c>
      <c r="F70">
        <v>-6.91</v>
      </c>
      <c r="G70">
        <v>4.74</v>
      </c>
    </row>
    <row r="71" spans="1:10" x14ac:dyDescent="0.2">
      <c r="A71" t="s">
        <v>1270</v>
      </c>
      <c r="B71">
        <v>-5.63</v>
      </c>
      <c r="C71">
        <v>-9.81</v>
      </c>
      <c r="D71">
        <v>-0.84</v>
      </c>
      <c r="E71">
        <v>-7.67</v>
      </c>
      <c r="F71">
        <v>-11.36</v>
      </c>
      <c r="G71">
        <v>-2.21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32FA-D2AF-7F4E-B036-085519531C1C}">
  <dimension ref="A1:AE71"/>
  <sheetViews>
    <sheetView topLeftCell="A50" workbookViewId="0">
      <selection activeCell="E73" sqref="E73"/>
    </sheetView>
  </sheetViews>
  <sheetFormatPr baseColWidth="10" defaultRowHeight="16" x14ac:dyDescent="0.2"/>
  <sheetData>
    <row r="1" spans="1:31" x14ac:dyDescent="0.2">
      <c r="A1" t="s">
        <v>1238</v>
      </c>
    </row>
    <row r="2" spans="1:31" x14ac:dyDescent="0.2">
      <c r="A2" t="s">
        <v>55</v>
      </c>
      <c r="B2" t="s">
        <v>55</v>
      </c>
      <c r="C2" t="s">
        <v>47</v>
      </c>
      <c r="D2" t="s">
        <v>1239</v>
      </c>
      <c r="E2" t="s">
        <v>1240</v>
      </c>
      <c r="F2" t="s">
        <v>1241</v>
      </c>
      <c r="G2" t="s">
        <v>1242</v>
      </c>
      <c r="H2" t="s">
        <v>1243</v>
      </c>
      <c r="I2" t="s">
        <v>1244</v>
      </c>
      <c r="J2" t="s">
        <v>1245</v>
      </c>
      <c r="K2" t="s">
        <v>1246</v>
      </c>
      <c r="L2" t="s">
        <v>1247</v>
      </c>
      <c r="M2" t="s">
        <v>1248</v>
      </c>
      <c r="N2" t="s">
        <v>1249</v>
      </c>
      <c r="O2" t="s">
        <v>1250</v>
      </c>
      <c r="P2" t="s">
        <v>1251</v>
      </c>
      <c r="Q2" t="s">
        <v>1252</v>
      </c>
      <c r="R2" t="s">
        <v>1253</v>
      </c>
      <c r="S2" t="s">
        <v>1254</v>
      </c>
      <c r="T2" t="s">
        <v>1255</v>
      </c>
      <c r="U2" t="s">
        <v>1256</v>
      </c>
      <c r="V2" t="s">
        <v>1257</v>
      </c>
      <c r="W2" t="s">
        <v>1258</v>
      </c>
      <c r="X2" t="s">
        <v>1259</v>
      </c>
      <c r="Y2" t="s">
        <v>1260</v>
      </c>
      <c r="Z2" t="s">
        <v>47</v>
      </c>
      <c r="AA2" t="s">
        <v>1261</v>
      </c>
      <c r="AB2" t="s">
        <v>1262</v>
      </c>
      <c r="AC2" t="s">
        <v>1263</v>
      </c>
      <c r="AD2" t="s">
        <v>1264</v>
      </c>
      <c r="AE2" t="s">
        <v>1265</v>
      </c>
    </row>
    <row r="3" spans="1:31" x14ac:dyDescent="0.2">
      <c r="A3" t="s">
        <v>284</v>
      </c>
      <c r="B3">
        <v>6.53</v>
      </c>
      <c r="C3">
        <v>5.58</v>
      </c>
      <c r="D3">
        <v>7.4649999999999994E-2</v>
      </c>
      <c r="E3">
        <v>0.89661000000000002</v>
      </c>
      <c r="F3">
        <v>8.2299999999999998E-2</v>
      </c>
      <c r="G3">
        <v>0.11463</v>
      </c>
      <c r="H3">
        <v>5.5300000000000002E-2</v>
      </c>
      <c r="I3">
        <v>0.56645999999999996</v>
      </c>
      <c r="J3">
        <v>0.55364999999999998</v>
      </c>
      <c r="K3">
        <v>0.49076999999999998</v>
      </c>
      <c r="L3">
        <v>0.22295000000000001</v>
      </c>
      <c r="M3">
        <v>0.15121999999999999</v>
      </c>
      <c r="N3">
        <v>0.16969999999999999</v>
      </c>
      <c r="O3">
        <v>0.1353</v>
      </c>
      <c r="P3">
        <v>0.19627</v>
      </c>
      <c r="Q3">
        <v>2.9E-4</v>
      </c>
      <c r="R3">
        <v>0.67661000000000004</v>
      </c>
      <c r="S3">
        <v>0.42346</v>
      </c>
      <c r="T3">
        <v>5.151E-2</v>
      </c>
      <c r="U3">
        <v>1.268E-2</v>
      </c>
      <c r="V3">
        <v>0.17774999999999999</v>
      </c>
      <c r="W3">
        <v>1.145E-2</v>
      </c>
      <c r="X3">
        <v>0.12458</v>
      </c>
      <c r="Y3">
        <v>0.38901000000000002</v>
      </c>
      <c r="Z3">
        <v>0.95</v>
      </c>
      <c r="AA3">
        <v>0.20891000000000001</v>
      </c>
      <c r="AB3">
        <v>0.18209</v>
      </c>
      <c r="AC3">
        <v>7.5410000000000005E-2</v>
      </c>
      <c r="AD3">
        <v>0.31247999999999998</v>
      </c>
      <c r="AE3">
        <v>0.17108000000000001</v>
      </c>
    </row>
    <row r="4" spans="1:31" x14ac:dyDescent="0.2">
      <c r="A4" t="s">
        <v>1266</v>
      </c>
    </row>
    <row r="5" spans="1:31" x14ac:dyDescent="0.2">
      <c r="A5" t="s">
        <v>271</v>
      </c>
      <c r="B5" t="s">
        <v>47</v>
      </c>
      <c r="C5" t="s">
        <v>1267</v>
      </c>
      <c r="D5" t="s">
        <v>1267</v>
      </c>
      <c r="E5" t="s">
        <v>1267</v>
      </c>
      <c r="F5" t="s">
        <v>1267</v>
      </c>
      <c r="G5" t="s">
        <v>1267</v>
      </c>
      <c r="H5" t="s">
        <v>1267</v>
      </c>
      <c r="I5" t="s">
        <v>1267</v>
      </c>
      <c r="J5" t="s">
        <v>1267</v>
      </c>
      <c r="K5" t="s">
        <v>1267</v>
      </c>
      <c r="L5" t="s">
        <v>1267</v>
      </c>
      <c r="M5" t="s">
        <v>1267</v>
      </c>
      <c r="N5" t="s">
        <v>1267</v>
      </c>
      <c r="O5" t="s">
        <v>1267</v>
      </c>
      <c r="P5" t="s">
        <v>1267</v>
      </c>
      <c r="Q5" t="s">
        <v>1267</v>
      </c>
      <c r="R5" t="s">
        <v>1267</v>
      </c>
      <c r="S5" t="s">
        <v>1267</v>
      </c>
      <c r="T5" t="s">
        <v>1267</v>
      </c>
      <c r="U5" t="s">
        <v>1267</v>
      </c>
      <c r="V5" t="s">
        <v>1267</v>
      </c>
      <c r="W5" t="s">
        <v>1267</v>
      </c>
      <c r="X5" t="s">
        <v>1267</v>
      </c>
      <c r="Y5" t="s">
        <v>1267</v>
      </c>
      <c r="Z5" t="s">
        <v>1268</v>
      </c>
      <c r="AA5" t="s">
        <v>1268</v>
      </c>
      <c r="AB5" t="s">
        <v>1268</v>
      </c>
      <c r="AC5" t="s">
        <v>1268</v>
      </c>
      <c r="AD5" t="s">
        <v>1268</v>
      </c>
      <c r="AE5" t="s">
        <v>1268</v>
      </c>
    </row>
    <row r="6" spans="1:31" x14ac:dyDescent="0.2">
      <c r="A6" s="11">
        <v>43556</v>
      </c>
      <c r="B6">
        <v>2.0099999999999998</v>
      </c>
      <c r="C6">
        <v>1.93</v>
      </c>
      <c r="D6">
        <v>1.21</v>
      </c>
      <c r="E6">
        <v>2.27</v>
      </c>
      <c r="F6">
        <v>2.2000000000000002</v>
      </c>
      <c r="G6">
        <v>-2.54</v>
      </c>
      <c r="H6">
        <v>2.98</v>
      </c>
      <c r="I6">
        <v>0.95</v>
      </c>
      <c r="J6">
        <v>4.47</v>
      </c>
      <c r="K6">
        <v>-1.47</v>
      </c>
      <c r="L6">
        <v>2.19</v>
      </c>
      <c r="M6">
        <v>2.75</v>
      </c>
      <c r="N6">
        <v>0.56000000000000005</v>
      </c>
      <c r="O6">
        <v>0.98</v>
      </c>
      <c r="P6">
        <v>1.44</v>
      </c>
      <c r="Q6">
        <v>6.41</v>
      </c>
      <c r="R6">
        <v>1.84</v>
      </c>
      <c r="S6">
        <v>4.9000000000000004</v>
      </c>
      <c r="T6">
        <v>5.16</v>
      </c>
      <c r="U6">
        <v>11.36</v>
      </c>
      <c r="V6">
        <v>-0.28000000000000003</v>
      </c>
      <c r="W6">
        <v>11.56</v>
      </c>
      <c r="X6">
        <v>3.88</v>
      </c>
      <c r="Y6">
        <v>1.87</v>
      </c>
      <c r="Z6">
        <v>2.4900000000000002</v>
      </c>
      <c r="AA6">
        <v>3.31</v>
      </c>
      <c r="AB6">
        <v>1.9</v>
      </c>
      <c r="AC6">
        <v>7.99</v>
      </c>
      <c r="AD6">
        <v>-0.14000000000000001</v>
      </c>
      <c r="AE6">
        <v>4.71</v>
      </c>
    </row>
    <row r="7" spans="1:31" x14ac:dyDescent="0.2">
      <c r="A7" s="11">
        <v>43586</v>
      </c>
      <c r="B7">
        <v>1.8</v>
      </c>
      <c r="C7">
        <v>1.64</v>
      </c>
      <c r="D7">
        <v>0.8</v>
      </c>
      <c r="E7">
        <v>1.7</v>
      </c>
      <c r="F7">
        <v>1.44</v>
      </c>
      <c r="G7">
        <v>-2.81</v>
      </c>
      <c r="H7">
        <v>2.54</v>
      </c>
      <c r="I7">
        <v>0.68</v>
      </c>
      <c r="J7">
        <v>4.4000000000000004</v>
      </c>
      <c r="K7">
        <v>-1.74</v>
      </c>
      <c r="L7">
        <v>2.04</v>
      </c>
      <c r="M7">
        <v>2.94</v>
      </c>
      <c r="N7">
        <v>-0.34</v>
      </c>
      <c r="O7">
        <v>0.28000000000000003</v>
      </c>
      <c r="P7">
        <v>3.9</v>
      </c>
      <c r="Q7">
        <v>11.88</v>
      </c>
      <c r="R7">
        <v>1.76</v>
      </c>
      <c r="S7">
        <v>4.45</v>
      </c>
      <c r="T7">
        <v>4.55</v>
      </c>
      <c r="U7">
        <v>8.3800000000000008</v>
      </c>
      <c r="V7">
        <v>-0.9</v>
      </c>
      <c r="W7">
        <v>8.84</v>
      </c>
      <c r="X7">
        <v>3.12</v>
      </c>
      <c r="Y7">
        <v>1.98</v>
      </c>
      <c r="Z7">
        <v>2.1800000000000002</v>
      </c>
      <c r="AA7">
        <v>2.86</v>
      </c>
      <c r="AB7">
        <v>1.45</v>
      </c>
      <c r="AC7">
        <v>8.1</v>
      </c>
      <c r="AD7">
        <v>-0.42</v>
      </c>
      <c r="AE7">
        <v>4.46</v>
      </c>
    </row>
    <row r="8" spans="1:31" x14ac:dyDescent="0.2">
      <c r="A8" s="11">
        <v>43617</v>
      </c>
      <c r="B8">
        <v>1.52</v>
      </c>
      <c r="C8">
        <v>1.5</v>
      </c>
      <c r="D8">
        <v>0.94</v>
      </c>
      <c r="E8">
        <v>1.49</v>
      </c>
      <c r="F8">
        <v>1.0900000000000001</v>
      </c>
      <c r="G8">
        <v>-3.47</v>
      </c>
      <c r="H8">
        <v>2.3199999999999998</v>
      </c>
      <c r="I8">
        <v>0.47</v>
      </c>
      <c r="J8">
        <v>3.87</v>
      </c>
      <c r="K8">
        <v>-1.6</v>
      </c>
      <c r="L8">
        <v>1.62</v>
      </c>
      <c r="M8">
        <v>2.4700000000000002</v>
      </c>
      <c r="N8">
        <v>-0.55000000000000004</v>
      </c>
      <c r="O8">
        <v>-0.21</v>
      </c>
      <c r="P8">
        <v>4.88</v>
      </c>
      <c r="Q8">
        <v>11.6</v>
      </c>
      <c r="R8">
        <v>1.69</v>
      </c>
      <c r="S8">
        <v>4.08</v>
      </c>
      <c r="T8">
        <v>4.6900000000000004</v>
      </c>
      <c r="U8">
        <v>7.35</v>
      </c>
      <c r="V8">
        <v>-0.76</v>
      </c>
      <c r="W8">
        <v>7.95</v>
      </c>
      <c r="X8">
        <v>3.17</v>
      </c>
      <c r="Y8">
        <v>1.67</v>
      </c>
      <c r="Z8">
        <v>1.67</v>
      </c>
      <c r="AA8">
        <v>2.5499999999999998</v>
      </c>
      <c r="AB8">
        <v>1.1599999999999999</v>
      </c>
      <c r="AC8">
        <v>6.98</v>
      </c>
      <c r="AD8">
        <v>-0.98</v>
      </c>
      <c r="AE8">
        <v>3.91</v>
      </c>
    </row>
    <row r="9" spans="1:31" x14ac:dyDescent="0.2">
      <c r="A9" s="11">
        <v>43647</v>
      </c>
      <c r="B9">
        <v>1.37</v>
      </c>
      <c r="C9">
        <v>1.43</v>
      </c>
      <c r="D9">
        <v>1</v>
      </c>
      <c r="E9">
        <v>1.69</v>
      </c>
      <c r="F9">
        <v>1.36</v>
      </c>
      <c r="G9">
        <v>-3.34</v>
      </c>
      <c r="H9">
        <v>2.61</v>
      </c>
      <c r="I9">
        <v>0.47</v>
      </c>
      <c r="J9">
        <v>4.25</v>
      </c>
      <c r="K9">
        <v>-1.6</v>
      </c>
      <c r="L9">
        <v>1.33</v>
      </c>
      <c r="M9">
        <v>2.27</v>
      </c>
      <c r="N9">
        <v>-1.1599999999999999</v>
      </c>
      <c r="O9">
        <v>-0.96</v>
      </c>
      <c r="P9">
        <v>3.64</v>
      </c>
      <c r="Q9">
        <v>8.6999999999999993</v>
      </c>
      <c r="R9">
        <v>1.35</v>
      </c>
      <c r="S9">
        <v>3.78</v>
      </c>
      <c r="T9">
        <v>4.1500000000000004</v>
      </c>
      <c r="U9">
        <v>4.8600000000000003</v>
      </c>
      <c r="V9">
        <v>-1.03</v>
      </c>
      <c r="W9">
        <v>9.58</v>
      </c>
      <c r="X9">
        <v>3.22</v>
      </c>
      <c r="Y9">
        <v>1.43</v>
      </c>
      <c r="Z9">
        <v>1.52</v>
      </c>
      <c r="AA9">
        <v>2.1</v>
      </c>
      <c r="AB9">
        <v>0.72</v>
      </c>
      <c r="AC9">
        <v>7.05</v>
      </c>
      <c r="AD9">
        <v>-0.98</v>
      </c>
      <c r="AE9">
        <v>4.1399999999999997</v>
      </c>
    </row>
    <row r="10" spans="1:31" x14ac:dyDescent="0.2">
      <c r="A10" s="11">
        <v>43678</v>
      </c>
      <c r="B10">
        <v>1.23</v>
      </c>
      <c r="C10">
        <v>1.22</v>
      </c>
      <c r="D10">
        <v>0.33</v>
      </c>
      <c r="E10">
        <v>1.42</v>
      </c>
      <c r="F10">
        <v>1.29</v>
      </c>
      <c r="G10">
        <v>-4.37</v>
      </c>
      <c r="H10">
        <v>3.18</v>
      </c>
      <c r="I10">
        <v>0.2</v>
      </c>
      <c r="J10">
        <v>4.01</v>
      </c>
      <c r="K10">
        <v>-1.93</v>
      </c>
      <c r="L10">
        <v>0.91</v>
      </c>
      <c r="M10">
        <v>1.87</v>
      </c>
      <c r="N10">
        <v>-1.49</v>
      </c>
      <c r="O10">
        <v>-1.3</v>
      </c>
      <c r="P10">
        <v>6.72</v>
      </c>
      <c r="Q10">
        <v>10.54</v>
      </c>
      <c r="R10">
        <v>0.94</v>
      </c>
      <c r="S10">
        <v>3.34</v>
      </c>
      <c r="T10">
        <v>3.4</v>
      </c>
      <c r="U10">
        <v>6.5</v>
      </c>
      <c r="V10">
        <v>-1.3</v>
      </c>
      <c r="W10">
        <v>8.64</v>
      </c>
      <c r="X10">
        <v>3.08</v>
      </c>
      <c r="Y10">
        <v>1.3</v>
      </c>
      <c r="Z10">
        <v>1.3</v>
      </c>
      <c r="AA10">
        <v>1.59</v>
      </c>
      <c r="AB10">
        <v>0.36</v>
      </c>
      <c r="AC10">
        <v>6.14</v>
      </c>
      <c r="AD10">
        <v>-0.91</v>
      </c>
      <c r="AE10">
        <v>3.9</v>
      </c>
    </row>
    <row r="11" spans="1:31" x14ac:dyDescent="0.2">
      <c r="A11" s="11">
        <v>43709</v>
      </c>
      <c r="B11">
        <v>0.96</v>
      </c>
      <c r="C11">
        <v>1.02</v>
      </c>
      <c r="D11">
        <v>7.0000000000000007E-2</v>
      </c>
      <c r="E11">
        <v>1.55</v>
      </c>
      <c r="F11">
        <v>1.35</v>
      </c>
      <c r="G11">
        <v>-4.12</v>
      </c>
      <c r="H11">
        <v>2.89</v>
      </c>
      <c r="I11">
        <v>0.34</v>
      </c>
      <c r="J11">
        <v>4.08</v>
      </c>
      <c r="K11">
        <v>-1.72</v>
      </c>
      <c r="L11">
        <v>1.4</v>
      </c>
      <c r="M11">
        <v>2.06</v>
      </c>
      <c r="N11">
        <v>-1.02</v>
      </c>
      <c r="O11">
        <v>-0.82</v>
      </c>
      <c r="P11">
        <v>0.56999999999999995</v>
      </c>
      <c r="Q11">
        <v>11.71</v>
      </c>
      <c r="R11">
        <v>0.67</v>
      </c>
      <c r="S11">
        <v>2.5499999999999998</v>
      </c>
      <c r="T11">
        <v>3.93</v>
      </c>
      <c r="U11">
        <v>8.48</v>
      </c>
      <c r="V11">
        <v>-1.7</v>
      </c>
      <c r="W11">
        <v>8.4</v>
      </c>
      <c r="X11">
        <v>3.37</v>
      </c>
      <c r="Y11">
        <v>1.24</v>
      </c>
      <c r="Z11">
        <v>1.08</v>
      </c>
      <c r="AA11">
        <v>1.23</v>
      </c>
      <c r="AB11">
        <v>0</v>
      </c>
      <c r="AC11">
        <v>5.92</v>
      </c>
      <c r="AD11">
        <v>-1.19</v>
      </c>
      <c r="AE11">
        <v>4.3600000000000003</v>
      </c>
    </row>
    <row r="12" spans="1:31" x14ac:dyDescent="0.2">
      <c r="A12" s="11">
        <v>43739</v>
      </c>
      <c r="B12">
        <v>1.65</v>
      </c>
      <c r="C12">
        <v>1.56</v>
      </c>
      <c r="D12">
        <v>-0.26</v>
      </c>
      <c r="E12">
        <v>2.09</v>
      </c>
      <c r="F12">
        <v>2.23</v>
      </c>
      <c r="G12">
        <v>-2</v>
      </c>
      <c r="H12">
        <v>1.04</v>
      </c>
      <c r="I12">
        <v>1.36</v>
      </c>
      <c r="J12">
        <v>3.15</v>
      </c>
      <c r="K12">
        <v>0.35</v>
      </c>
      <c r="L12">
        <v>1.82</v>
      </c>
      <c r="M12">
        <v>1.67</v>
      </c>
      <c r="N12">
        <v>7.0000000000000007E-2</v>
      </c>
      <c r="O12">
        <v>1.19</v>
      </c>
      <c r="P12">
        <v>1.65</v>
      </c>
      <c r="Q12">
        <v>6.45</v>
      </c>
      <c r="R12">
        <v>1.42</v>
      </c>
      <c r="S12">
        <v>1.4</v>
      </c>
      <c r="T12">
        <v>5.19</v>
      </c>
      <c r="U12">
        <v>7.91</v>
      </c>
      <c r="V12">
        <v>-0.55000000000000004</v>
      </c>
      <c r="W12">
        <v>5.87</v>
      </c>
      <c r="X12">
        <v>3.67</v>
      </c>
      <c r="Y12">
        <v>2.3199999999999998</v>
      </c>
      <c r="Z12">
        <v>1.73</v>
      </c>
      <c r="AA12">
        <v>1.66</v>
      </c>
      <c r="AB12">
        <v>0.79</v>
      </c>
      <c r="AC12">
        <v>5</v>
      </c>
      <c r="AD12">
        <v>-7.0000000000000007E-2</v>
      </c>
      <c r="AE12">
        <v>4.66</v>
      </c>
    </row>
    <row r="13" spans="1:31" x14ac:dyDescent="0.2">
      <c r="A13" s="11">
        <v>43770</v>
      </c>
      <c r="B13">
        <v>1.3</v>
      </c>
      <c r="C13">
        <v>1.28</v>
      </c>
      <c r="D13">
        <v>-0.2</v>
      </c>
      <c r="E13">
        <v>2.57</v>
      </c>
      <c r="F13">
        <v>0.53</v>
      </c>
      <c r="G13">
        <v>-0.9</v>
      </c>
      <c r="H13">
        <v>-4.4000000000000004</v>
      </c>
      <c r="I13">
        <v>1.97</v>
      </c>
      <c r="J13">
        <v>2.76</v>
      </c>
      <c r="K13">
        <v>1.85</v>
      </c>
      <c r="L13">
        <v>0.48</v>
      </c>
      <c r="M13">
        <v>0.7</v>
      </c>
      <c r="N13">
        <v>-0.68</v>
      </c>
      <c r="O13">
        <v>-0.14000000000000001</v>
      </c>
      <c r="P13">
        <v>-0.28000000000000003</v>
      </c>
      <c r="Q13">
        <v>-2.79</v>
      </c>
      <c r="R13">
        <v>1</v>
      </c>
      <c r="S13">
        <v>-0.96</v>
      </c>
      <c r="T13">
        <v>2.2000000000000002</v>
      </c>
      <c r="U13">
        <v>10.62</v>
      </c>
      <c r="V13">
        <v>0.48</v>
      </c>
      <c r="W13">
        <v>-1.19</v>
      </c>
      <c r="X13">
        <v>2.5499999999999998</v>
      </c>
      <c r="Y13">
        <v>1.83</v>
      </c>
      <c r="Z13">
        <v>1.37</v>
      </c>
      <c r="AA13">
        <v>0.93</v>
      </c>
      <c r="AB13">
        <v>0.14000000000000001</v>
      </c>
      <c r="AC13">
        <v>3.46</v>
      </c>
      <c r="AD13">
        <v>0.71</v>
      </c>
      <c r="AE13">
        <v>3.47</v>
      </c>
    </row>
    <row r="14" spans="1:31" x14ac:dyDescent="0.2">
      <c r="A14" s="11">
        <v>43800</v>
      </c>
      <c r="B14">
        <v>1.5</v>
      </c>
      <c r="C14">
        <v>1.49</v>
      </c>
      <c r="D14">
        <v>-0.26</v>
      </c>
      <c r="E14">
        <v>2.98</v>
      </c>
      <c r="F14">
        <v>0.53</v>
      </c>
      <c r="G14">
        <v>-0.42</v>
      </c>
      <c r="H14">
        <v>-4.1399999999999997</v>
      </c>
      <c r="I14">
        <v>2.1800000000000002</v>
      </c>
      <c r="J14">
        <v>2.5299999999999998</v>
      </c>
      <c r="K14">
        <v>2.35</v>
      </c>
      <c r="L14">
        <v>0.97</v>
      </c>
      <c r="M14">
        <v>0.38</v>
      </c>
      <c r="N14">
        <v>-1.1599999999999999</v>
      </c>
      <c r="O14">
        <v>-0.21</v>
      </c>
      <c r="P14">
        <v>0.41</v>
      </c>
      <c r="Q14">
        <v>-3.93</v>
      </c>
      <c r="R14">
        <v>1.54</v>
      </c>
      <c r="S14">
        <v>-1.36</v>
      </c>
      <c r="T14">
        <v>0.84</v>
      </c>
      <c r="U14">
        <v>0.52</v>
      </c>
      <c r="V14">
        <v>0.48</v>
      </c>
      <c r="W14">
        <v>-0.54</v>
      </c>
      <c r="X14">
        <v>3.52</v>
      </c>
      <c r="Y14">
        <v>2.4300000000000002</v>
      </c>
      <c r="Z14">
        <v>1.36</v>
      </c>
      <c r="AA14">
        <v>1.36</v>
      </c>
      <c r="AB14">
        <v>0.5</v>
      </c>
      <c r="AC14">
        <v>4.3099999999999996</v>
      </c>
      <c r="AD14">
        <v>1.1399999999999999</v>
      </c>
      <c r="AE14">
        <v>1.48</v>
      </c>
    </row>
    <row r="15" spans="1:31" x14ac:dyDescent="0.2">
      <c r="A15" s="11">
        <v>43831</v>
      </c>
      <c r="B15">
        <v>1.91</v>
      </c>
      <c r="C15">
        <v>1.96</v>
      </c>
      <c r="D15">
        <v>1.2</v>
      </c>
      <c r="E15">
        <v>3.53</v>
      </c>
      <c r="F15">
        <v>1.26</v>
      </c>
      <c r="G15">
        <v>0.35</v>
      </c>
      <c r="H15">
        <v>-3.12</v>
      </c>
      <c r="I15">
        <v>2.39</v>
      </c>
      <c r="J15">
        <v>2.67</v>
      </c>
      <c r="K15">
        <v>3.15</v>
      </c>
      <c r="L15">
        <v>0.97</v>
      </c>
      <c r="M15">
        <v>1.08</v>
      </c>
      <c r="N15">
        <v>-1.0900000000000001</v>
      </c>
      <c r="O15">
        <v>-0.55000000000000004</v>
      </c>
      <c r="P15">
        <v>0.83</v>
      </c>
      <c r="Q15">
        <v>4.29</v>
      </c>
      <c r="R15">
        <v>2.02</v>
      </c>
      <c r="S15">
        <v>-0.82</v>
      </c>
      <c r="T15">
        <v>1.27</v>
      </c>
      <c r="U15">
        <v>0</v>
      </c>
      <c r="V15">
        <v>0.97</v>
      </c>
      <c r="W15">
        <v>-1.83</v>
      </c>
      <c r="X15">
        <v>4.13</v>
      </c>
      <c r="Y15">
        <v>3.34</v>
      </c>
      <c r="Z15">
        <v>1.8</v>
      </c>
      <c r="AA15">
        <v>1.65</v>
      </c>
      <c r="AB15">
        <v>0.5</v>
      </c>
      <c r="AC15">
        <v>3.78</v>
      </c>
      <c r="AD15">
        <v>1.65</v>
      </c>
      <c r="AE15">
        <v>2.5299999999999998</v>
      </c>
    </row>
    <row r="16" spans="1:31" x14ac:dyDescent="0.2">
      <c r="A16" s="11">
        <v>43862</v>
      </c>
      <c r="B16">
        <v>2.0499999999999998</v>
      </c>
      <c r="C16">
        <v>2.1</v>
      </c>
      <c r="D16">
        <v>1.88</v>
      </c>
      <c r="E16">
        <v>3.79</v>
      </c>
      <c r="F16">
        <v>2.0099999999999998</v>
      </c>
      <c r="G16">
        <v>1.49</v>
      </c>
      <c r="H16">
        <v>-1.34</v>
      </c>
      <c r="I16">
        <v>2.31</v>
      </c>
      <c r="J16">
        <v>2.37</v>
      </c>
      <c r="K16">
        <v>2.86</v>
      </c>
      <c r="L16">
        <v>1.67</v>
      </c>
      <c r="M16">
        <v>1.79</v>
      </c>
      <c r="N16">
        <v>-7.0000000000000007E-2</v>
      </c>
      <c r="O16">
        <v>0.76</v>
      </c>
      <c r="P16">
        <v>1.54</v>
      </c>
      <c r="Q16">
        <v>3.37</v>
      </c>
      <c r="R16">
        <v>1.94</v>
      </c>
      <c r="S16">
        <v>-1.0900000000000001</v>
      </c>
      <c r="T16">
        <v>0.63</v>
      </c>
      <c r="U16">
        <v>-0.25</v>
      </c>
      <c r="V16">
        <v>1.96</v>
      </c>
      <c r="W16">
        <v>-1.36</v>
      </c>
      <c r="X16">
        <v>3.75</v>
      </c>
      <c r="Y16">
        <v>3.15</v>
      </c>
      <c r="Z16">
        <v>1.43</v>
      </c>
      <c r="AA16">
        <v>1.36</v>
      </c>
      <c r="AB16">
        <v>0.21</v>
      </c>
      <c r="AC16">
        <v>3.14</v>
      </c>
      <c r="AD16">
        <v>1.21</v>
      </c>
      <c r="AE16">
        <v>2</v>
      </c>
    </row>
    <row r="17" spans="1:31" x14ac:dyDescent="0.2">
      <c r="A17" s="11">
        <v>43891</v>
      </c>
      <c r="B17">
        <v>2.11</v>
      </c>
      <c r="C17">
        <v>2.23</v>
      </c>
      <c r="Z17">
        <v>1.43</v>
      </c>
    </row>
    <row r="18" spans="1:31" x14ac:dyDescent="0.2">
      <c r="A18" s="11">
        <v>43922</v>
      </c>
      <c r="B18">
        <v>3.47</v>
      </c>
      <c r="C18">
        <v>3.58</v>
      </c>
      <c r="Z18">
        <v>2.78</v>
      </c>
    </row>
    <row r="19" spans="1:31" x14ac:dyDescent="0.2">
      <c r="A19" s="11">
        <v>43952</v>
      </c>
      <c r="B19">
        <v>3.39</v>
      </c>
      <c r="C19">
        <v>3.5</v>
      </c>
      <c r="Z19">
        <v>2.71</v>
      </c>
    </row>
    <row r="20" spans="1:31" x14ac:dyDescent="0.2">
      <c r="A20" s="11">
        <v>43983</v>
      </c>
      <c r="B20">
        <v>2.71</v>
      </c>
      <c r="C20">
        <v>2.62</v>
      </c>
      <c r="D20">
        <v>2.65</v>
      </c>
      <c r="E20">
        <v>2.54</v>
      </c>
      <c r="F20">
        <v>4.46</v>
      </c>
      <c r="G20">
        <v>1.62</v>
      </c>
      <c r="H20">
        <v>6.95</v>
      </c>
      <c r="I20">
        <v>2.0099999999999998</v>
      </c>
      <c r="J20">
        <v>4.4400000000000004</v>
      </c>
      <c r="K20">
        <v>3.32</v>
      </c>
      <c r="L20">
        <v>3.04</v>
      </c>
      <c r="M20">
        <v>0.44</v>
      </c>
      <c r="N20">
        <v>1.04</v>
      </c>
      <c r="O20">
        <v>1.04</v>
      </c>
      <c r="P20">
        <v>-2.36</v>
      </c>
      <c r="Q20">
        <v>11.06</v>
      </c>
      <c r="R20">
        <v>2.99</v>
      </c>
      <c r="S20">
        <v>2.2000000000000002</v>
      </c>
      <c r="T20">
        <v>-0.7</v>
      </c>
      <c r="U20">
        <v>-1.54</v>
      </c>
      <c r="V20">
        <v>3.33</v>
      </c>
      <c r="W20">
        <v>-17.77</v>
      </c>
      <c r="X20">
        <v>4.96</v>
      </c>
      <c r="Y20">
        <v>3.47</v>
      </c>
      <c r="Z20">
        <v>2.85</v>
      </c>
      <c r="AA20">
        <v>2.4900000000000002</v>
      </c>
      <c r="AB20">
        <v>2.58</v>
      </c>
      <c r="AC20">
        <v>0.27</v>
      </c>
      <c r="AD20">
        <v>4.46</v>
      </c>
      <c r="AE20">
        <v>2.14</v>
      </c>
    </row>
    <row r="21" spans="1:31" x14ac:dyDescent="0.2">
      <c r="A21" s="11">
        <v>44013</v>
      </c>
      <c r="B21">
        <v>2.78</v>
      </c>
      <c r="C21">
        <v>2.82</v>
      </c>
      <c r="D21">
        <v>2.71</v>
      </c>
      <c r="E21">
        <v>3.53</v>
      </c>
      <c r="F21">
        <v>3.16</v>
      </c>
      <c r="G21">
        <v>3.1</v>
      </c>
      <c r="H21">
        <v>6.04</v>
      </c>
      <c r="I21">
        <v>2.42</v>
      </c>
      <c r="J21">
        <v>4.8600000000000003</v>
      </c>
      <c r="K21">
        <v>3.66</v>
      </c>
      <c r="L21">
        <v>3.04</v>
      </c>
      <c r="M21">
        <v>1.77</v>
      </c>
      <c r="N21">
        <v>1.66</v>
      </c>
      <c r="O21">
        <v>1.25</v>
      </c>
      <c r="P21">
        <v>-3.58</v>
      </c>
      <c r="Q21">
        <v>8.89</v>
      </c>
      <c r="R21">
        <v>2.79</v>
      </c>
      <c r="S21">
        <v>1.44</v>
      </c>
      <c r="T21">
        <v>0.14000000000000001</v>
      </c>
      <c r="U21">
        <v>-10.06</v>
      </c>
      <c r="V21">
        <v>3.18</v>
      </c>
      <c r="W21">
        <v>-13.95</v>
      </c>
      <c r="X21">
        <v>5.6</v>
      </c>
      <c r="Y21">
        <v>3.34</v>
      </c>
      <c r="Z21">
        <v>2.06</v>
      </c>
      <c r="AA21">
        <v>2.2000000000000002</v>
      </c>
      <c r="AB21">
        <v>1.79</v>
      </c>
      <c r="AC21">
        <v>-3.23</v>
      </c>
      <c r="AD21">
        <v>3.61</v>
      </c>
      <c r="AE21">
        <v>2.14</v>
      </c>
    </row>
    <row r="22" spans="1:31" x14ac:dyDescent="0.2">
      <c r="A22" s="11">
        <v>44044</v>
      </c>
      <c r="B22">
        <v>2.77</v>
      </c>
      <c r="C22">
        <v>2.88</v>
      </c>
      <c r="D22">
        <v>2.72</v>
      </c>
      <c r="E22">
        <v>3.86</v>
      </c>
      <c r="F22">
        <v>1.67</v>
      </c>
      <c r="G22">
        <v>3.31</v>
      </c>
      <c r="H22">
        <v>6.1</v>
      </c>
      <c r="I22">
        <v>2.08</v>
      </c>
      <c r="J22">
        <v>4.8600000000000003</v>
      </c>
      <c r="K22">
        <v>3.59</v>
      </c>
      <c r="L22">
        <v>3.25</v>
      </c>
      <c r="M22">
        <v>2.02</v>
      </c>
      <c r="N22">
        <v>1.3</v>
      </c>
      <c r="O22">
        <v>1.66</v>
      </c>
      <c r="P22">
        <v>-4.79</v>
      </c>
      <c r="Q22">
        <v>9.02</v>
      </c>
      <c r="R22">
        <v>2.99</v>
      </c>
      <c r="S22">
        <v>1.51</v>
      </c>
      <c r="T22">
        <v>-0.77</v>
      </c>
      <c r="U22">
        <v>-8.44</v>
      </c>
      <c r="V22">
        <v>3.46</v>
      </c>
      <c r="W22">
        <v>-11.6</v>
      </c>
      <c r="X22">
        <v>4.8600000000000003</v>
      </c>
      <c r="Y22">
        <v>3.09</v>
      </c>
      <c r="Z22">
        <v>2.63</v>
      </c>
      <c r="AA22">
        <v>2.2000000000000002</v>
      </c>
      <c r="AB22">
        <v>2.15</v>
      </c>
      <c r="AC22">
        <v>7.0000000000000007E-2</v>
      </c>
      <c r="AD22">
        <v>3.67</v>
      </c>
      <c r="AE22">
        <v>2.72</v>
      </c>
    </row>
    <row r="23" spans="1:31" x14ac:dyDescent="0.2">
      <c r="A23" s="11">
        <v>44075</v>
      </c>
      <c r="B23">
        <v>2.97</v>
      </c>
      <c r="C23">
        <v>3.02</v>
      </c>
      <c r="D23">
        <v>2.92</v>
      </c>
      <c r="E23">
        <v>3.65</v>
      </c>
      <c r="F23">
        <v>1.8</v>
      </c>
      <c r="G23">
        <v>4.0199999999999996</v>
      </c>
      <c r="H23">
        <v>3.98</v>
      </c>
      <c r="I23">
        <v>2.0699999999999998</v>
      </c>
      <c r="J23">
        <v>4.84</v>
      </c>
      <c r="K23">
        <v>3.44</v>
      </c>
      <c r="L23">
        <v>3.11</v>
      </c>
      <c r="M23">
        <v>1.83</v>
      </c>
      <c r="N23">
        <v>1.65</v>
      </c>
      <c r="O23">
        <v>1.31</v>
      </c>
      <c r="P23">
        <v>0.28000000000000003</v>
      </c>
      <c r="Q23">
        <v>8.24</v>
      </c>
      <c r="R23">
        <v>3.39</v>
      </c>
      <c r="S23">
        <v>2.5499999999999998</v>
      </c>
      <c r="T23">
        <v>-0.7</v>
      </c>
      <c r="U23">
        <v>-14.6</v>
      </c>
      <c r="V23">
        <v>3.59</v>
      </c>
      <c r="W23">
        <v>-10.58</v>
      </c>
      <c r="X23">
        <v>4.08</v>
      </c>
      <c r="Y23">
        <v>2.67</v>
      </c>
      <c r="Z23">
        <v>2.84</v>
      </c>
      <c r="AA23">
        <v>2.78</v>
      </c>
      <c r="AB23">
        <v>2.72</v>
      </c>
      <c r="AC23">
        <v>-1.68</v>
      </c>
      <c r="AD23">
        <v>4.09</v>
      </c>
      <c r="AE23">
        <v>2.56</v>
      </c>
    </row>
    <row r="24" spans="1:31" x14ac:dyDescent="0.2">
      <c r="A24" s="11">
        <v>44105</v>
      </c>
      <c r="B24">
        <v>3.1</v>
      </c>
      <c r="C24">
        <v>3.28</v>
      </c>
      <c r="D24">
        <v>3.18</v>
      </c>
      <c r="E24">
        <v>3.77</v>
      </c>
      <c r="F24">
        <v>1.32</v>
      </c>
      <c r="G24">
        <v>4.0199999999999996</v>
      </c>
      <c r="H24">
        <v>4.13</v>
      </c>
      <c r="I24">
        <v>2.34</v>
      </c>
      <c r="J24">
        <v>4.97</v>
      </c>
      <c r="K24">
        <v>3.71</v>
      </c>
      <c r="L24">
        <v>3.31</v>
      </c>
      <c r="M24">
        <v>1.96</v>
      </c>
      <c r="N24">
        <v>3.17</v>
      </c>
      <c r="O24">
        <v>2.14</v>
      </c>
      <c r="P24">
        <v>1.27</v>
      </c>
      <c r="Q24">
        <v>8.94</v>
      </c>
      <c r="R24">
        <v>3.79</v>
      </c>
      <c r="S24">
        <v>2.4900000000000002</v>
      </c>
      <c r="T24">
        <v>-0.7</v>
      </c>
      <c r="U24">
        <v>-13.12</v>
      </c>
      <c r="V24">
        <v>3.66</v>
      </c>
      <c r="W24">
        <v>-10.97</v>
      </c>
      <c r="X24">
        <v>4.0599999999999996</v>
      </c>
      <c r="Y24">
        <v>2.9</v>
      </c>
      <c r="Z24">
        <v>2.91</v>
      </c>
      <c r="AA24">
        <v>2.84</v>
      </c>
      <c r="AB24">
        <v>3.01</v>
      </c>
      <c r="AC24">
        <v>-2.15</v>
      </c>
      <c r="AD24">
        <v>4.59</v>
      </c>
      <c r="AE24">
        <v>2.56</v>
      </c>
    </row>
    <row r="25" spans="1:31" x14ac:dyDescent="0.2">
      <c r="A25" s="11">
        <v>44136</v>
      </c>
      <c r="B25">
        <v>3.36</v>
      </c>
      <c r="C25">
        <v>3.4</v>
      </c>
      <c r="D25">
        <v>2.9</v>
      </c>
      <c r="E25">
        <v>3.62</v>
      </c>
      <c r="F25">
        <v>1.99</v>
      </c>
      <c r="G25">
        <v>3.92</v>
      </c>
      <c r="H25">
        <v>4.95</v>
      </c>
      <c r="I25">
        <v>2.33</v>
      </c>
      <c r="J25">
        <v>4.7300000000000004</v>
      </c>
      <c r="K25">
        <v>3.84</v>
      </c>
      <c r="L25">
        <v>3.71</v>
      </c>
      <c r="M25">
        <v>2.0099999999999998</v>
      </c>
      <c r="N25">
        <v>3.79</v>
      </c>
      <c r="O25">
        <v>2.75</v>
      </c>
      <c r="P25">
        <v>4.75</v>
      </c>
      <c r="Q25">
        <v>9.76</v>
      </c>
      <c r="R25">
        <v>3.71</v>
      </c>
      <c r="S25">
        <v>2.27</v>
      </c>
      <c r="T25">
        <v>0</v>
      </c>
      <c r="U25">
        <v>-12.18</v>
      </c>
      <c r="V25">
        <v>3.86</v>
      </c>
      <c r="W25">
        <v>-9.48</v>
      </c>
      <c r="X25">
        <v>4.63</v>
      </c>
      <c r="Y25">
        <v>3.13</v>
      </c>
      <c r="Z25">
        <v>3.12</v>
      </c>
      <c r="AA25">
        <v>2.98</v>
      </c>
      <c r="AB25">
        <v>3.15</v>
      </c>
      <c r="AC25">
        <v>-2.4700000000000002</v>
      </c>
      <c r="AD25">
        <v>4.66</v>
      </c>
      <c r="AE25">
        <v>2.91</v>
      </c>
    </row>
    <row r="26" spans="1:31" x14ac:dyDescent="0.2">
      <c r="A26" s="11">
        <v>44166</v>
      </c>
      <c r="B26">
        <v>3.49</v>
      </c>
      <c r="C26">
        <v>3.46</v>
      </c>
      <c r="D26">
        <v>3.55</v>
      </c>
      <c r="E26">
        <v>3.75</v>
      </c>
      <c r="F26">
        <v>2.11</v>
      </c>
      <c r="G26">
        <v>4.2</v>
      </c>
      <c r="H26">
        <v>4.53</v>
      </c>
      <c r="I26">
        <v>2.6</v>
      </c>
      <c r="J26">
        <v>4.79</v>
      </c>
      <c r="K26">
        <v>3.97</v>
      </c>
      <c r="L26">
        <v>3.7</v>
      </c>
      <c r="M26">
        <v>2.2599999999999998</v>
      </c>
      <c r="N26">
        <v>3.58</v>
      </c>
      <c r="O26">
        <v>2.68</v>
      </c>
      <c r="P26">
        <v>3.85</v>
      </c>
      <c r="Q26">
        <v>13.06</v>
      </c>
      <c r="R26">
        <v>3.76</v>
      </c>
      <c r="S26">
        <v>2.13</v>
      </c>
      <c r="T26">
        <v>2.5099999999999998</v>
      </c>
      <c r="U26">
        <v>-18.52</v>
      </c>
      <c r="V26">
        <v>4.2</v>
      </c>
      <c r="W26">
        <v>-8.17</v>
      </c>
      <c r="X26">
        <v>5.0199999999999996</v>
      </c>
      <c r="Y26">
        <v>3.47</v>
      </c>
      <c r="Z26">
        <v>3.4</v>
      </c>
      <c r="AA26">
        <v>3.11</v>
      </c>
      <c r="AB26">
        <v>3.43</v>
      </c>
      <c r="AC26">
        <v>-2.5299999999999998</v>
      </c>
      <c r="AD26">
        <v>5.07</v>
      </c>
      <c r="AE26">
        <v>3.35</v>
      </c>
    </row>
    <row r="27" spans="1:31" x14ac:dyDescent="0.2">
      <c r="A27" s="11">
        <v>44197</v>
      </c>
      <c r="B27">
        <v>3.82</v>
      </c>
      <c r="C27">
        <v>3.85</v>
      </c>
      <c r="D27">
        <v>4.34</v>
      </c>
      <c r="E27">
        <v>4.13</v>
      </c>
      <c r="F27">
        <v>2.76</v>
      </c>
      <c r="G27">
        <v>4.83</v>
      </c>
      <c r="H27">
        <v>4.38</v>
      </c>
      <c r="I27">
        <v>3</v>
      </c>
      <c r="J27">
        <v>5.13</v>
      </c>
      <c r="K27">
        <v>4.17</v>
      </c>
      <c r="L27">
        <v>3.83</v>
      </c>
      <c r="M27">
        <v>2.7</v>
      </c>
      <c r="N27">
        <v>4.21</v>
      </c>
      <c r="O27">
        <v>3.66</v>
      </c>
      <c r="P27">
        <v>3.9</v>
      </c>
      <c r="Q27">
        <v>12.56</v>
      </c>
      <c r="R27">
        <v>4.1500000000000004</v>
      </c>
      <c r="S27">
        <v>2.34</v>
      </c>
      <c r="T27">
        <v>3.06</v>
      </c>
      <c r="U27">
        <v>-17.690000000000001</v>
      </c>
      <c r="V27">
        <v>4.68</v>
      </c>
      <c r="W27">
        <v>-8.25</v>
      </c>
      <c r="X27">
        <v>5.92</v>
      </c>
      <c r="Y27">
        <v>3.64</v>
      </c>
      <c r="Z27">
        <v>3.75</v>
      </c>
      <c r="AA27">
        <v>3.46</v>
      </c>
      <c r="AB27">
        <v>3.78</v>
      </c>
      <c r="AC27">
        <v>-2.3199999999999998</v>
      </c>
      <c r="AD27">
        <v>5.71</v>
      </c>
      <c r="AE27">
        <v>3.48</v>
      </c>
    </row>
    <row r="28" spans="1:31" x14ac:dyDescent="0.2">
      <c r="A28" s="11">
        <v>44228</v>
      </c>
      <c r="B28">
        <v>4.21</v>
      </c>
      <c r="C28">
        <v>4.3099999999999996</v>
      </c>
      <c r="D28">
        <v>5.0599999999999996</v>
      </c>
      <c r="E28">
        <v>4.3099999999999996</v>
      </c>
      <c r="F28">
        <v>3.41</v>
      </c>
      <c r="G28">
        <v>5.45</v>
      </c>
      <c r="H28">
        <v>4.7</v>
      </c>
      <c r="I28">
        <v>3.59</v>
      </c>
      <c r="J28">
        <v>5.61</v>
      </c>
      <c r="K28">
        <v>4.6500000000000004</v>
      </c>
      <c r="L28">
        <v>4.2300000000000004</v>
      </c>
      <c r="M28">
        <v>3.07</v>
      </c>
      <c r="N28">
        <v>3.8</v>
      </c>
      <c r="O28">
        <v>3.31</v>
      </c>
      <c r="P28">
        <v>3.65</v>
      </c>
      <c r="Q28">
        <v>11.5</v>
      </c>
      <c r="R28">
        <v>4.87</v>
      </c>
      <c r="S28">
        <v>3.03</v>
      </c>
      <c r="T28">
        <v>3.7</v>
      </c>
      <c r="U28">
        <v>-18.440000000000001</v>
      </c>
      <c r="V28">
        <v>5.22</v>
      </c>
      <c r="W28">
        <v>-7.92</v>
      </c>
      <c r="X28">
        <v>6.54</v>
      </c>
      <c r="Y28">
        <v>4.04</v>
      </c>
      <c r="Z28">
        <v>4.09</v>
      </c>
      <c r="AA28">
        <v>3.52</v>
      </c>
      <c r="AB28">
        <v>3.99</v>
      </c>
      <c r="AC28">
        <v>-1.79</v>
      </c>
      <c r="AD28">
        <v>5.99</v>
      </c>
      <c r="AE28">
        <v>4.13</v>
      </c>
    </row>
    <row r="29" spans="1:31" x14ac:dyDescent="0.2">
      <c r="A29" s="11">
        <v>44256</v>
      </c>
      <c r="B29">
        <v>4.41</v>
      </c>
      <c r="C29">
        <v>4.37</v>
      </c>
      <c r="Z29">
        <v>4.2300000000000004</v>
      </c>
    </row>
    <row r="30" spans="1:31" x14ac:dyDescent="0.2">
      <c r="A30" s="11">
        <v>44287</v>
      </c>
      <c r="B30">
        <v>3.49</v>
      </c>
      <c r="C30">
        <v>3.52</v>
      </c>
      <c r="Z30">
        <v>3.13</v>
      </c>
    </row>
    <row r="31" spans="1:31" x14ac:dyDescent="0.2">
      <c r="A31" s="11">
        <v>44317</v>
      </c>
      <c r="B31">
        <v>5.32</v>
      </c>
      <c r="C31">
        <v>5.34</v>
      </c>
      <c r="Z31">
        <v>5.48</v>
      </c>
    </row>
    <row r="32" spans="1:31" x14ac:dyDescent="0.2">
      <c r="A32" s="11">
        <v>44348</v>
      </c>
      <c r="B32">
        <v>6.14</v>
      </c>
      <c r="C32">
        <v>6.36</v>
      </c>
      <c r="D32">
        <v>6.59</v>
      </c>
      <c r="E32">
        <v>7.04</v>
      </c>
      <c r="F32">
        <v>5.1100000000000003</v>
      </c>
      <c r="G32">
        <v>8.26</v>
      </c>
      <c r="H32">
        <v>5.47</v>
      </c>
      <c r="I32">
        <v>6.32</v>
      </c>
      <c r="J32">
        <v>7.07</v>
      </c>
      <c r="K32">
        <v>6.43</v>
      </c>
      <c r="L32">
        <v>5.7</v>
      </c>
      <c r="M32">
        <v>6.01</v>
      </c>
      <c r="N32">
        <v>5.33</v>
      </c>
      <c r="O32">
        <v>6.98</v>
      </c>
      <c r="P32">
        <v>6.76</v>
      </c>
      <c r="Q32">
        <v>2.66</v>
      </c>
      <c r="R32">
        <v>6.65</v>
      </c>
      <c r="S32">
        <v>4.18</v>
      </c>
      <c r="T32">
        <v>10.220000000000001</v>
      </c>
      <c r="U32">
        <v>0.52</v>
      </c>
      <c r="V32">
        <v>8.8699999999999992</v>
      </c>
      <c r="W32">
        <v>13.76</v>
      </c>
      <c r="X32">
        <v>5.74</v>
      </c>
      <c r="Y32">
        <v>4.09</v>
      </c>
      <c r="Z32">
        <v>5.12</v>
      </c>
      <c r="AA32">
        <v>4.58</v>
      </c>
      <c r="AB32">
        <v>5.0999999999999996</v>
      </c>
      <c r="AC32">
        <v>0.6</v>
      </c>
      <c r="AD32">
        <v>5.76</v>
      </c>
      <c r="AE32">
        <v>6.93</v>
      </c>
    </row>
    <row r="33" spans="1:31" x14ac:dyDescent="0.2">
      <c r="A33" s="11">
        <v>44378</v>
      </c>
      <c r="B33">
        <v>6.39</v>
      </c>
      <c r="C33">
        <v>6.34</v>
      </c>
      <c r="D33">
        <v>6.76</v>
      </c>
      <c r="E33">
        <v>6.24</v>
      </c>
      <c r="F33">
        <v>6.71</v>
      </c>
      <c r="G33">
        <v>6.77</v>
      </c>
      <c r="H33">
        <v>5.18</v>
      </c>
      <c r="I33">
        <v>6.16</v>
      </c>
      <c r="J33">
        <v>6.96</v>
      </c>
      <c r="K33">
        <v>6.25</v>
      </c>
      <c r="L33">
        <v>6.11</v>
      </c>
      <c r="M33">
        <v>5.16</v>
      </c>
      <c r="N33">
        <v>4.82</v>
      </c>
      <c r="O33">
        <v>6.5</v>
      </c>
      <c r="P33">
        <v>8.36</v>
      </c>
      <c r="Q33">
        <v>4.83</v>
      </c>
      <c r="R33">
        <v>7.96</v>
      </c>
      <c r="S33">
        <v>4.67</v>
      </c>
      <c r="T33">
        <v>9.2899999999999991</v>
      </c>
      <c r="U33">
        <v>12.42</v>
      </c>
      <c r="V33">
        <v>8.52</v>
      </c>
      <c r="W33">
        <v>9.26</v>
      </c>
      <c r="X33">
        <v>4.74</v>
      </c>
      <c r="Y33">
        <v>4.2</v>
      </c>
      <c r="Z33">
        <v>6.76</v>
      </c>
      <c r="AA33">
        <v>5.7</v>
      </c>
      <c r="AB33">
        <v>7.03</v>
      </c>
      <c r="AC33">
        <v>5.9</v>
      </c>
      <c r="AD33">
        <v>7.1</v>
      </c>
      <c r="AE33">
        <v>7.35</v>
      </c>
    </row>
    <row r="34" spans="1:31" x14ac:dyDescent="0.2">
      <c r="A34" s="11">
        <v>44409</v>
      </c>
      <c r="B34">
        <v>6.84</v>
      </c>
      <c r="C34">
        <v>6.78</v>
      </c>
      <c r="D34">
        <v>7.93</v>
      </c>
      <c r="E34">
        <v>6.47</v>
      </c>
      <c r="F34">
        <v>8.1</v>
      </c>
      <c r="G34">
        <v>8.24</v>
      </c>
      <c r="H34">
        <v>5.62</v>
      </c>
      <c r="I34">
        <v>7.03</v>
      </c>
      <c r="J34">
        <v>7.22</v>
      </c>
      <c r="K34">
        <v>7</v>
      </c>
      <c r="L34">
        <v>6.36</v>
      </c>
      <c r="M34">
        <v>5.64</v>
      </c>
      <c r="N34">
        <v>5.0199999999999996</v>
      </c>
      <c r="O34">
        <v>6.48</v>
      </c>
      <c r="P34">
        <v>9.1199999999999992</v>
      </c>
      <c r="Q34">
        <v>4.41</v>
      </c>
      <c r="R34">
        <v>8.52</v>
      </c>
      <c r="S34">
        <v>5.28</v>
      </c>
      <c r="T34">
        <v>11.22</v>
      </c>
      <c r="U34">
        <v>8.3000000000000007</v>
      </c>
      <c r="V34">
        <v>8.76</v>
      </c>
      <c r="W34">
        <v>6.9</v>
      </c>
      <c r="X34">
        <v>5.7</v>
      </c>
      <c r="Y34">
        <v>4.47</v>
      </c>
      <c r="Z34">
        <v>7</v>
      </c>
      <c r="AA34">
        <v>6.4</v>
      </c>
      <c r="AB34">
        <v>7.28</v>
      </c>
      <c r="AC34">
        <v>3.02</v>
      </c>
      <c r="AD34">
        <v>7.76</v>
      </c>
      <c r="AE34">
        <v>7.89</v>
      </c>
    </row>
    <row r="35" spans="1:31" x14ac:dyDescent="0.2">
      <c r="A35" s="11">
        <v>44440</v>
      </c>
      <c r="B35">
        <v>7.22</v>
      </c>
      <c r="C35">
        <v>7.09</v>
      </c>
      <c r="D35">
        <v>8.31</v>
      </c>
      <c r="E35">
        <v>7.11</v>
      </c>
      <c r="F35">
        <v>8.66</v>
      </c>
      <c r="G35">
        <v>8.4700000000000006</v>
      </c>
      <c r="H35">
        <v>6.27</v>
      </c>
      <c r="I35">
        <v>7.34</v>
      </c>
      <c r="J35">
        <v>7.68</v>
      </c>
      <c r="K35">
        <v>7.73</v>
      </c>
      <c r="L35">
        <v>6.63</v>
      </c>
      <c r="M35">
        <v>6.39</v>
      </c>
      <c r="N35">
        <v>4.25</v>
      </c>
      <c r="O35">
        <v>6.34</v>
      </c>
      <c r="P35">
        <v>7.52</v>
      </c>
      <c r="Q35">
        <v>3.87</v>
      </c>
      <c r="R35">
        <v>8.67</v>
      </c>
      <c r="S35">
        <v>4.9800000000000004</v>
      </c>
      <c r="T35">
        <v>10.57</v>
      </c>
      <c r="U35">
        <v>14.45</v>
      </c>
      <c r="V35">
        <v>9.07</v>
      </c>
      <c r="W35">
        <v>6.18</v>
      </c>
      <c r="X35">
        <v>6.44</v>
      </c>
      <c r="Y35">
        <v>4.87</v>
      </c>
      <c r="Z35">
        <v>7.4</v>
      </c>
      <c r="AA35">
        <v>6.51</v>
      </c>
      <c r="AB35">
        <v>7.46</v>
      </c>
      <c r="AC35">
        <v>5.34</v>
      </c>
      <c r="AD35">
        <v>8.1999999999999993</v>
      </c>
      <c r="AE35">
        <v>7.93</v>
      </c>
    </row>
    <row r="36" spans="1:31" x14ac:dyDescent="0.2">
      <c r="A36" s="11">
        <v>44470</v>
      </c>
      <c r="B36">
        <v>7.53</v>
      </c>
      <c r="C36">
        <v>7.39</v>
      </c>
      <c r="D36">
        <v>8.61</v>
      </c>
      <c r="E36">
        <v>7.39</v>
      </c>
      <c r="F36">
        <v>9.1999999999999993</v>
      </c>
      <c r="G36">
        <v>8.94</v>
      </c>
      <c r="H36">
        <v>7.07</v>
      </c>
      <c r="I36">
        <v>7.64</v>
      </c>
      <c r="J36">
        <v>7.85</v>
      </c>
      <c r="K36">
        <v>7.97</v>
      </c>
      <c r="L36">
        <v>6.73</v>
      </c>
      <c r="M36">
        <v>6.87</v>
      </c>
      <c r="N36">
        <v>4.34</v>
      </c>
      <c r="O36">
        <v>6.15</v>
      </c>
      <c r="P36">
        <v>6.88</v>
      </c>
      <c r="Q36">
        <v>2.91</v>
      </c>
      <c r="R36">
        <v>9.2200000000000006</v>
      </c>
      <c r="S36">
        <v>5.73</v>
      </c>
      <c r="T36">
        <v>10.64</v>
      </c>
      <c r="U36">
        <v>13.18</v>
      </c>
      <c r="V36">
        <v>9.39</v>
      </c>
      <c r="W36">
        <v>6.84</v>
      </c>
      <c r="X36">
        <v>6.41</v>
      </c>
      <c r="Y36">
        <v>4.97</v>
      </c>
      <c r="Z36">
        <v>7.87</v>
      </c>
      <c r="AA36">
        <v>6.77</v>
      </c>
      <c r="AB36">
        <v>7.92</v>
      </c>
      <c r="AC36">
        <v>6.31</v>
      </c>
      <c r="AD36">
        <v>8.7200000000000006</v>
      </c>
      <c r="AE36">
        <v>8.1199999999999992</v>
      </c>
    </row>
    <row r="37" spans="1:31" x14ac:dyDescent="0.2">
      <c r="A37" s="11">
        <v>44501</v>
      </c>
      <c r="B37">
        <v>7.94</v>
      </c>
      <c r="C37">
        <v>7.87</v>
      </c>
      <c r="D37">
        <v>9.36</v>
      </c>
      <c r="E37">
        <v>8.07</v>
      </c>
      <c r="F37">
        <v>11.84</v>
      </c>
      <c r="G37">
        <v>8.56</v>
      </c>
      <c r="H37">
        <v>6.88</v>
      </c>
      <c r="I37">
        <v>8.01</v>
      </c>
      <c r="J37">
        <v>8.16</v>
      </c>
      <c r="K37">
        <v>8.34</v>
      </c>
      <c r="L37">
        <v>6.83</v>
      </c>
      <c r="M37">
        <v>7.34</v>
      </c>
      <c r="N37">
        <v>4.25</v>
      </c>
      <c r="O37">
        <v>6.17</v>
      </c>
      <c r="P37">
        <v>8.99</v>
      </c>
      <c r="Q37">
        <v>5.76</v>
      </c>
      <c r="R37">
        <v>9.77</v>
      </c>
      <c r="S37">
        <v>6.4</v>
      </c>
      <c r="T37">
        <v>10.08</v>
      </c>
      <c r="U37">
        <v>12.91</v>
      </c>
      <c r="V37">
        <v>9.5500000000000007</v>
      </c>
      <c r="W37">
        <v>6.8</v>
      </c>
      <c r="X37">
        <v>6.53</v>
      </c>
      <c r="Y37">
        <v>4.8899999999999997</v>
      </c>
      <c r="Z37">
        <v>8.25</v>
      </c>
      <c r="AA37">
        <v>7.24</v>
      </c>
      <c r="AB37">
        <v>8.32</v>
      </c>
      <c r="AC37">
        <v>6.93</v>
      </c>
      <c r="AD37">
        <v>9.24</v>
      </c>
      <c r="AE37">
        <v>8.2799999999999994</v>
      </c>
    </row>
    <row r="38" spans="1:31" x14ac:dyDescent="0.2">
      <c r="A38" s="11">
        <v>44531</v>
      </c>
      <c r="B38">
        <v>8.3000000000000007</v>
      </c>
      <c r="C38">
        <v>8.36</v>
      </c>
      <c r="D38">
        <v>9.98</v>
      </c>
      <c r="E38">
        <v>8.61</v>
      </c>
      <c r="F38">
        <v>12</v>
      </c>
      <c r="G38">
        <v>9.5399999999999991</v>
      </c>
      <c r="H38">
        <v>7.74</v>
      </c>
      <c r="I38">
        <v>8.3800000000000008</v>
      </c>
      <c r="J38">
        <v>8.4600000000000009</v>
      </c>
      <c r="K38">
        <v>8.84</v>
      </c>
      <c r="L38">
        <v>7.27</v>
      </c>
      <c r="M38">
        <v>7.68</v>
      </c>
      <c r="N38">
        <v>4.9800000000000004</v>
      </c>
      <c r="O38">
        <v>6.36</v>
      </c>
      <c r="P38">
        <v>8.74</v>
      </c>
      <c r="Q38">
        <v>4.8899999999999997</v>
      </c>
      <c r="R38">
        <v>10.24</v>
      </c>
      <c r="S38">
        <v>7.48</v>
      </c>
      <c r="T38">
        <v>8.42</v>
      </c>
      <c r="U38">
        <v>22.49</v>
      </c>
      <c r="V38">
        <v>9.91</v>
      </c>
      <c r="W38">
        <v>6.19</v>
      </c>
      <c r="X38">
        <v>6.48</v>
      </c>
      <c r="Y38">
        <v>5.2</v>
      </c>
      <c r="Z38">
        <v>8.6199999999999992</v>
      </c>
      <c r="AA38">
        <v>7.61</v>
      </c>
      <c r="AB38">
        <v>8.91</v>
      </c>
      <c r="AC38">
        <v>7.31</v>
      </c>
      <c r="AD38">
        <v>9.65</v>
      </c>
      <c r="AE38">
        <v>8.4499999999999993</v>
      </c>
    </row>
    <row r="39" spans="1:31" x14ac:dyDescent="0.2">
      <c r="A39" s="11">
        <v>44562</v>
      </c>
      <c r="B39">
        <v>8.7799999999999994</v>
      </c>
      <c r="C39">
        <v>8.6999999999999993</v>
      </c>
      <c r="D39">
        <v>10.28</v>
      </c>
      <c r="E39">
        <v>8.94</v>
      </c>
      <c r="F39">
        <v>12.07</v>
      </c>
      <c r="G39">
        <v>9.81</v>
      </c>
      <c r="H39">
        <v>8.86</v>
      </c>
      <c r="I39">
        <v>8.7899999999999991</v>
      </c>
      <c r="J39">
        <v>8.9499999999999993</v>
      </c>
      <c r="K39">
        <v>9.33</v>
      </c>
      <c r="L39">
        <v>7.77</v>
      </c>
      <c r="M39">
        <v>8.01</v>
      </c>
      <c r="N39">
        <v>5.36</v>
      </c>
      <c r="O39">
        <v>6.93</v>
      </c>
      <c r="P39">
        <v>9.02</v>
      </c>
      <c r="Q39">
        <v>5.17</v>
      </c>
      <c r="R39">
        <v>10.63</v>
      </c>
      <c r="S39">
        <v>8.09</v>
      </c>
      <c r="T39">
        <v>8.9</v>
      </c>
      <c r="U39">
        <v>20.71</v>
      </c>
      <c r="V39">
        <v>10.32</v>
      </c>
      <c r="W39">
        <v>7.81</v>
      </c>
      <c r="X39">
        <v>6.08</v>
      </c>
      <c r="Y39">
        <v>5.07</v>
      </c>
      <c r="Z39">
        <v>9.4700000000000006</v>
      </c>
      <c r="AA39">
        <v>8.4</v>
      </c>
      <c r="AB39">
        <v>9.6300000000000008</v>
      </c>
      <c r="AC39">
        <v>8.14</v>
      </c>
      <c r="AD39">
        <v>10.54</v>
      </c>
      <c r="AE39">
        <v>8.9700000000000006</v>
      </c>
    </row>
    <row r="40" spans="1:31" x14ac:dyDescent="0.2">
      <c r="A40" s="11">
        <v>44593</v>
      </c>
      <c r="B40">
        <v>8.86</v>
      </c>
      <c r="C40">
        <v>8.58</v>
      </c>
      <c r="D40">
        <v>10.45</v>
      </c>
      <c r="E40">
        <v>9.01</v>
      </c>
      <c r="F40">
        <v>11.94</v>
      </c>
      <c r="G40">
        <v>9.81</v>
      </c>
      <c r="H40">
        <v>9.1</v>
      </c>
      <c r="I40">
        <v>8.5399999999999991</v>
      </c>
      <c r="J40">
        <v>8.6300000000000008</v>
      </c>
      <c r="K40">
        <v>9.5500000000000007</v>
      </c>
      <c r="L40">
        <v>7.53</v>
      </c>
      <c r="M40">
        <v>8.09</v>
      </c>
      <c r="N40">
        <v>6.13</v>
      </c>
      <c r="O40">
        <v>7.27</v>
      </c>
      <c r="P40">
        <v>9.76</v>
      </c>
      <c r="Q40">
        <v>6.43</v>
      </c>
      <c r="R40">
        <v>10.41</v>
      </c>
      <c r="S40">
        <v>7.96</v>
      </c>
      <c r="T40">
        <v>9.6999999999999993</v>
      </c>
      <c r="U40">
        <v>22.45</v>
      </c>
      <c r="V40">
        <v>10.31</v>
      </c>
      <c r="W40">
        <v>7.04</v>
      </c>
      <c r="X40">
        <v>5.82</v>
      </c>
      <c r="Y40">
        <v>4.99</v>
      </c>
      <c r="Z40">
        <v>10.1</v>
      </c>
      <c r="AA40">
        <v>9.11</v>
      </c>
      <c r="AB40">
        <v>10.56</v>
      </c>
      <c r="AC40">
        <v>8.77</v>
      </c>
      <c r="AD40">
        <v>11.56</v>
      </c>
      <c r="AE40">
        <v>9.26</v>
      </c>
    </row>
    <row r="41" spans="1:31" x14ac:dyDescent="0.2">
      <c r="A41" s="11">
        <v>44621</v>
      </c>
      <c r="B41">
        <v>9.4</v>
      </c>
      <c r="C41">
        <v>9.06</v>
      </c>
      <c r="D41">
        <v>11.38</v>
      </c>
      <c r="E41">
        <v>9.25</v>
      </c>
      <c r="F41">
        <v>12.25</v>
      </c>
      <c r="G41">
        <v>10.15</v>
      </c>
      <c r="H41">
        <v>9.44</v>
      </c>
      <c r="I41">
        <v>9.07</v>
      </c>
      <c r="J41">
        <v>9.34</v>
      </c>
      <c r="K41">
        <v>10.24</v>
      </c>
      <c r="L41">
        <v>8.17</v>
      </c>
      <c r="M41">
        <v>8.6</v>
      </c>
      <c r="N41">
        <v>6.91</v>
      </c>
      <c r="O41">
        <v>7.3</v>
      </c>
      <c r="P41">
        <v>10.18</v>
      </c>
      <c r="Q41">
        <v>5.53</v>
      </c>
      <c r="R41">
        <v>10.53</v>
      </c>
      <c r="S41">
        <v>8.61</v>
      </c>
      <c r="T41">
        <v>9.2899999999999991</v>
      </c>
      <c r="U41">
        <v>24.12</v>
      </c>
      <c r="V41">
        <v>10.51</v>
      </c>
      <c r="W41">
        <v>6.61</v>
      </c>
      <c r="X41">
        <v>6.29</v>
      </c>
      <c r="Y41">
        <v>5.08</v>
      </c>
      <c r="Z41">
        <v>11.29</v>
      </c>
      <c r="AA41">
        <v>10.19</v>
      </c>
      <c r="AB41">
        <v>11.4</v>
      </c>
      <c r="AC41">
        <v>10.98</v>
      </c>
      <c r="AD41">
        <v>12.71</v>
      </c>
      <c r="AE41">
        <v>10.49</v>
      </c>
    </row>
    <row r="42" spans="1:31" x14ac:dyDescent="0.2">
      <c r="A42" s="11">
        <v>44652</v>
      </c>
      <c r="B42">
        <v>9.85</v>
      </c>
      <c r="C42">
        <v>9.51</v>
      </c>
      <c r="D42">
        <v>11.77</v>
      </c>
      <c r="E42">
        <v>9.61</v>
      </c>
      <c r="F42">
        <v>12.56</v>
      </c>
      <c r="G42">
        <v>11.14</v>
      </c>
      <c r="H42">
        <v>8.98</v>
      </c>
      <c r="I42">
        <v>9.85</v>
      </c>
      <c r="J42">
        <v>9.5399999999999991</v>
      </c>
      <c r="K42">
        <v>11.05</v>
      </c>
      <c r="L42">
        <v>8.85</v>
      </c>
      <c r="M42">
        <v>9.34</v>
      </c>
      <c r="N42">
        <v>7.33</v>
      </c>
      <c r="O42">
        <v>7.37</v>
      </c>
      <c r="P42">
        <v>9.2200000000000006</v>
      </c>
      <c r="Q42">
        <v>2.5499999999999998</v>
      </c>
      <c r="R42">
        <v>10.98</v>
      </c>
      <c r="S42">
        <v>8.8800000000000008</v>
      </c>
      <c r="T42">
        <v>8.9499999999999993</v>
      </c>
      <c r="U42">
        <v>20.55</v>
      </c>
      <c r="V42">
        <v>11.15</v>
      </c>
      <c r="W42">
        <v>7.16</v>
      </c>
      <c r="X42">
        <v>6.63</v>
      </c>
      <c r="Y42">
        <v>5.51</v>
      </c>
      <c r="Z42">
        <v>12.12</v>
      </c>
      <c r="AA42">
        <v>10.83</v>
      </c>
      <c r="AB42">
        <v>12.17</v>
      </c>
      <c r="AC42">
        <v>11.51</v>
      </c>
      <c r="AD42">
        <v>13.56</v>
      </c>
      <c r="AE42">
        <v>11.19</v>
      </c>
    </row>
    <row r="43" spans="1:31" x14ac:dyDescent="0.2">
      <c r="A43" s="11">
        <v>44682</v>
      </c>
      <c r="B43">
        <v>8.85</v>
      </c>
      <c r="C43">
        <v>8.5299999999999994</v>
      </c>
      <c r="D43">
        <v>11.67</v>
      </c>
      <c r="E43">
        <v>9.02</v>
      </c>
      <c r="F43">
        <v>9.9600000000000009</v>
      </c>
      <c r="G43">
        <v>11.05</v>
      </c>
      <c r="H43">
        <v>8.3800000000000008</v>
      </c>
      <c r="I43">
        <v>8.24</v>
      </c>
      <c r="J43">
        <v>8.73</v>
      </c>
      <c r="K43">
        <v>10.46</v>
      </c>
      <c r="L43">
        <v>7.24</v>
      </c>
      <c r="M43">
        <v>8.65</v>
      </c>
      <c r="N43">
        <v>6.84</v>
      </c>
      <c r="O43">
        <v>6.08</v>
      </c>
      <c r="P43">
        <v>9.1199999999999992</v>
      </c>
      <c r="Q43">
        <v>7.18</v>
      </c>
      <c r="R43">
        <v>9.3699999999999992</v>
      </c>
      <c r="S43">
        <v>8.98</v>
      </c>
      <c r="T43">
        <v>5.42</v>
      </c>
      <c r="U43">
        <v>13.47</v>
      </c>
      <c r="V43">
        <v>9.07</v>
      </c>
      <c r="W43">
        <v>8.27</v>
      </c>
      <c r="X43">
        <v>8.98</v>
      </c>
      <c r="Y43">
        <v>4.96</v>
      </c>
      <c r="Z43">
        <v>10.72</v>
      </c>
      <c r="AA43">
        <v>9.39</v>
      </c>
      <c r="AB43">
        <v>10.19</v>
      </c>
      <c r="AC43">
        <v>10.41</v>
      </c>
      <c r="AD43">
        <v>12.4</v>
      </c>
      <c r="AE43">
        <v>9.9499999999999993</v>
      </c>
    </row>
    <row r="44" spans="1:31" x14ac:dyDescent="0.2">
      <c r="A44" s="11">
        <v>44713</v>
      </c>
      <c r="B44">
        <v>9.52</v>
      </c>
      <c r="C44">
        <v>9.19</v>
      </c>
      <c r="D44">
        <v>11.58</v>
      </c>
      <c r="E44">
        <v>10.47</v>
      </c>
      <c r="F44">
        <v>11.2</v>
      </c>
      <c r="G44">
        <v>11.22</v>
      </c>
      <c r="H44">
        <v>5.43</v>
      </c>
      <c r="I44">
        <v>9.1</v>
      </c>
      <c r="J44">
        <v>8.65</v>
      </c>
      <c r="K44">
        <v>11</v>
      </c>
      <c r="L44">
        <v>7.74</v>
      </c>
      <c r="M44">
        <v>10.199999999999999</v>
      </c>
      <c r="N44">
        <v>7.78</v>
      </c>
      <c r="O44">
        <v>6.78</v>
      </c>
      <c r="P44">
        <v>7.86</v>
      </c>
      <c r="Q44">
        <v>6.34</v>
      </c>
      <c r="R44">
        <v>11.27</v>
      </c>
      <c r="S44">
        <v>8.4</v>
      </c>
      <c r="T44">
        <v>6.2</v>
      </c>
      <c r="U44">
        <v>3.62</v>
      </c>
      <c r="V44">
        <v>8.33</v>
      </c>
      <c r="W44">
        <v>8.6999999999999993</v>
      </c>
      <c r="X44">
        <v>7.88</v>
      </c>
      <c r="Y44">
        <v>5.79</v>
      </c>
      <c r="Z44">
        <v>11.92</v>
      </c>
      <c r="AA44">
        <v>10.68</v>
      </c>
      <c r="AB44">
        <v>11.69</v>
      </c>
      <c r="AC44">
        <v>12.81</v>
      </c>
      <c r="AD44">
        <v>13.21</v>
      </c>
      <c r="AE44">
        <v>10.33</v>
      </c>
    </row>
    <row r="45" spans="1:31" x14ac:dyDescent="0.2">
      <c r="A45" s="11">
        <v>44743</v>
      </c>
      <c r="B45">
        <v>9.85</v>
      </c>
      <c r="C45">
        <v>9.52</v>
      </c>
      <c r="D45">
        <v>11.94</v>
      </c>
      <c r="E45">
        <v>10.72</v>
      </c>
      <c r="F45">
        <v>10.74</v>
      </c>
      <c r="G45">
        <v>11.78</v>
      </c>
      <c r="H45">
        <v>7.33</v>
      </c>
      <c r="I45">
        <v>9.51</v>
      </c>
      <c r="J45">
        <v>8.93</v>
      </c>
      <c r="K45">
        <v>11.39</v>
      </c>
      <c r="L45">
        <v>7.97</v>
      </c>
      <c r="M45">
        <v>9.82</v>
      </c>
      <c r="N45">
        <v>8.74</v>
      </c>
      <c r="O45">
        <v>8.16</v>
      </c>
      <c r="P45">
        <v>6.86</v>
      </c>
      <c r="Q45">
        <v>6.68</v>
      </c>
      <c r="R45">
        <v>11.2</v>
      </c>
      <c r="S45">
        <v>9.06</v>
      </c>
      <c r="T45">
        <v>6.84</v>
      </c>
      <c r="U45">
        <v>3.42</v>
      </c>
      <c r="V45">
        <v>9.52</v>
      </c>
      <c r="W45">
        <v>9.0399999999999991</v>
      </c>
      <c r="X45">
        <v>8.7899999999999991</v>
      </c>
      <c r="Y45">
        <v>5.93</v>
      </c>
      <c r="Z45">
        <v>11.89</v>
      </c>
      <c r="AA45">
        <v>10.59</v>
      </c>
      <c r="AB45">
        <v>11.29</v>
      </c>
      <c r="AC45">
        <v>11.41</v>
      </c>
      <c r="AD45">
        <v>13.84</v>
      </c>
      <c r="AE45">
        <v>10.68</v>
      </c>
    </row>
    <row r="46" spans="1:31" x14ac:dyDescent="0.2">
      <c r="A46" s="11">
        <v>44774</v>
      </c>
      <c r="B46">
        <v>9.91</v>
      </c>
      <c r="C46">
        <v>9.58</v>
      </c>
      <c r="D46">
        <v>11.71</v>
      </c>
      <c r="E46">
        <v>10.84</v>
      </c>
      <c r="F46">
        <v>11.08</v>
      </c>
      <c r="G46">
        <v>11.14</v>
      </c>
      <c r="H46">
        <v>7.16</v>
      </c>
      <c r="I46">
        <v>9.51</v>
      </c>
      <c r="J46">
        <v>9.15</v>
      </c>
      <c r="K46">
        <v>11.37</v>
      </c>
      <c r="L46">
        <v>8.19</v>
      </c>
      <c r="M46">
        <v>9.56</v>
      </c>
      <c r="N46">
        <v>9.1</v>
      </c>
      <c r="O46">
        <v>8.39</v>
      </c>
      <c r="P46">
        <v>6.45</v>
      </c>
      <c r="Q46">
        <v>6.75</v>
      </c>
      <c r="R46">
        <v>11.24</v>
      </c>
      <c r="S46">
        <v>9.07</v>
      </c>
      <c r="T46">
        <v>6.85</v>
      </c>
      <c r="U46">
        <v>4.3899999999999997</v>
      </c>
      <c r="V46">
        <v>9.7100000000000009</v>
      </c>
      <c r="W46">
        <v>9.17</v>
      </c>
      <c r="X46">
        <v>8.66</v>
      </c>
      <c r="Y46">
        <v>5.91</v>
      </c>
      <c r="Z46">
        <v>11.85</v>
      </c>
      <c r="AA46">
        <v>10.59</v>
      </c>
      <c r="AB46">
        <v>11.55</v>
      </c>
      <c r="AC46">
        <v>11.81</v>
      </c>
      <c r="AD46">
        <v>13.83</v>
      </c>
      <c r="AE46">
        <v>10.17</v>
      </c>
    </row>
    <row r="47" spans="1:31" x14ac:dyDescent="0.2">
      <c r="A47" s="11">
        <v>44805</v>
      </c>
      <c r="B47">
        <v>10.17</v>
      </c>
      <c r="C47">
        <v>9.9</v>
      </c>
      <c r="D47">
        <v>12.31</v>
      </c>
      <c r="E47">
        <v>11.12</v>
      </c>
      <c r="F47">
        <v>10.87</v>
      </c>
      <c r="G47">
        <v>11.38</v>
      </c>
      <c r="H47">
        <v>9.99</v>
      </c>
      <c r="I47">
        <v>9.83</v>
      </c>
      <c r="J47">
        <v>9.27</v>
      </c>
      <c r="K47">
        <v>11.52</v>
      </c>
      <c r="L47">
        <v>8.6</v>
      </c>
      <c r="M47">
        <v>9.73</v>
      </c>
      <c r="N47">
        <v>10.23</v>
      </c>
      <c r="O47">
        <v>9.17</v>
      </c>
      <c r="P47">
        <v>6.99</v>
      </c>
      <c r="Q47">
        <v>5.79</v>
      </c>
      <c r="R47">
        <v>11.58</v>
      </c>
      <c r="S47">
        <v>9.36</v>
      </c>
      <c r="T47">
        <v>7.78</v>
      </c>
      <c r="U47">
        <v>5.75</v>
      </c>
      <c r="V47">
        <v>9.9700000000000006</v>
      </c>
      <c r="W47">
        <v>9.8699999999999992</v>
      </c>
      <c r="X47">
        <v>9.26</v>
      </c>
      <c r="Y47">
        <v>6.1</v>
      </c>
      <c r="Z47">
        <v>12.23</v>
      </c>
      <c r="AA47">
        <v>11</v>
      </c>
      <c r="AB47">
        <v>11.93</v>
      </c>
      <c r="AC47">
        <v>12.29</v>
      </c>
      <c r="AD47">
        <v>14.16</v>
      </c>
      <c r="AE47">
        <v>10.72</v>
      </c>
    </row>
    <row r="48" spans="1:31" x14ac:dyDescent="0.2">
      <c r="A48" s="11">
        <v>44835</v>
      </c>
      <c r="B48">
        <v>10.16</v>
      </c>
      <c r="C48">
        <v>9.7799999999999994</v>
      </c>
      <c r="D48">
        <v>12.66</v>
      </c>
      <c r="E48">
        <v>10.92</v>
      </c>
      <c r="F48">
        <v>10.46</v>
      </c>
      <c r="G48">
        <v>11.75</v>
      </c>
      <c r="H48">
        <v>10.92</v>
      </c>
      <c r="I48">
        <v>9.77</v>
      </c>
      <c r="J48">
        <v>9.2799999999999994</v>
      </c>
      <c r="K48">
        <v>11.58</v>
      </c>
      <c r="L48">
        <v>8.68</v>
      </c>
      <c r="M48">
        <v>9.67</v>
      </c>
      <c r="N48">
        <v>9.15</v>
      </c>
      <c r="O48">
        <v>8.59</v>
      </c>
      <c r="P48">
        <v>5.2</v>
      </c>
      <c r="Q48">
        <v>6.43</v>
      </c>
      <c r="R48">
        <v>11.55</v>
      </c>
      <c r="S48">
        <v>9.0500000000000007</v>
      </c>
      <c r="T48">
        <v>7.66</v>
      </c>
      <c r="U48">
        <v>5.3</v>
      </c>
      <c r="V48">
        <v>10.039999999999999</v>
      </c>
      <c r="W48">
        <v>10.9</v>
      </c>
      <c r="X48">
        <v>9.32</v>
      </c>
      <c r="Y48">
        <v>6.29</v>
      </c>
      <c r="Z48">
        <v>12.16</v>
      </c>
      <c r="AA48">
        <v>11.13</v>
      </c>
      <c r="AB48">
        <v>11.72</v>
      </c>
      <c r="AC48">
        <v>11.99</v>
      </c>
      <c r="AD48">
        <v>13.86</v>
      </c>
      <c r="AE48">
        <v>10.87</v>
      </c>
    </row>
    <row r="49" spans="1:31" x14ac:dyDescent="0.2">
      <c r="A49" s="11">
        <v>44866</v>
      </c>
      <c r="B49">
        <v>9.83</v>
      </c>
      <c r="C49">
        <v>9.51</v>
      </c>
      <c r="D49">
        <v>12.49</v>
      </c>
      <c r="E49">
        <v>10.52</v>
      </c>
      <c r="F49">
        <v>8.0299999999999994</v>
      </c>
      <c r="G49">
        <v>12.24</v>
      </c>
      <c r="H49">
        <v>10.36</v>
      </c>
      <c r="I49">
        <v>9.59</v>
      </c>
      <c r="J49">
        <v>9.23</v>
      </c>
      <c r="K49">
        <v>11.42</v>
      </c>
      <c r="L49">
        <v>8.6300000000000008</v>
      </c>
      <c r="M49">
        <v>9.48</v>
      </c>
      <c r="N49">
        <v>8.91</v>
      </c>
      <c r="O49">
        <v>8.08</v>
      </c>
      <c r="P49">
        <v>2.5099999999999998</v>
      </c>
      <c r="Q49">
        <v>2.72</v>
      </c>
      <c r="R49">
        <v>11.29</v>
      </c>
      <c r="S49">
        <v>8.61</v>
      </c>
      <c r="T49">
        <v>8.14</v>
      </c>
      <c r="U49">
        <v>5.33</v>
      </c>
      <c r="V49">
        <v>9.93</v>
      </c>
      <c r="W49">
        <v>10.99</v>
      </c>
      <c r="X49">
        <v>8.73</v>
      </c>
      <c r="Y49">
        <v>6.59</v>
      </c>
      <c r="Z49">
        <v>11.94</v>
      </c>
      <c r="AA49">
        <v>11.05</v>
      </c>
      <c r="AB49">
        <v>11.58</v>
      </c>
      <c r="AC49">
        <v>11.8</v>
      </c>
      <c r="AD49">
        <v>13.64</v>
      </c>
      <c r="AE49">
        <v>10.46</v>
      </c>
    </row>
    <row r="50" spans="1:31" x14ac:dyDescent="0.2">
      <c r="A50" s="11">
        <v>44896</v>
      </c>
      <c r="B50">
        <v>9.58</v>
      </c>
      <c r="C50">
        <v>9.1999999999999993</v>
      </c>
      <c r="D50">
        <v>11.5</v>
      </c>
      <c r="E50">
        <v>10.029999999999999</v>
      </c>
      <c r="F50">
        <v>8.93</v>
      </c>
      <c r="G50">
        <v>11.34</v>
      </c>
      <c r="H50">
        <v>10.23</v>
      </c>
      <c r="I50">
        <v>9.2899999999999991</v>
      </c>
      <c r="J50">
        <v>9.0399999999999991</v>
      </c>
      <c r="K50">
        <v>10.95</v>
      </c>
      <c r="L50">
        <v>8.32</v>
      </c>
      <c r="M50">
        <v>9.1300000000000008</v>
      </c>
      <c r="N50">
        <v>8.5399999999999991</v>
      </c>
      <c r="O50">
        <v>7.87</v>
      </c>
      <c r="P50">
        <v>4.2</v>
      </c>
      <c r="Q50">
        <v>2.42</v>
      </c>
      <c r="R50">
        <v>10.91</v>
      </c>
      <c r="S50">
        <v>8.34</v>
      </c>
      <c r="T50">
        <v>8.08</v>
      </c>
      <c r="U50">
        <v>4.57</v>
      </c>
      <c r="V50">
        <v>9.8000000000000007</v>
      </c>
      <c r="W50">
        <v>10.79</v>
      </c>
      <c r="X50">
        <v>8.67</v>
      </c>
      <c r="Y50">
        <v>6.38</v>
      </c>
      <c r="Z50">
        <v>11.53</v>
      </c>
      <c r="AA50">
        <v>10.64</v>
      </c>
      <c r="AB50">
        <v>11.03</v>
      </c>
      <c r="AC50">
        <v>11.33</v>
      </c>
      <c r="AD50">
        <v>13.02</v>
      </c>
      <c r="AE50">
        <v>10.130000000000001</v>
      </c>
    </row>
    <row r="51" spans="1:31" x14ac:dyDescent="0.2">
      <c r="A51" s="11">
        <v>44927</v>
      </c>
      <c r="B51">
        <v>9.08</v>
      </c>
      <c r="C51">
        <v>8.83</v>
      </c>
      <c r="D51">
        <v>11.04</v>
      </c>
      <c r="E51">
        <v>9.4700000000000006</v>
      </c>
      <c r="F51">
        <v>8.66</v>
      </c>
      <c r="G51">
        <v>10.7</v>
      </c>
      <c r="H51">
        <v>9.4</v>
      </c>
      <c r="I51">
        <v>8.7899999999999991</v>
      </c>
      <c r="J51">
        <v>8.4</v>
      </c>
      <c r="K51">
        <v>10.55</v>
      </c>
      <c r="L51">
        <v>7.89</v>
      </c>
      <c r="M51">
        <v>8.5500000000000007</v>
      </c>
      <c r="N51">
        <v>8.11</v>
      </c>
      <c r="O51">
        <v>7.35</v>
      </c>
      <c r="P51">
        <v>4.59</v>
      </c>
      <c r="Q51">
        <v>1.98</v>
      </c>
      <c r="R51">
        <v>10.47</v>
      </c>
      <c r="S51">
        <v>8.17</v>
      </c>
      <c r="T51">
        <v>7.62</v>
      </c>
      <c r="U51">
        <v>3.79</v>
      </c>
      <c r="V51">
        <v>9.3000000000000007</v>
      </c>
      <c r="W51">
        <v>9.31</v>
      </c>
      <c r="X51">
        <v>8.75</v>
      </c>
      <c r="Y51">
        <v>6.52</v>
      </c>
      <c r="Z51">
        <v>10.52</v>
      </c>
      <c r="AA51">
        <v>9.6999999999999993</v>
      </c>
      <c r="AB51">
        <v>10.35</v>
      </c>
      <c r="AC51">
        <v>10.220000000000001</v>
      </c>
      <c r="AD51">
        <v>11.77</v>
      </c>
      <c r="AE51">
        <v>9.58</v>
      </c>
    </row>
    <row r="52" spans="1:31" x14ac:dyDescent="0.2">
      <c r="A52" s="11">
        <v>44958</v>
      </c>
      <c r="B52">
        <v>8.7899999999999991</v>
      </c>
      <c r="C52">
        <v>8.67</v>
      </c>
      <c r="D52">
        <v>10.54</v>
      </c>
      <c r="E52">
        <v>9.24</v>
      </c>
      <c r="F52">
        <v>7.88</v>
      </c>
      <c r="G52">
        <v>10.5</v>
      </c>
      <c r="H52">
        <v>8.94</v>
      </c>
      <c r="I52">
        <v>8.57</v>
      </c>
      <c r="J52">
        <v>8.43</v>
      </c>
      <c r="K52">
        <v>9.99</v>
      </c>
      <c r="L52">
        <v>7.73</v>
      </c>
      <c r="M52">
        <v>8.32</v>
      </c>
      <c r="N52">
        <v>8.09</v>
      </c>
      <c r="O52">
        <v>7.28</v>
      </c>
      <c r="P52">
        <v>3.93</v>
      </c>
      <c r="Q52">
        <v>1.73</v>
      </c>
      <c r="R52">
        <v>10.050000000000001</v>
      </c>
      <c r="S52">
        <v>7.99</v>
      </c>
      <c r="T52">
        <v>7.56</v>
      </c>
      <c r="U52">
        <v>3.18</v>
      </c>
      <c r="V52">
        <v>8.93</v>
      </c>
      <c r="W52">
        <v>18.45</v>
      </c>
      <c r="X52">
        <v>8.76</v>
      </c>
      <c r="Y52">
        <v>6.71</v>
      </c>
      <c r="Z52">
        <v>9.7899999999999991</v>
      </c>
      <c r="AA52">
        <v>8.9700000000000006</v>
      </c>
      <c r="AB52">
        <v>9.61</v>
      </c>
      <c r="AC52">
        <v>9.49</v>
      </c>
      <c r="AD52">
        <v>10.66</v>
      </c>
      <c r="AE52">
        <v>9.0500000000000007</v>
      </c>
    </row>
    <row r="53" spans="1:31" x14ac:dyDescent="0.2">
      <c r="A53" s="11">
        <v>44986</v>
      </c>
      <c r="B53">
        <v>8.18</v>
      </c>
      <c r="C53">
        <v>8.1300000000000008</v>
      </c>
      <c r="D53">
        <v>9.5500000000000007</v>
      </c>
      <c r="E53">
        <v>8.4700000000000006</v>
      </c>
      <c r="F53">
        <v>7.57</v>
      </c>
      <c r="G53">
        <v>9.99</v>
      </c>
      <c r="H53">
        <v>7.8</v>
      </c>
      <c r="I53">
        <v>7.96</v>
      </c>
      <c r="J53">
        <v>8</v>
      </c>
      <c r="K53">
        <v>9.17</v>
      </c>
      <c r="L53">
        <v>7.25</v>
      </c>
      <c r="M53">
        <v>7.69</v>
      </c>
      <c r="N53">
        <v>7.65</v>
      </c>
      <c r="O53">
        <v>7.18</v>
      </c>
      <c r="P53">
        <v>4.07</v>
      </c>
      <c r="Q53">
        <v>2.5299999999999998</v>
      </c>
      <c r="R53">
        <v>9.75</v>
      </c>
      <c r="S53">
        <v>7.43</v>
      </c>
      <c r="T53">
        <v>7.4</v>
      </c>
      <c r="U53">
        <v>3.04</v>
      </c>
      <c r="V53">
        <v>8.33</v>
      </c>
      <c r="W53">
        <v>18.53</v>
      </c>
      <c r="X53">
        <v>8.65</v>
      </c>
      <c r="Y53">
        <v>6.62</v>
      </c>
      <c r="Z53">
        <v>8.57</v>
      </c>
      <c r="AA53">
        <v>8.1999999999999993</v>
      </c>
      <c r="AB53">
        <v>8.82</v>
      </c>
      <c r="AC53">
        <v>8.1199999999999992</v>
      </c>
      <c r="AD53">
        <v>9.1</v>
      </c>
      <c r="AE53">
        <v>7.73</v>
      </c>
    </row>
    <row r="54" spans="1:31" x14ac:dyDescent="0.2">
      <c r="A54" s="11">
        <v>45017</v>
      </c>
      <c r="B54">
        <v>7.47</v>
      </c>
      <c r="C54">
        <v>7.48</v>
      </c>
      <c r="D54">
        <v>8.6999999999999993</v>
      </c>
      <c r="E54">
        <v>7.64</v>
      </c>
      <c r="F54">
        <v>7.17</v>
      </c>
      <c r="G54">
        <v>9.08</v>
      </c>
      <c r="H54">
        <v>6.95</v>
      </c>
      <c r="I54">
        <v>7.23</v>
      </c>
      <c r="J54">
        <v>7.63</v>
      </c>
      <c r="K54">
        <v>7.99</v>
      </c>
      <c r="L54">
        <v>6.34</v>
      </c>
      <c r="M54">
        <v>7</v>
      </c>
      <c r="N54">
        <v>6.95</v>
      </c>
      <c r="O54">
        <v>6.43</v>
      </c>
      <c r="P54">
        <v>4.68</v>
      </c>
      <c r="Q54">
        <v>2.54</v>
      </c>
      <c r="R54">
        <v>8.67</v>
      </c>
      <c r="S54">
        <v>7</v>
      </c>
      <c r="T54">
        <v>6.81</v>
      </c>
      <c r="U54">
        <v>2.85</v>
      </c>
      <c r="V54">
        <v>7.3</v>
      </c>
      <c r="W54">
        <v>17.329999999999998</v>
      </c>
      <c r="X54">
        <v>8.42</v>
      </c>
      <c r="Y54">
        <v>6.37</v>
      </c>
      <c r="Z54">
        <v>7.63</v>
      </c>
      <c r="AA54">
        <v>7.33</v>
      </c>
      <c r="AB54">
        <v>8.06</v>
      </c>
      <c r="AC54">
        <v>7.36</v>
      </c>
      <c r="AD54">
        <v>7.88</v>
      </c>
      <c r="AE54">
        <v>6.96</v>
      </c>
    </row>
    <row r="55" spans="1:31" x14ac:dyDescent="0.2">
      <c r="A55" s="11">
        <v>45047</v>
      </c>
      <c r="B55">
        <v>6.64</v>
      </c>
      <c r="C55">
        <v>6.66</v>
      </c>
      <c r="D55">
        <v>7.72</v>
      </c>
      <c r="E55">
        <v>6.56</v>
      </c>
      <c r="F55">
        <v>5.83</v>
      </c>
      <c r="G55">
        <v>8.0299999999999994</v>
      </c>
      <c r="H55">
        <v>6.74</v>
      </c>
      <c r="I55">
        <v>6.3</v>
      </c>
      <c r="J55">
        <v>6.78</v>
      </c>
      <c r="K55">
        <v>6.84</v>
      </c>
      <c r="L55">
        <v>5.63</v>
      </c>
      <c r="M55">
        <v>6.32</v>
      </c>
      <c r="N55">
        <v>6.22</v>
      </c>
      <c r="O55">
        <v>6.28</v>
      </c>
      <c r="P55">
        <v>4.6399999999999997</v>
      </c>
      <c r="Q55">
        <v>-0.3</v>
      </c>
      <c r="R55">
        <v>7.8</v>
      </c>
      <c r="S55">
        <v>6.14</v>
      </c>
      <c r="T55">
        <v>6.71</v>
      </c>
      <c r="U55">
        <v>1.5</v>
      </c>
      <c r="V55">
        <v>6.54</v>
      </c>
      <c r="W55">
        <v>17.39</v>
      </c>
      <c r="X55">
        <v>7.8</v>
      </c>
      <c r="Y55">
        <v>6.23</v>
      </c>
      <c r="Z55">
        <v>6.71</v>
      </c>
      <c r="AA55">
        <v>6.71</v>
      </c>
      <c r="AB55">
        <v>7.14</v>
      </c>
      <c r="AC55">
        <v>6.44</v>
      </c>
      <c r="AD55">
        <v>6.75</v>
      </c>
      <c r="AE55">
        <v>6.28</v>
      </c>
    </row>
    <row r="56" spans="1:31" x14ac:dyDescent="0.2">
      <c r="A56" s="11">
        <v>45078</v>
      </c>
      <c r="B56">
        <v>6.14</v>
      </c>
      <c r="C56">
        <v>6.15</v>
      </c>
      <c r="D56">
        <v>7.12</v>
      </c>
      <c r="E56">
        <v>5.95</v>
      </c>
      <c r="F56">
        <v>6.09</v>
      </c>
      <c r="G56">
        <v>7.26</v>
      </c>
      <c r="H56">
        <v>6.89</v>
      </c>
      <c r="I56">
        <v>5.73</v>
      </c>
      <c r="J56">
        <v>6.14</v>
      </c>
      <c r="K56">
        <v>6.08</v>
      </c>
      <c r="L56">
        <v>5.3</v>
      </c>
      <c r="M56">
        <v>5.95</v>
      </c>
      <c r="N56">
        <v>5.66</v>
      </c>
      <c r="O56">
        <v>5.39</v>
      </c>
      <c r="P56">
        <v>5.81</v>
      </c>
      <c r="Q56">
        <v>1.28</v>
      </c>
      <c r="R56">
        <v>7.4</v>
      </c>
      <c r="S56">
        <v>5.43</v>
      </c>
      <c r="T56">
        <v>6.62</v>
      </c>
      <c r="U56">
        <v>0</v>
      </c>
      <c r="V56">
        <v>6.15</v>
      </c>
      <c r="W56">
        <v>14.89</v>
      </c>
      <c r="X56">
        <v>7.6</v>
      </c>
      <c r="Y56">
        <v>6.2</v>
      </c>
      <c r="Z56">
        <v>6.06</v>
      </c>
      <c r="AA56">
        <v>6.06</v>
      </c>
      <c r="AB56">
        <v>6.48</v>
      </c>
      <c r="AC56">
        <v>6.09</v>
      </c>
      <c r="AD56">
        <v>5.95</v>
      </c>
      <c r="AE56">
        <v>6</v>
      </c>
    </row>
    <row r="57" spans="1:31" x14ac:dyDescent="0.2">
      <c r="A57" s="11">
        <v>45108</v>
      </c>
      <c r="B57">
        <v>5.64</v>
      </c>
      <c r="C57">
        <v>5.66</v>
      </c>
      <c r="D57">
        <v>6.3</v>
      </c>
      <c r="E57">
        <v>5.36</v>
      </c>
      <c r="F57">
        <v>5.9</v>
      </c>
      <c r="G57">
        <v>6.87</v>
      </c>
      <c r="H57">
        <v>5.97</v>
      </c>
      <c r="I57">
        <v>5.19</v>
      </c>
      <c r="J57">
        <v>5.5</v>
      </c>
      <c r="K57">
        <v>5.4</v>
      </c>
      <c r="L57">
        <v>5.04</v>
      </c>
      <c r="M57">
        <v>5.66</v>
      </c>
      <c r="N57">
        <v>5.36</v>
      </c>
      <c r="O57">
        <v>5.59</v>
      </c>
      <c r="P57">
        <v>2.4700000000000002</v>
      </c>
      <c r="Q57">
        <v>0.3</v>
      </c>
      <c r="R57">
        <v>6.73</v>
      </c>
      <c r="S57">
        <v>5.28</v>
      </c>
      <c r="T57">
        <v>5.69</v>
      </c>
      <c r="U57">
        <v>-0.06</v>
      </c>
      <c r="V57">
        <v>5.42</v>
      </c>
      <c r="W57">
        <v>14.08</v>
      </c>
      <c r="X57">
        <v>7.1</v>
      </c>
      <c r="Y57">
        <v>6.17</v>
      </c>
      <c r="Z57">
        <v>5.49</v>
      </c>
      <c r="AA57">
        <v>5.59</v>
      </c>
      <c r="AB57">
        <v>5.9</v>
      </c>
      <c r="AC57">
        <v>5.94</v>
      </c>
      <c r="AD57">
        <v>5.04</v>
      </c>
      <c r="AE57">
        <v>5.34</v>
      </c>
    </row>
    <row r="58" spans="1:31" x14ac:dyDescent="0.2">
      <c r="A58" s="11">
        <v>45139</v>
      </c>
      <c r="B58">
        <v>5.15</v>
      </c>
      <c r="C58">
        <v>5.24</v>
      </c>
      <c r="D58">
        <v>5.61</v>
      </c>
      <c r="E58">
        <v>4.8899999999999997</v>
      </c>
      <c r="F58">
        <v>6.14</v>
      </c>
      <c r="G58">
        <v>5.83</v>
      </c>
      <c r="H58">
        <v>5.99</v>
      </c>
      <c r="I58">
        <v>4.82</v>
      </c>
      <c r="J58">
        <v>5.18</v>
      </c>
      <c r="K58">
        <v>4.68</v>
      </c>
      <c r="L58">
        <v>4.66</v>
      </c>
      <c r="M58">
        <v>5.19</v>
      </c>
      <c r="N58">
        <v>4.97</v>
      </c>
      <c r="O58">
        <v>5.08</v>
      </c>
      <c r="P58">
        <v>3.46</v>
      </c>
      <c r="Q58">
        <v>-0.06</v>
      </c>
      <c r="R58">
        <v>6.2</v>
      </c>
      <c r="S58">
        <v>5.01</v>
      </c>
      <c r="T58">
        <v>4.75</v>
      </c>
      <c r="U58">
        <v>0.56000000000000005</v>
      </c>
      <c r="V58">
        <v>4.99</v>
      </c>
      <c r="W58">
        <v>12.92</v>
      </c>
      <c r="X58">
        <v>7.1</v>
      </c>
      <c r="Y58">
        <v>6.14</v>
      </c>
      <c r="Z58">
        <v>4.8099999999999996</v>
      </c>
      <c r="AA58">
        <v>5.2</v>
      </c>
      <c r="AB58">
        <v>5.32</v>
      </c>
      <c r="AC58">
        <v>5.37</v>
      </c>
      <c r="AD58">
        <v>4.22</v>
      </c>
      <c r="AE58">
        <v>4.8899999999999997</v>
      </c>
    </row>
    <row r="59" spans="1:31" x14ac:dyDescent="0.2">
      <c r="A59" s="11">
        <v>45170</v>
      </c>
      <c r="B59">
        <v>4.5599999999999996</v>
      </c>
      <c r="C59">
        <v>4.6399999999999997</v>
      </c>
      <c r="D59">
        <v>4.92</v>
      </c>
      <c r="E59">
        <v>4.09</v>
      </c>
      <c r="F59">
        <v>5.61</v>
      </c>
      <c r="G59">
        <v>4.88</v>
      </c>
      <c r="H59">
        <v>5.14</v>
      </c>
      <c r="I59">
        <v>4.17</v>
      </c>
      <c r="J59">
        <v>4.5</v>
      </c>
      <c r="K59">
        <v>3.78</v>
      </c>
      <c r="L59">
        <v>4.3899999999999997</v>
      </c>
      <c r="M59">
        <v>4.67</v>
      </c>
      <c r="N59">
        <v>4.41</v>
      </c>
      <c r="O59">
        <v>4.76</v>
      </c>
      <c r="P59">
        <v>3.51</v>
      </c>
      <c r="Q59">
        <v>1.03</v>
      </c>
      <c r="R59">
        <v>5.46</v>
      </c>
      <c r="S59">
        <v>4.63</v>
      </c>
      <c r="T59">
        <v>4.7300000000000004</v>
      </c>
      <c r="U59">
        <v>-0.44</v>
      </c>
      <c r="V59">
        <v>4.34</v>
      </c>
      <c r="W59">
        <v>12.62</v>
      </c>
      <c r="X59">
        <v>6.4</v>
      </c>
      <c r="Y59">
        <v>6.06</v>
      </c>
      <c r="Z59">
        <v>4.07</v>
      </c>
      <c r="AA59">
        <v>4.51</v>
      </c>
      <c r="AB59">
        <v>4.5199999999999996</v>
      </c>
      <c r="AC59">
        <v>4.57</v>
      </c>
      <c r="AD59">
        <v>3.18</v>
      </c>
      <c r="AE59">
        <v>4.3600000000000003</v>
      </c>
    </row>
    <row r="60" spans="1:31" x14ac:dyDescent="0.2">
      <c r="A60" s="11">
        <v>45200</v>
      </c>
      <c r="B60">
        <v>4.3099999999999996</v>
      </c>
      <c r="C60">
        <v>4.45</v>
      </c>
      <c r="D60">
        <v>4.25</v>
      </c>
      <c r="E60">
        <v>3.8</v>
      </c>
      <c r="F60">
        <v>5.47</v>
      </c>
      <c r="G60">
        <v>4.17</v>
      </c>
      <c r="H60">
        <v>3.95</v>
      </c>
      <c r="I60">
        <v>3.81</v>
      </c>
      <c r="J60">
        <v>4.08</v>
      </c>
      <c r="K60">
        <v>3.25</v>
      </c>
      <c r="L60">
        <v>3.97</v>
      </c>
      <c r="M60">
        <v>4.54</v>
      </c>
      <c r="N60">
        <v>4.34</v>
      </c>
      <c r="O60">
        <v>4.75</v>
      </c>
      <c r="P60">
        <v>8.35</v>
      </c>
      <c r="Q60">
        <v>0.79</v>
      </c>
      <c r="R60">
        <v>4.9400000000000004</v>
      </c>
      <c r="S60">
        <v>4.79</v>
      </c>
      <c r="T60">
        <v>4.2300000000000004</v>
      </c>
      <c r="U60">
        <v>-1.24</v>
      </c>
      <c r="V60">
        <v>3.87</v>
      </c>
      <c r="W60">
        <v>12.23</v>
      </c>
      <c r="X60">
        <v>6.28</v>
      </c>
      <c r="Y60">
        <v>5.72</v>
      </c>
      <c r="Z60">
        <v>3.59</v>
      </c>
      <c r="AA60">
        <v>4.1399999999999997</v>
      </c>
      <c r="AB60">
        <v>4.1500000000000004</v>
      </c>
      <c r="AC60">
        <v>4.2</v>
      </c>
      <c r="AD60">
        <v>2.62</v>
      </c>
      <c r="AE60">
        <v>3.92</v>
      </c>
    </row>
    <row r="61" spans="1:31" x14ac:dyDescent="0.2">
      <c r="A61" s="11">
        <v>45231</v>
      </c>
      <c r="B61">
        <v>3.9</v>
      </c>
      <c r="C61">
        <v>4.04</v>
      </c>
      <c r="D61">
        <v>3.6</v>
      </c>
      <c r="E61">
        <v>3.62</v>
      </c>
      <c r="F61">
        <v>6.35</v>
      </c>
      <c r="G61">
        <v>3.76</v>
      </c>
      <c r="H61">
        <v>4.05</v>
      </c>
      <c r="I61">
        <v>3.3</v>
      </c>
      <c r="J61">
        <v>3.71</v>
      </c>
      <c r="K61">
        <v>2.62</v>
      </c>
      <c r="L61">
        <v>3.71</v>
      </c>
      <c r="M61">
        <v>4.04</v>
      </c>
      <c r="N61">
        <v>4.03</v>
      </c>
      <c r="O61">
        <v>4.38</v>
      </c>
      <c r="P61">
        <v>5.43</v>
      </c>
      <c r="Q61">
        <v>0.96</v>
      </c>
      <c r="R61">
        <v>4.7</v>
      </c>
      <c r="S61">
        <v>4.6100000000000003</v>
      </c>
      <c r="T61">
        <v>3.44</v>
      </c>
      <c r="U61">
        <v>-1.3</v>
      </c>
      <c r="V61">
        <v>3.63</v>
      </c>
      <c r="W61">
        <v>10.64</v>
      </c>
      <c r="X61">
        <v>6.12</v>
      </c>
      <c r="Y61">
        <v>5.28</v>
      </c>
      <c r="Z61">
        <v>3.29</v>
      </c>
      <c r="AA61">
        <v>3.76</v>
      </c>
      <c r="AB61">
        <v>3.73</v>
      </c>
      <c r="AC61">
        <v>4.1900000000000004</v>
      </c>
      <c r="AD61">
        <v>2.17</v>
      </c>
      <c r="AE61">
        <v>3.91</v>
      </c>
    </row>
    <row r="62" spans="1:31" x14ac:dyDescent="0.2">
      <c r="A62" s="11">
        <v>45261</v>
      </c>
      <c r="B62">
        <v>3.61</v>
      </c>
      <c r="C62">
        <v>3.75</v>
      </c>
      <c r="D62">
        <v>2.95</v>
      </c>
      <c r="E62">
        <v>3.39</v>
      </c>
      <c r="F62">
        <v>5.08</v>
      </c>
      <c r="G62">
        <v>3.41</v>
      </c>
      <c r="H62">
        <v>3.76</v>
      </c>
      <c r="I62">
        <v>3.07</v>
      </c>
      <c r="J62">
        <v>3.41</v>
      </c>
      <c r="K62">
        <v>2.16</v>
      </c>
      <c r="L62">
        <v>3.36</v>
      </c>
      <c r="M62">
        <v>3.92</v>
      </c>
      <c r="N62">
        <v>3.97</v>
      </c>
      <c r="O62">
        <v>4.26</v>
      </c>
      <c r="P62">
        <v>3.97</v>
      </c>
      <c r="Q62">
        <v>-0.65</v>
      </c>
      <c r="R62">
        <v>4.53</v>
      </c>
      <c r="S62">
        <v>4.4000000000000004</v>
      </c>
      <c r="T62">
        <v>2.3199999999999998</v>
      </c>
      <c r="U62">
        <v>-2.59</v>
      </c>
      <c r="V62">
        <v>3.23</v>
      </c>
      <c r="W62">
        <v>10.19</v>
      </c>
      <c r="X62">
        <v>5.6</v>
      </c>
      <c r="Y62">
        <v>4.95</v>
      </c>
      <c r="Z62">
        <v>3.05</v>
      </c>
      <c r="AA62">
        <v>3.51</v>
      </c>
      <c r="AB62">
        <v>3.43</v>
      </c>
      <c r="AC62">
        <v>4.2300000000000004</v>
      </c>
      <c r="AD62">
        <v>1.89</v>
      </c>
      <c r="AE62">
        <v>3.83</v>
      </c>
    </row>
    <row r="63" spans="1:31" x14ac:dyDescent="0.2">
      <c r="A63" s="11">
        <v>45292</v>
      </c>
      <c r="B63">
        <v>3.37</v>
      </c>
      <c r="C63">
        <v>3.46</v>
      </c>
      <c r="D63">
        <v>2.63</v>
      </c>
      <c r="E63">
        <v>3.17</v>
      </c>
      <c r="F63">
        <v>4.9800000000000004</v>
      </c>
      <c r="G63">
        <v>3.19</v>
      </c>
      <c r="H63">
        <v>3.64</v>
      </c>
      <c r="I63">
        <v>2.68</v>
      </c>
      <c r="J63">
        <v>3.11</v>
      </c>
      <c r="K63">
        <v>1.71</v>
      </c>
      <c r="L63">
        <v>3.23</v>
      </c>
      <c r="M63">
        <v>3.7</v>
      </c>
      <c r="N63">
        <v>3.49</v>
      </c>
      <c r="O63">
        <v>3.6</v>
      </c>
      <c r="P63">
        <v>4.21</v>
      </c>
      <c r="Q63">
        <v>-0.53</v>
      </c>
      <c r="R63">
        <v>4.1900000000000004</v>
      </c>
      <c r="S63">
        <v>4.32</v>
      </c>
      <c r="T63">
        <v>1.55</v>
      </c>
      <c r="U63">
        <v>-1.61</v>
      </c>
      <c r="V63">
        <v>2.78</v>
      </c>
      <c r="W63">
        <v>9.74</v>
      </c>
      <c r="X63">
        <v>5.18</v>
      </c>
      <c r="Y63">
        <v>4.78</v>
      </c>
      <c r="Z63">
        <v>2.87</v>
      </c>
      <c r="AA63">
        <v>3.44</v>
      </c>
      <c r="AB63">
        <v>3.18</v>
      </c>
      <c r="AC63">
        <v>4.04</v>
      </c>
      <c r="AD63">
        <v>1.62</v>
      </c>
      <c r="AE63">
        <v>3.7</v>
      </c>
    </row>
    <row r="64" spans="1:31" x14ac:dyDescent="0.2">
      <c r="A64" s="11">
        <v>45323</v>
      </c>
      <c r="B64">
        <v>3.14</v>
      </c>
      <c r="C64">
        <v>3.18</v>
      </c>
      <c r="D64">
        <v>2.31</v>
      </c>
      <c r="E64">
        <v>2.73</v>
      </c>
      <c r="F64">
        <v>4.99</v>
      </c>
      <c r="G64">
        <v>2.84</v>
      </c>
      <c r="H64">
        <v>3.06</v>
      </c>
      <c r="I64">
        <v>2.56</v>
      </c>
      <c r="J64">
        <v>2.93</v>
      </c>
      <c r="K64">
        <v>1.6</v>
      </c>
      <c r="L64">
        <v>3.22</v>
      </c>
      <c r="M64">
        <v>3.37</v>
      </c>
      <c r="N64">
        <v>3.25</v>
      </c>
      <c r="O64">
        <v>3.3</v>
      </c>
      <c r="P64">
        <v>4.42</v>
      </c>
      <c r="Q64">
        <v>0.35</v>
      </c>
      <c r="R64">
        <v>4.08</v>
      </c>
      <c r="S64">
        <v>3.84</v>
      </c>
      <c r="T64">
        <v>1.03</v>
      </c>
      <c r="U64">
        <v>-0.86</v>
      </c>
      <c r="V64">
        <v>2.44</v>
      </c>
      <c r="W64">
        <v>1.34</v>
      </c>
      <c r="X64">
        <v>5.0599999999999996</v>
      </c>
      <c r="Y64">
        <v>4.5999999999999996</v>
      </c>
      <c r="Z64">
        <v>2.64</v>
      </c>
      <c r="AA64">
        <v>3.26</v>
      </c>
      <c r="AB64">
        <v>2.94</v>
      </c>
      <c r="AC64">
        <v>3.4</v>
      </c>
      <c r="AD64">
        <v>1.45</v>
      </c>
      <c r="AE64">
        <v>3.68</v>
      </c>
    </row>
    <row r="65" spans="1:31" x14ac:dyDescent="0.2">
      <c r="A65" s="11">
        <v>45352</v>
      </c>
      <c r="B65">
        <v>2.97</v>
      </c>
      <c r="C65">
        <v>3.12</v>
      </c>
      <c r="D65">
        <v>2.46</v>
      </c>
      <c r="E65">
        <v>2.67</v>
      </c>
      <c r="F65">
        <v>4.5199999999999996</v>
      </c>
      <c r="G65">
        <v>2.61</v>
      </c>
      <c r="H65">
        <v>3.4</v>
      </c>
      <c r="I65">
        <v>2.39</v>
      </c>
      <c r="J65">
        <v>2.58</v>
      </c>
      <c r="K65">
        <v>1.43</v>
      </c>
      <c r="L65">
        <v>3.04</v>
      </c>
      <c r="M65">
        <v>3.26</v>
      </c>
      <c r="N65">
        <v>3</v>
      </c>
      <c r="O65">
        <v>3.06</v>
      </c>
      <c r="P65">
        <v>4.03</v>
      </c>
      <c r="Q65">
        <v>-0.06</v>
      </c>
      <c r="R65">
        <v>3.95</v>
      </c>
      <c r="S65">
        <v>3.72</v>
      </c>
      <c r="T65">
        <v>0.68</v>
      </c>
      <c r="U65">
        <v>-1.17</v>
      </c>
      <c r="V65">
        <v>2.5499999999999998</v>
      </c>
      <c r="W65">
        <v>0.92</v>
      </c>
      <c r="X65">
        <v>4.93</v>
      </c>
      <c r="Y65">
        <v>4.54</v>
      </c>
      <c r="Z65">
        <v>2.57</v>
      </c>
      <c r="AA65">
        <v>3.02</v>
      </c>
      <c r="AB65">
        <v>2.59</v>
      </c>
      <c r="AC65">
        <v>3.27</v>
      </c>
      <c r="AD65">
        <v>1.56</v>
      </c>
      <c r="AE65">
        <v>3.79</v>
      </c>
    </row>
    <row r="66" spans="1:31" x14ac:dyDescent="0.2">
      <c r="A66" t="s">
        <v>285</v>
      </c>
      <c r="B66" t="s">
        <v>1269</v>
      </c>
      <c r="C66" t="s">
        <v>1269</v>
      </c>
      <c r="D66" t="s">
        <v>1269</v>
      </c>
      <c r="E66" t="s">
        <v>1269</v>
      </c>
      <c r="F66" t="s">
        <v>1269</v>
      </c>
      <c r="G66" t="s">
        <v>1269</v>
      </c>
      <c r="H66" t="s">
        <v>1269</v>
      </c>
      <c r="I66" t="s">
        <v>1269</v>
      </c>
      <c r="J66" t="s">
        <v>1269</v>
      </c>
      <c r="K66" t="s">
        <v>1269</v>
      </c>
      <c r="L66" t="s">
        <v>1269</v>
      </c>
      <c r="M66" t="s">
        <v>1269</v>
      </c>
      <c r="N66" t="s">
        <v>1269</v>
      </c>
      <c r="O66" t="s">
        <v>1269</v>
      </c>
      <c r="P66" t="s">
        <v>1269</v>
      </c>
      <c r="Q66" t="s">
        <v>1269</v>
      </c>
      <c r="R66" t="s">
        <v>1269</v>
      </c>
      <c r="S66" t="s">
        <v>1269</v>
      </c>
      <c r="T66" t="s">
        <v>1269</v>
      </c>
      <c r="U66" t="s">
        <v>1269</v>
      </c>
      <c r="V66" t="s">
        <v>1269</v>
      </c>
      <c r="W66" t="s">
        <v>1269</v>
      </c>
      <c r="X66" t="s">
        <v>1269</v>
      </c>
      <c r="Y66" t="s">
        <v>1269</v>
      </c>
      <c r="Z66" t="s">
        <v>1269</v>
      </c>
      <c r="AA66" t="s">
        <v>1269</v>
      </c>
      <c r="AB66" t="s">
        <v>1269</v>
      </c>
      <c r="AC66" t="s">
        <v>1269</v>
      </c>
      <c r="AD66" t="s">
        <v>1269</v>
      </c>
      <c r="AE66" t="s">
        <v>1269</v>
      </c>
    </row>
    <row r="67" spans="1:31" x14ac:dyDescent="0.2">
      <c r="A67" t="s">
        <v>123</v>
      </c>
      <c r="B67">
        <v>1.62</v>
      </c>
      <c r="C67">
        <v>1.61</v>
      </c>
      <c r="Z67">
        <v>1.61</v>
      </c>
    </row>
    <row r="68" spans="1:31" x14ac:dyDescent="0.2">
      <c r="A68" t="s">
        <v>8</v>
      </c>
      <c r="B68">
        <v>3.38</v>
      </c>
      <c r="C68">
        <v>3.43</v>
      </c>
      <c r="Z68">
        <v>3.12</v>
      </c>
    </row>
    <row r="69" spans="1:31" x14ac:dyDescent="0.2">
      <c r="A69" t="s">
        <v>9</v>
      </c>
      <c r="B69">
        <v>7.2</v>
      </c>
      <c r="C69">
        <v>7.13</v>
      </c>
      <c r="Z69">
        <v>7.56</v>
      </c>
    </row>
    <row r="70" spans="1:31" x14ac:dyDescent="0.2">
      <c r="A70" t="s">
        <v>11</v>
      </c>
      <c r="B70">
        <v>9.4700000000000006</v>
      </c>
      <c r="C70">
        <v>9.19</v>
      </c>
      <c r="D70">
        <v>11.55</v>
      </c>
      <c r="E70">
        <v>10.029999999999999</v>
      </c>
      <c r="F70">
        <v>9.7799999999999994</v>
      </c>
      <c r="G70">
        <v>11.18</v>
      </c>
      <c r="H70">
        <v>8.74</v>
      </c>
      <c r="I70">
        <v>9.16</v>
      </c>
      <c r="J70">
        <v>8.8800000000000008</v>
      </c>
      <c r="K70">
        <v>10.86</v>
      </c>
      <c r="L70">
        <v>8.09</v>
      </c>
      <c r="M70">
        <v>9.17</v>
      </c>
      <c r="N70">
        <v>8.3699999999999992</v>
      </c>
      <c r="O70">
        <v>7.69</v>
      </c>
      <c r="P70">
        <v>5.83</v>
      </c>
      <c r="Q70">
        <v>4.3600000000000003</v>
      </c>
      <c r="R70">
        <v>10.8</v>
      </c>
      <c r="S70">
        <v>8.6</v>
      </c>
      <c r="T70">
        <v>7.37</v>
      </c>
      <c r="U70">
        <v>6.12</v>
      </c>
      <c r="V70">
        <v>9.5</v>
      </c>
      <c r="W70">
        <v>10.99</v>
      </c>
      <c r="X70">
        <v>8.59</v>
      </c>
      <c r="Y70">
        <v>6.12</v>
      </c>
      <c r="Z70">
        <v>11.25</v>
      </c>
      <c r="AA70">
        <v>10.220000000000001</v>
      </c>
      <c r="AB70">
        <v>10.97</v>
      </c>
      <c r="AC70">
        <v>11.07</v>
      </c>
      <c r="AD70">
        <v>12.72</v>
      </c>
      <c r="AE70">
        <v>10.050000000000001</v>
      </c>
    </row>
    <row r="71" spans="1:31" x14ac:dyDescent="0.2">
      <c r="A71" t="s">
        <v>1270</v>
      </c>
      <c r="B71">
        <v>4.71</v>
      </c>
      <c r="C71">
        <v>4.79</v>
      </c>
      <c r="D71">
        <v>4.83</v>
      </c>
      <c r="E71">
        <v>4.46</v>
      </c>
      <c r="F71">
        <v>5.66</v>
      </c>
      <c r="G71">
        <v>5.1100000000000003</v>
      </c>
      <c r="H71">
        <v>4.93</v>
      </c>
      <c r="I71">
        <v>4.24</v>
      </c>
      <c r="J71">
        <v>4.5999999999999996</v>
      </c>
      <c r="K71">
        <v>3.91</v>
      </c>
      <c r="L71">
        <v>4.3</v>
      </c>
      <c r="M71">
        <v>4.78</v>
      </c>
      <c r="N71">
        <v>4.6100000000000003</v>
      </c>
      <c r="O71">
        <v>4.72</v>
      </c>
      <c r="P71">
        <v>4.58</v>
      </c>
      <c r="Q71">
        <v>0.47</v>
      </c>
      <c r="R71">
        <v>5.68</v>
      </c>
      <c r="S71">
        <v>4.91</v>
      </c>
      <c r="T71">
        <v>4</v>
      </c>
      <c r="U71">
        <v>-0.37</v>
      </c>
      <c r="V71">
        <v>4.4000000000000004</v>
      </c>
      <c r="W71">
        <v>10.93</v>
      </c>
      <c r="X71">
        <v>6.44</v>
      </c>
      <c r="Y71">
        <v>5.57</v>
      </c>
      <c r="Z71">
        <v>4.3600000000000003</v>
      </c>
      <c r="AA71">
        <v>4.68</v>
      </c>
      <c r="AB71">
        <v>4.75</v>
      </c>
      <c r="AC71">
        <v>4.9000000000000004</v>
      </c>
      <c r="AD71">
        <v>3.64</v>
      </c>
      <c r="AE71">
        <v>4.7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F99F-B3A9-8345-9EC7-491194696D1D}">
  <dimension ref="A1:F38"/>
  <sheetViews>
    <sheetView workbookViewId="0">
      <selection activeCell="H6" sqref="H6"/>
    </sheetView>
  </sheetViews>
  <sheetFormatPr baseColWidth="10" defaultRowHeight="16" x14ac:dyDescent="0.2"/>
  <cols>
    <col min="1" max="1" width="50.5" bestFit="1" customWidth="1"/>
  </cols>
  <sheetData>
    <row r="1" spans="1:6" x14ac:dyDescent="0.2">
      <c r="B1" t="s">
        <v>194</v>
      </c>
      <c r="C1" t="s">
        <v>195</v>
      </c>
      <c r="D1" t="s">
        <v>196</v>
      </c>
      <c r="E1" t="s">
        <v>197</v>
      </c>
      <c r="F1" t="s">
        <v>1204</v>
      </c>
    </row>
    <row r="2" spans="1:6" x14ac:dyDescent="0.2">
      <c r="A2" t="s">
        <v>198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2">
      <c r="A3" t="s">
        <v>1229</v>
      </c>
      <c r="B3">
        <v>29.83</v>
      </c>
      <c r="C3">
        <v>30.94</v>
      </c>
      <c r="D3">
        <v>28.64</v>
      </c>
      <c r="E3">
        <v>23.69</v>
      </c>
      <c r="F3">
        <v>24.68</v>
      </c>
    </row>
    <row r="4" spans="1:6" x14ac:dyDescent="0.2">
      <c r="A4" t="s">
        <v>1228</v>
      </c>
      <c r="B4">
        <v>27.63</v>
      </c>
      <c r="C4">
        <v>22.5</v>
      </c>
      <c r="D4">
        <v>14.09</v>
      </c>
      <c r="E4">
        <v>19.7</v>
      </c>
      <c r="F4">
        <v>20.48</v>
      </c>
    </row>
    <row r="5" spans="1:6" x14ac:dyDescent="0.2">
      <c r="A5" t="s">
        <v>1235</v>
      </c>
      <c r="B5">
        <v>3.91</v>
      </c>
      <c r="C5">
        <v>11.25</v>
      </c>
      <c r="D5">
        <v>7.73</v>
      </c>
      <c r="E5">
        <v>7.48</v>
      </c>
      <c r="F5">
        <v>12.61</v>
      </c>
    </row>
    <row r="6" spans="1:6" x14ac:dyDescent="0.2">
      <c r="A6" t="s">
        <v>1217</v>
      </c>
      <c r="B6">
        <v>3.91</v>
      </c>
      <c r="C6">
        <v>4.38</v>
      </c>
      <c r="D6">
        <v>2.73</v>
      </c>
      <c r="E6">
        <v>6.73</v>
      </c>
      <c r="F6">
        <v>10.97</v>
      </c>
    </row>
    <row r="7" spans="1:6" x14ac:dyDescent="0.2">
      <c r="A7" t="s">
        <v>1230</v>
      </c>
      <c r="B7">
        <v>19.07</v>
      </c>
      <c r="C7">
        <v>14.69</v>
      </c>
      <c r="D7">
        <v>15.91</v>
      </c>
      <c r="E7">
        <v>14.46</v>
      </c>
      <c r="F7">
        <v>9.69</v>
      </c>
    </row>
    <row r="8" spans="1:6" x14ac:dyDescent="0.2">
      <c r="A8" t="s">
        <v>1208</v>
      </c>
      <c r="B8">
        <v>6.6</v>
      </c>
      <c r="C8">
        <v>3.44</v>
      </c>
      <c r="D8">
        <v>6.82</v>
      </c>
      <c r="E8">
        <v>13.97</v>
      </c>
      <c r="F8">
        <v>7.68</v>
      </c>
    </row>
    <row r="9" spans="1:6" x14ac:dyDescent="0.2">
      <c r="A9" t="s">
        <v>1206</v>
      </c>
      <c r="B9">
        <v>6.85</v>
      </c>
      <c r="C9">
        <v>10</v>
      </c>
      <c r="D9">
        <v>9.09</v>
      </c>
      <c r="E9">
        <v>6.23</v>
      </c>
      <c r="F9">
        <v>7.31</v>
      </c>
    </row>
    <row r="10" spans="1:6" x14ac:dyDescent="0.2">
      <c r="A10" t="s">
        <v>1236</v>
      </c>
      <c r="B10">
        <v>6.36</v>
      </c>
      <c r="C10">
        <v>13.75</v>
      </c>
      <c r="D10">
        <v>12.27</v>
      </c>
      <c r="E10">
        <v>5.49</v>
      </c>
      <c r="F10">
        <v>6.4</v>
      </c>
    </row>
    <row r="11" spans="1:6" x14ac:dyDescent="0.2">
      <c r="A11" t="s">
        <v>1210</v>
      </c>
      <c r="B11">
        <v>5.62</v>
      </c>
      <c r="C11">
        <v>2.81</v>
      </c>
      <c r="D11">
        <v>3.18</v>
      </c>
      <c r="E11">
        <v>4.99</v>
      </c>
      <c r="F11">
        <v>5.48</v>
      </c>
    </row>
    <row r="12" spans="1:6" x14ac:dyDescent="0.2">
      <c r="A12" t="s">
        <v>1237</v>
      </c>
    </row>
    <row r="14" spans="1:6" x14ac:dyDescent="0.2">
      <c r="A14" t="s">
        <v>1226</v>
      </c>
      <c r="B14">
        <v>3.67</v>
      </c>
      <c r="C14">
        <v>3.75</v>
      </c>
      <c r="D14">
        <v>3.18</v>
      </c>
      <c r="E14">
        <v>4.74</v>
      </c>
      <c r="F14">
        <v>3.66</v>
      </c>
    </row>
    <row r="15" spans="1:6" x14ac:dyDescent="0.2">
      <c r="A15" t="s">
        <v>1213</v>
      </c>
      <c r="C15">
        <v>0.94</v>
      </c>
      <c r="E15">
        <v>1.75</v>
      </c>
      <c r="F15">
        <v>3.11</v>
      </c>
    </row>
    <row r="16" spans="1:6" x14ac:dyDescent="0.2">
      <c r="A16" t="s">
        <v>1209</v>
      </c>
      <c r="B16">
        <v>4.6500000000000004</v>
      </c>
      <c r="C16">
        <v>3.75</v>
      </c>
      <c r="D16">
        <v>4.09</v>
      </c>
      <c r="E16">
        <v>4.99</v>
      </c>
      <c r="F16">
        <v>2.93</v>
      </c>
    </row>
    <row r="17" spans="1:6" x14ac:dyDescent="0.2">
      <c r="A17" t="s">
        <v>1212</v>
      </c>
      <c r="B17">
        <v>1.22</v>
      </c>
      <c r="C17">
        <v>1.56</v>
      </c>
      <c r="D17">
        <v>7.73</v>
      </c>
      <c r="E17">
        <v>2.99</v>
      </c>
      <c r="F17">
        <v>2.38</v>
      </c>
    </row>
    <row r="18" spans="1:6" x14ac:dyDescent="0.2">
      <c r="A18" t="s">
        <v>1218</v>
      </c>
      <c r="B18">
        <v>0.24</v>
      </c>
      <c r="C18">
        <v>1.25</v>
      </c>
      <c r="D18">
        <v>0.45</v>
      </c>
      <c r="E18">
        <v>1.25</v>
      </c>
      <c r="F18">
        <v>1.65</v>
      </c>
    </row>
    <row r="19" spans="1:6" x14ac:dyDescent="0.2">
      <c r="A19" t="s">
        <v>1234</v>
      </c>
      <c r="B19">
        <v>2.69</v>
      </c>
      <c r="C19">
        <v>2.5</v>
      </c>
      <c r="D19">
        <v>2.27</v>
      </c>
      <c r="E19">
        <v>0.75</v>
      </c>
      <c r="F19">
        <v>1.46</v>
      </c>
    </row>
    <row r="20" spans="1:6" x14ac:dyDescent="0.2">
      <c r="A20" t="s">
        <v>1222</v>
      </c>
      <c r="B20">
        <v>1.71</v>
      </c>
      <c r="C20">
        <v>1.88</v>
      </c>
      <c r="D20">
        <v>0.91</v>
      </c>
      <c r="E20">
        <v>0.25</v>
      </c>
      <c r="F20">
        <v>1.28</v>
      </c>
    </row>
    <row r="21" spans="1:6" x14ac:dyDescent="0.2">
      <c r="A21" t="s">
        <v>1215</v>
      </c>
      <c r="B21">
        <v>0.49</v>
      </c>
      <c r="D21">
        <v>5.45</v>
      </c>
      <c r="E21">
        <v>2</v>
      </c>
      <c r="F21">
        <v>0.91</v>
      </c>
    </row>
    <row r="22" spans="1:6" x14ac:dyDescent="0.2">
      <c r="A22" t="s">
        <v>1225</v>
      </c>
      <c r="B22">
        <v>0.49</v>
      </c>
      <c r="C22">
        <v>0.31</v>
      </c>
      <c r="E22">
        <v>0.5</v>
      </c>
      <c r="F22">
        <v>0.73</v>
      </c>
    </row>
    <row r="23" spans="1:6" x14ac:dyDescent="0.2">
      <c r="A23" t="s">
        <v>1233</v>
      </c>
      <c r="B23">
        <v>3.18</v>
      </c>
      <c r="C23">
        <v>1.25</v>
      </c>
      <c r="D23">
        <v>2.27</v>
      </c>
      <c r="E23">
        <v>0.5</v>
      </c>
      <c r="F23">
        <v>0.55000000000000004</v>
      </c>
    </row>
    <row r="24" spans="1:6" x14ac:dyDescent="0.2">
      <c r="A24" t="s">
        <v>1216</v>
      </c>
      <c r="B24">
        <v>2.44</v>
      </c>
      <c r="C24">
        <v>0.63</v>
      </c>
      <c r="D24">
        <v>2.27</v>
      </c>
      <c r="E24">
        <v>0.75</v>
      </c>
      <c r="F24">
        <v>0.37</v>
      </c>
    </row>
    <row r="25" spans="1:6" x14ac:dyDescent="0.2">
      <c r="A25" t="s">
        <v>1232</v>
      </c>
      <c r="B25">
        <v>0.98</v>
      </c>
      <c r="C25">
        <v>1.25</v>
      </c>
      <c r="D25">
        <v>0.45</v>
      </c>
      <c r="E25">
        <v>0.5</v>
      </c>
      <c r="F25">
        <v>0.37</v>
      </c>
    </row>
    <row r="26" spans="1:6" x14ac:dyDescent="0.2">
      <c r="A26" t="s">
        <v>1202</v>
      </c>
    </row>
    <row r="27" spans="1:6" x14ac:dyDescent="0.2">
      <c r="A27" t="s">
        <v>1203</v>
      </c>
    </row>
    <row r="28" spans="1:6" x14ac:dyDescent="0.2">
      <c r="A28" t="s">
        <v>1205</v>
      </c>
    </row>
    <row r="29" spans="1:6" x14ac:dyDescent="0.2">
      <c r="A29" t="s">
        <v>1207</v>
      </c>
    </row>
    <row r="30" spans="1:6" x14ac:dyDescent="0.2">
      <c r="A30" t="s">
        <v>1211</v>
      </c>
    </row>
    <row r="31" spans="1:6" x14ac:dyDescent="0.2">
      <c r="A31" t="s">
        <v>1214</v>
      </c>
      <c r="C31">
        <v>0.31</v>
      </c>
      <c r="E31">
        <v>0.25</v>
      </c>
    </row>
    <row r="32" spans="1:6" x14ac:dyDescent="0.2">
      <c r="A32" t="s">
        <v>1219</v>
      </c>
      <c r="B32">
        <v>4.8899999999999997</v>
      </c>
      <c r="C32">
        <v>0.94</v>
      </c>
      <c r="D32">
        <v>1.36</v>
      </c>
      <c r="E32">
        <v>1.75</v>
      </c>
    </row>
    <row r="33" spans="1:5" x14ac:dyDescent="0.2">
      <c r="A33" t="s">
        <v>1220</v>
      </c>
      <c r="B33">
        <v>1.22</v>
      </c>
      <c r="C33">
        <v>1.56</v>
      </c>
      <c r="D33">
        <v>0.91</v>
      </c>
    </row>
    <row r="34" spans="1:5" x14ac:dyDescent="0.2">
      <c r="A34" t="s">
        <v>1221</v>
      </c>
      <c r="B34">
        <v>4.8899999999999997</v>
      </c>
    </row>
    <row r="35" spans="1:5" x14ac:dyDescent="0.2">
      <c r="A35" t="s">
        <v>1223</v>
      </c>
      <c r="B35">
        <v>6.36</v>
      </c>
      <c r="C35">
        <v>5</v>
      </c>
      <c r="D35">
        <v>1.82</v>
      </c>
    </row>
    <row r="36" spans="1:5" x14ac:dyDescent="0.2">
      <c r="A36" t="s">
        <v>1224</v>
      </c>
    </row>
    <row r="37" spans="1:5" x14ac:dyDescent="0.2">
      <c r="A37" t="s">
        <v>1227</v>
      </c>
      <c r="B37">
        <v>1.22</v>
      </c>
      <c r="C37">
        <v>4.38</v>
      </c>
      <c r="D37">
        <v>0.45</v>
      </c>
      <c r="E37">
        <v>4.74</v>
      </c>
    </row>
    <row r="38" spans="1:5" x14ac:dyDescent="0.2">
      <c r="A38" t="s">
        <v>1231</v>
      </c>
    </row>
  </sheetData>
  <sortState xmlns:xlrd2="http://schemas.microsoft.com/office/spreadsheetml/2017/richdata2" ref="A1:F38">
    <sortCondition descending="1" ref="F4:F38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B73-886D-4045-969C-F0B97A251B19}">
  <dimension ref="A1:BN270"/>
  <sheetViews>
    <sheetView topLeftCell="A128" workbookViewId="0"/>
  </sheetViews>
  <sheetFormatPr baseColWidth="10" defaultRowHeight="15" x14ac:dyDescent="0.2"/>
  <cols>
    <col min="1" max="1" width="44" style="19" bestFit="1" customWidth="1"/>
    <col min="2" max="2" width="25.6640625" style="19" bestFit="1" customWidth="1"/>
    <col min="3" max="3" width="19.6640625" style="19" bestFit="1" customWidth="1"/>
    <col min="4" max="4" width="17.83203125" style="19" bestFit="1" customWidth="1"/>
    <col min="5" max="5" width="5" style="19" bestFit="1" customWidth="1"/>
    <col min="6" max="66" width="12.1640625" style="19" bestFit="1" customWidth="1"/>
    <col min="67" max="256" width="8.83203125" style="19" customWidth="1"/>
    <col min="257" max="257" width="44" style="19" bestFit="1" customWidth="1"/>
    <col min="258" max="258" width="25.6640625" style="19" bestFit="1" customWidth="1"/>
    <col min="259" max="259" width="19.6640625" style="19" bestFit="1" customWidth="1"/>
    <col min="260" max="260" width="17.83203125" style="19" bestFit="1" customWidth="1"/>
    <col min="261" max="261" width="5" style="19" bestFit="1" customWidth="1"/>
    <col min="262" max="322" width="12.1640625" style="19" bestFit="1" customWidth="1"/>
    <col min="323" max="512" width="8.83203125" style="19" customWidth="1"/>
    <col min="513" max="513" width="44" style="19" bestFit="1" customWidth="1"/>
    <col min="514" max="514" width="25.6640625" style="19" bestFit="1" customWidth="1"/>
    <col min="515" max="515" width="19.6640625" style="19" bestFit="1" customWidth="1"/>
    <col min="516" max="516" width="17.83203125" style="19" bestFit="1" customWidth="1"/>
    <col min="517" max="517" width="5" style="19" bestFit="1" customWidth="1"/>
    <col min="518" max="578" width="12.1640625" style="19" bestFit="1" customWidth="1"/>
    <col min="579" max="768" width="8.83203125" style="19" customWidth="1"/>
    <col min="769" max="769" width="44" style="19" bestFit="1" customWidth="1"/>
    <col min="770" max="770" width="25.6640625" style="19" bestFit="1" customWidth="1"/>
    <col min="771" max="771" width="19.6640625" style="19" bestFit="1" customWidth="1"/>
    <col min="772" max="772" width="17.83203125" style="19" bestFit="1" customWidth="1"/>
    <col min="773" max="773" width="5" style="19" bestFit="1" customWidth="1"/>
    <col min="774" max="834" width="12.1640625" style="19" bestFit="1" customWidth="1"/>
    <col min="835" max="1024" width="8.83203125" style="19" customWidth="1"/>
    <col min="1025" max="1025" width="44" style="19" bestFit="1" customWidth="1"/>
    <col min="1026" max="1026" width="25.6640625" style="19" bestFit="1" customWidth="1"/>
    <col min="1027" max="1027" width="19.6640625" style="19" bestFit="1" customWidth="1"/>
    <col min="1028" max="1028" width="17.83203125" style="19" bestFit="1" customWidth="1"/>
    <col min="1029" max="1029" width="5" style="19" bestFit="1" customWidth="1"/>
    <col min="1030" max="1090" width="12.1640625" style="19" bestFit="1" customWidth="1"/>
    <col min="1091" max="1280" width="8.83203125" style="19" customWidth="1"/>
    <col min="1281" max="1281" width="44" style="19" bestFit="1" customWidth="1"/>
    <col min="1282" max="1282" width="25.6640625" style="19" bestFit="1" customWidth="1"/>
    <col min="1283" max="1283" width="19.6640625" style="19" bestFit="1" customWidth="1"/>
    <col min="1284" max="1284" width="17.83203125" style="19" bestFit="1" customWidth="1"/>
    <col min="1285" max="1285" width="5" style="19" bestFit="1" customWidth="1"/>
    <col min="1286" max="1346" width="12.1640625" style="19" bestFit="1" customWidth="1"/>
    <col min="1347" max="1536" width="8.83203125" style="19" customWidth="1"/>
    <col min="1537" max="1537" width="44" style="19" bestFit="1" customWidth="1"/>
    <col min="1538" max="1538" width="25.6640625" style="19" bestFit="1" customWidth="1"/>
    <col min="1539" max="1539" width="19.6640625" style="19" bestFit="1" customWidth="1"/>
    <col min="1540" max="1540" width="17.83203125" style="19" bestFit="1" customWidth="1"/>
    <col min="1541" max="1541" width="5" style="19" bestFit="1" customWidth="1"/>
    <col min="1542" max="1602" width="12.1640625" style="19" bestFit="1" customWidth="1"/>
    <col min="1603" max="1792" width="8.83203125" style="19" customWidth="1"/>
    <col min="1793" max="1793" width="44" style="19" bestFit="1" customWidth="1"/>
    <col min="1794" max="1794" width="25.6640625" style="19" bestFit="1" customWidth="1"/>
    <col min="1795" max="1795" width="19.6640625" style="19" bestFit="1" customWidth="1"/>
    <col min="1796" max="1796" width="17.83203125" style="19" bestFit="1" customWidth="1"/>
    <col min="1797" max="1797" width="5" style="19" bestFit="1" customWidth="1"/>
    <col min="1798" max="1858" width="12.1640625" style="19" bestFit="1" customWidth="1"/>
    <col min="1859" max="2048" width="8.83203125" style="19" customWidth="1"/>
    <col min="2049" max="2049" width="44" style="19" bestFit="1" customWidth="1"/>
    <col min="2050" max="2050" width="25.6640625" style="19" bestFit="1" customWidth="1"/>
    <col min="2051" max="2051" width="19.6640625" style="19" bestFit="1" customWidth="1"/>
    <col min="2052" max="2052" width="17.83203125" style="19" bestFit="1" customWidth="1"/>
    <col min="2053" max="2053" width="5" style="19" bestFit="1" customWidth="1"/>
    <col min="2054" max="2114" width="12.1640625" style="19" bestFit="1" customWidth="1"/>
    <col min="2115" max="2304" width="8.83203125" style="19" customWidth="1"/>
    <col min="2305" max="2305" width="44" style="19" bestFit="1" customWidth="1"/>
    <col min="2306" max="2306" width="25.6640625" style="19" bestFit="1" customWidth="1"/>
    <col min="2307" max="2307" width="19.6640625" style="19" bestFit="1" customWidth="1"/>
    <col min="2308" max="2308" width="17.83203125" style="19" bestFit="1" customWidth="1"/>
    <col min="2309" max="2309" width="5" style="19" bestFit="1" customWidth="1"/>
    <col min="2310" max="2370" width="12.1640625" style="19" bestFit="1" customWidth="1"/>
    <col min="2371" max="2560" width="8.83203125" style="19" customWidth="1"/>
    <col min="2561" max="2561" width="44" style="19" bestFit="1" customWidth="1"/>
    <col min="2562" max="2562" width="25.6640625" style="19" bestFit="1" customWidth="1"/>
    <col min="2563" max="2563" width="19.6640625" style="19" bestFit="1" customWidth="1"/>
    <col min="2564" max="2564" width="17.83203125" style="19" bestFit="1" customWidth="1"/>
    <col min="2565" max="2565" width="5" style="19" bestFit="1" customWidth="1"/>
    <col min="2566" max="2626" width="12.1640625" style="19" bestFit="1" customWidth="1"/>
    <col min="2627" max="2816" width="8.83203125" style="19" customWidth="1"/>
    <col min="2817" max="2817" width="44" style="19" bestFit="1" customWidth="1"/>
    <col min="2818" max="2818" width="25.6640625" style="19" bestFit="1" customWidth="1"/>
    <col min="2819" max="2819" width="19.6640625" style="19" bestFit="1" customWidth="1"/>
    <col min="2820" max="2820" width="17.83203125" style="19" bestFit="1" customWidth="1"/>
    <col min="2821" max="2821" width="5" style="19" bestFit="1" customWidth="1"/>
    <col min="2822" max="2882" width="12.1640625" style="19" bestFit="1" customWidth="1"/>
    <col min="2883" max="3072" width="8.83203125" style="19" customWidth="1"/>
    <col min="3073" max="3073" width="44" style="19" bestFit="1" customWidth="1"/>
    <col min="3074" max="3074" width="25.6640625" style="19" bestFit="1" customWidth="1"/>
    <col min="3075" max="3075" width="19.6640625" style="19" bestFit="1" customWidth="1"/>
    <col min="3076" max="3076" width="17.83203125" style="19" bestFit="1" customWidth="1"/>
    <col min="3077" max="3077" width="5" style="19" bestFit="1" customWidth="1"/>
    <col min="3078" max="3138" width="12.1640625" style="19" bestFit="1" customWidth="1"/>
    <col min="3139" max="3328" width="8.83203125" style="19" customWidth="1"/>
    <col min="3329" max="3329" width="44" style="19" bestFit="1" customWidth="1"/>
    <col min="3330" max="3330" width="25.6640625" style="19" bestFit="1" customWidth="1"/>
    <col min="3331" max="3331" width="19.6640625" style="19" bestFit="1" customWidth="1"/>
    <col min="3332" max="3332" width="17.83203125" style="19" bestFit="1" customWidth="1"/>
    <col min="3333" max="3333" width="5" style="19" bestFit="1" customWidth="1"/>
    <col min="3334" max="3394" width="12.1640625" style="19" bestFit="1" customWidth="1"/>
    <col min="3395" max="3584" width="8.83203125" style="19" customWidth="1"/>
    <col min="3585" max="3585" width="44" style="19" bestFit="1" customWidth="1"/>
    <col min="3586" max="3586" width="25.6640625" style="19" bestFit="1" customWidth="1"/>
    <col min="3587" max="3587" width="19.6640625" style="19" bestFit="1" customWidth="1"/>
    <col min="3588" max="3588" width="17.83203125" style="19" bestFit="1" customWidth="1"/>
    <col min="3589" max="3589" width="5" style="19" bestFit="1" customWidth="1"/>
    <col min="3590" max="3650" width="12.1640625" style="19" bestFit="1" customWidth="1"/>
    <col min="3651" max="3840" width="8.83203125" style="19" customWidth="1"/>
    <col min="3841" max="3841" width="44" style="19" bestFit="1" customWidth="1"/>
    <col min="3842" max="3842" width="25.6640625" style="19" bestFit="1" customWidth="1"/>
    <col min="3843" max="3843" width="19.6640625" style="19" bestFit="1" customWidth="1"/>
    <col min="3844" max="3844" width="17.83203125" style="19" bestFit="1" customWidth="1"/>
    <col min="3845" max="3845" width="5" style="19" bestFit="1" customWidth="1"/>
    <col min="3846" max="3906" width="12.1640625" style="19" bestFit="1" customWidth="1"/>
    <col min="3907" max="4096" width="8.83203125" style="19" customWidth="1"/>
    <col min="4097" max="4097" width="44" style="19" bestFit="1" customWidth="1"/>
    <col min="4098" max="4098" width="25.6640625" style="19" bestFit="1" customWidth="1"/>
    <col min="4099" max="4099" width="19.6640625" style="19" bestFit="1" customWidth="1"/>
    <col min="4100" max="4100" width="17.83203125" style="19" bestFit="1" customWidth="1"/>
    <col min="4101" max="4101" width="5" style="19" bestFit="1" customWidth="1"/>
    <col min="4102" max="4162" width="12.1640625" style="19" bestFit="1" customWidth="1"/>
    <col min="4163" max="4352" width="8.83203125" style="19" customWidth="1"/>
    <col min="4353" max="4353" width="44" style="19" bestFit="1" customWidth="1"/>
    <col min="4354" max="4354" width="25.6640625" style="19" bestFit="1" customWidth="1"/>
    <col min="4355" max="4355" width="19.6640625" style="19" bestFit="1" customWidth="1"/>
    <col min="4356" max="4356" width="17.83203125" style="19" bestFit="1" customWidth="1"/>
    <col min="4357" max="4357" width="5" style="19" bestFit="1" customWidth="1"/>
    <col min="4358" max="4418" width="12.1640625" style="19" bestFit="1" customWidth="1"/>
    <col min="4419" max="4608" width="8.83203125" style="19" customWidth="1"/>
    <col min="4609" max="4609" width="44" style="19" bestFit="1" customWidth="1"/>
    <col min="4610" max="4610" width="25.6640625" style="19" bestFit="1" customWidth="1"/>
    <col min="4611" max="4611" width="19.6640625" style="19" bestFit="1" customWidth="1"/>
    <col min="4612" max="4612" width="17.83203125" style="19" bestFit="1" customWidth="1"/>
    <col min="4613" max="4613" width="5" style="19" bestFit="1" customWidth="1"/>
    <col min="4614" max="4674" width="12.1640625" style="19" bestFit="1" customWidth="1"/>
    <col min="4675" max="4864" width="8.83203125" style="19" customWidth="1"/>
    <col min="4865" max="4865" width="44" style="19" bestFit="1" customWidth="1"/>
    <col min="4866" max="4866" width="25.6640625" style="19" bestFit="1" customWidth="1"/>
    <col min="4867" max="4867" width="19.6640625" style="19" bestFit="1" customWidth="1"/>
    <col min="4868" max="4868" width="17.83203125" style="19" bestFit="1" customWidth="1"/>
    <col min="4869" max="4869" width="5" style="19" bestFit="1" customWidth="1"/>
    <col min="4870" max="4930" width="12.1640625" style="19" bestFit="1" customWidth="1"/>
    <col min="4931" max="5120" width="8.83203125" style="19" customWidth="1"/>
    <col min="5121" max="5121" width="44" style="19" bestFit="1" customWidth="1"/>
    <col min="5122" max="5122" width="25.6640625" style="19" bestFit="1" customWidth="1"/>
    <col min="5123" max="5123" width="19.6640625" style="19" bestFit="1" customWidth="1"/>
    <col min="5124" max="5124" width="17.83203125" style="19" bestFit="1" customWidth="1"/>
    <col min="5125" max="5125" width="5" style="19" bestFit="1" customWidth="1"/>
    <col min="5126" max="5186" width="12.1640625" style="19" bestFit="1" customWidth="1"/>
    <col min="5187" max="5376" width="8.83203125" style="19" customWidth="1"/>
    <col min="5377" max="5377" width="44" style="19" bestFit="1" customWidth="1"/>
    <col min="5378" max="5378" width="25.6640625" style="19" bestFit="1" customWidth="1"/>
    <col min="5379" max="5379" width="19.6640625" style="19" bestFit="1" customWidth="1"/>
    <col min="5380" max="5380" width="17.83203125" style="19" bestFit="1" customWidth="1"/>
    <col min="5381" max="5381" width="5" style="19" bestFit="1" customWidth="1"/>
    <col min="5382" max="5442" width="12.1640625" style="19" bestFit="1" customWidth="1"/>
    <col min="5443" max="5632" width="8.83203125" style="19" customWidth="1"/>
    <col min="5633" max="5633" width="44" style="19" bestFit="1" customWidth="1"/>
    <col min="5634" max="5634" width="25.6640625" style="19" bestFit="1" customWidth="1"/>
    <col min="5635" max="5635" width="19.6640625" style="19" bestFit="1" customWidth="1"/>
    <col min="5636" max="5636" width="17.83203125" style="19" bestFit="1" customWidth="1"/>
    <col min="5637" max="5637" width="5" style="19" bestFit="1" customWidth="1"/>
    <col min="5638" max="5698" width="12.1640625" style="19" bestFit="1" customWidth="1"/>
    <col min="5699" max="5888" width="8.83203125" style="19" customWidth="1"/>
    <col min="5889" max="5889" width="44" style="19" bestFit="1" customWidth="1"/>
    <col min="5890" max="5890" width="25.6640625" style="19" bestFit="1" customWidth="1"/>
    <col min="5891" max="5891" width="19.6640625" style="19" bestFit="1" customWidth="1"/>
    <col min="5892" max="5892" width="17.83203125" style="19" bestFit="1" customWidth="1"/>
    <col min="5893" max="5893" width="5" style="19" bestFit="1" customWidth="1"/>
    <col min="5894" max="5954" width="12.1640625" style="19" bestFit="1" customWidth="1"/>
    <col min="5955" max="6144" width="8.83203125" style="19" customWidth="1"/>
    <col min="6145" max="6145" width="44" style="19" bestFit="1" customWidth="1"/>
    <col min="6146" max="6146" width="25.6640625" style="19" bestFit="1" customWidth="1"/>
    <col min="6147" max="6147" width="19.6640625" style="19" bestFit="1" customWidth="1"/>
    <col min="6148" max="6148" width="17.83203125" style="19" bestFit="1" customWidth="1"/>
    <col min="6149" max="6149" width="5" style="19" bestFit="1" customWidth="1"/>
    <col min="6150" max="6210" width="12.1640625" style="19" bestFit="1" customWidth="1"/>
    <col min="6211" max="6400" width="8.83203125" style="19" customWidth="1"/>
    <col min="6401" max="6401" width="44" style="19" bestFit="1" customWidth="1"/>
    <col min="6402" max="6402" width="25.6640625" style="19" bestFit="1" customWidth="1"/>
    <col min="6403" max="6403" width="19.6640625" style="19" bestFit="1" customWidth="1"/>
    <col min="6404" max="6404" width="17.83203125" style="19" bestFit="1" customWidth="1"/>
    <col min="6405" max="6405" width="5" style="19" bestFit="1" customWidth="1"/>
    <col min="6406" max="6466" width="12.1640625" style="19" bestFit="1" customWidth="1"/>
    <col min="6467" max="6656" width="8.83203125" style="19" customWidth="1"/>
    <col min="6657" max="6657" width="44" style="19" bestFit="1" customWidth="1"/>
    <col min="6658" max="6658" width="25.6640625" style="19" bestFit="1" customWidth="1"/>
    <col min="6659" max="6659" width="19.6640625" style="19" bestFit="1" customWidth="1"/>
    <col min="6660" max="6660" width="17.83203125" style="19" bestFit="1" customWidth="1"/>
    <col min="6661" max="6661" width="5" style="19" bestFit="1" customWidth="1"/>
    <col min="6662" max="6722" width="12.1640625" style="19" bestFit="1" customWidth="1"/>
    <col min="6723" max="6912" width="8.83203125" style="19" customWidth="1"/>
    <col min="6913" max="6913" width="44" style="19" bestFit="1" customWidth="1"/>
    <col min="6914" max="6914" width="25.6640625" style="19" bestFit="1" customWidth="1"/>
    <col min="6915" max="6915" width="19.6640625" style="19" bestFit="1" customWidth="1"/>
    <col min="6916" max="6916" width="17.83203125" style="19" bestFit="1" customWidth="1"/>
    <col min="6917" max="6917" width="5" style="19" bestFit="1" customWidth="1"/>
    <col min="6918" max="6978" width="12.1640625" style="19" bestFit="1" customWidth="1"/>
    <col min="6979" max="7168" width="8.83203125" style="19" customWidth="1"/>
    <col min="7169" max="7169" width="44" style="19" bestFit="1" customWidth="1"/>
    <col min="7170" max="7170" width="25.6640625" style="19" bestFit="1" customWidth="1"/>
    <col min="7171" max="7171" width="19.6640625" style="19" bestFit="1" customWidth="1"/>
    <col min="7172" max="7172" width="17.83203125" style="19" bestFit="1" customWidth="1"/>
    <col min="7173" max="7173" width="5" style="19" bestFit="1" customWidth="1"/>
    <col min="7174" max="7234" width="12.1640625" style="19" bestFit="1" customWidth="1"/>
    <col min="7235" max="7424" width="8.83203125" style="19" customWidth="1"/>
    <col min="7425" max="7425" width="44" style="19" bestFit="1" customWidth="1"/>
    <col min="7426" max="7426" width="25.6640625" style="19" bestFit="1" customWidth="1"/>
    <col min="7427" max="7427" width="19.6640625" style="19" bestFit="1" customWidth="1"/>
    <col min="7428" max="7428" width="17.83203125" style="19" bestFit="1" customWidth="1"/>
    <col min="7429" max="7429" width="5" style="19" bestFit="1" customWidth="1"/>
    <col min="7430" max="7490" width="12.1640625" style="19" bestFit="1" customWidth="1"/>
    <col min="7491" max="7680" width="8.83203125" style="19" customWidth="1"/>
    <col min="7681" max="7681" width="44" style="19" bestFit="1" customWidth="1"/>
    <col min="7682" max="7682" width="25.6640625" style="19" bestFit="1" customWidth="1"/>
    <col min="7683" max="7683" width="19.6640625" style="19" bestFit="1" customWidth="1"/>
    <col min="7684" max="7684" width="17.83203125" style="19" bestFit="1" customWidth="1"/>
    <col min="7685" max="7685" width="5" style="19" bestFit="1" customWidth="1"/>
    <col min="7686" max="7746" width="12.1640625" style="19" bestFit="1" customWidth="1"/>
    <col min="7747" max="7936" width="8.83203125" style="19" customWidth="1"/>
    <col min="7937" max="7937" width="44" style="19" bestFit="1" customWidth="1"/>
    <col min="7938" max="7938" width="25.6640625" style="19" bestFit="1" customWidth="1"/>
    <col min="7939" max="7939" width="19.6640625" style="19" bestFit="1" customWidth="1"/>
    <col min="7940" max="7940" width="17.83203125" style="19" bestFit="1" customWidth="1"/>
    <col min="7941" max="7941" width="5" style="19" bestFit="1" customWidth="1"/>
    <col min="7942" max="8002" width="12.1640625" style="19" bestFit="1" customWidth="1"/>
    <col min="8003" max="8192" width="8.83203125" style="19" customWidth="1"/>
    <col min="8193" max="8193" width="44" style="19" bestFit="1" customWidth="1"/>
    <col min="8194" max="8194" width="25.6640625" style="19" bestFit="1" customWidth="1"/>
    <col min="8195" max="8195" width="19.6640625" style="19" bestFit="1" customWidth="1"/>
    <col min="8196" max="8196" width="17.83203125" style="19" bestFit="1" customWidth="1"/>
    <col min="8197" max="8197" width="5" style="19" bestFit="1" customWidth="1"/>
    <col min="8198" max="8258" width="12.1640625" style="19" bestFit="1" customWidth="1"/>
    <col min="8259" max="8448" width="8.83203125" style="19" customWidth="1"/>
    <col min="8449" max="8449" width="44" style="19" bestFit="1" customWidth="1"/>
    <col min="8450" max="8450" width="25.6640625" style="19" bestFit="1" customWidth="1"/>
    <col min="8451" max="8451" width="19.6640625" style="19" bestFit="1" customWidth="1"/>
    <col min="8452" max="8452" width="17.83203125" style="19" bestFit="1" customWidth="1"/>
    <col min="8453" max="8453" width="5" style="19" bestFit="1" customWidth="1"/>
    <col min="8454" max="8514" width="12.1640625" style="19" bestFit="1" customWidth="1"/>
    <col min="8515" max="8704" width="8.83203125" style="19" customWidth="1"/>
    <col min="8705" max="8705" width="44" style="19" bestFit="1" customWidth="1"/>
    <col min="8706" max="8706" width="25.6640625" style="19" bestFit="1" customWidth="1"/>
    <col min="8707" max="8707" width="19.6640625" style="19" bestFit="1" customWidth="1"/>
    <col min="8708" max="8708" width="17.83203125" style="19" bestFit="1" customWidth="1"/>
    <col min="8709" max="8709" width="5" style="19" bestFit="1" customWidth="1"/>
    <col min="8710" max="8770" width="12.1640625" style="19" bestFit="1" customWidth="1"/>
    <col min="8771" max="8960" width="8.83203125" style="19" customWidth="1"/>
    <col min="8961" max="8961" width="44" style="19" bestFit="1" customWidth="1"/>
    <col min="8962" max="8962" width="25.6640625" style="19" bestFit="1" customWidth="1"/>
    <col min="8963" max="8963" width="19.6640625" style="19" bestFit="1" customWidth="1"/>
    <col min="8964" max="8964" width="17.83203125" style="19" bestFit="1" customWidth="1"/>
    <col min="8965" max="8965" width="5" style="19" bestFit="1" customWidth="1"/>
    <col min="8966" max="9026" width="12.1640625" style="19" bestFit="1" customWidth="1"/>
    <col min="9027" max="9216" width="8.83203125" style="19" customWidth="1"/>
    <col min="9217" max="9217" width="44" style="19" bestFit="1" customWidth="1"/>
    <col min="9218" max="9218" width="25.6640625" style="19" bestFit="1" customWidth="1"/>
    <col min="9219" max="9219" width="19.6640625" style="19" bestFit="1" customWidth="1"/>
    <col min="9220" max="9220" width="17.83203125" style="19" bestFit="1" customWidth="1"/>
    <col min="9221" max="9221" width="5" style="19" bestFit="1" customWidth="1"/>
    <col min="9222" max="9282" width="12.1640625" style="19" bestFit="1" customWidth="1"/>
    <col min="9283" max="9472" width="8.83203125" style="19" customWidth="1"/>
    <col min="9473" max="9473" width="44" style="19" bestFit="1" customWidth="1"/>
    <col min="9474" max="9474" width="25.6640625" style="19" bestFit="1" customWidth="1"/>
    <col min="9475" max="9475" width="19.6640625" style="19" bestFit="1" customWidth="1"/>
    <col min="9476" max="9476" width="17.83203125" style="19" bestFit="1" customWidth="1"/>
    <col min="9477" max="9477" width="5" style="19" bestFit="1" customWidth="1"/>
    <col min="9478" max="9538" width="12.1640625" style="19" bestFit="1" customWidth="1"/>
    <col min="9539" max="9728" width="8.83203125" style="19" customWidth="1"/>
    <col min="9729" max="9729" width="44" style="19" bestFit="1" customWidth="1"/>
    <col min="9730" max="9730" width="25.6640625" style="19" bestFit="1" customWidth="1"/>
    <col min="9731" max="9731" width="19.6640625" style="19" bestFit="1" customWidth="1"/>
    <col min="9732" max="9732" width="17.83203125" style="19" bestFit="1" customWidth="1"/>
    <col min="9733" max="9733" width="5" style="19" bestFit="1" customWidth="1"/>
    <col min="9734" max="9794" width="12.1640625" style="19" bestFit="1" customWidth="1"/>
    <col min="9795" max="9984" width="8.83203125" style="19" customWidth="1"/>
    <col min="9985" max="9985" width="44" style="19" bestFit="1" customWidth="1"/>
    <col min="9986" max="9986" width="25.6640625" style="19" bestFit="1" customWidth="1"/>
    <col min="9987" max="9987" width="19.6640625" style="19" bestFit="1" customWidth="1"/>
    <col min="9988" max="9988" width="17.83203125" style="19" bestFit="1" customWidth="1"/>
    <col min="9989" max="9989" width="5" style="19" bestFit="1" customWidth="1"/>
    <col min="9990" max="10050" width="12.1640625" style="19" bestFit="1" customWidth="1"/>
    <col min="10051" max="10240" width="8.83203125" style="19" customWidth="1"/>
    <col min="10241" max="10241" width="44" style="19" bestFit="1" customWidth="1"/>
    <col min="10242" max="10242" width="25.6640625" style="19" bestFit="1" customWidth="1"/>
    <col min="10243" max="10243" width="19.6640625" style="19" bestFit="1" customWidth="1"/>
    <col min="10244" max="10244" width="17.83203125" style="19" bestFit="1" customWidth="1"/>
    <col min="10245" max="10245" width="5" style="19" bestFit="1" customWidth="1"/>
    <col min="10246" max="10306" width="12.1640625" style="19" bestFit="1" customWidth="1"/>
    <col min="10307" max="10496" width="8.83203125" style="19" customWidth="1"/>
    <col min="10497" max="10497" width="44" style="19" bestFit="1" customWidth="1"/>
    <col min="10498" max="10498" width="25.6640625" style="19" bestFit="1" customWidth="1"/>
    <col min="10499" max="10499" width="19.6640625" style="19" bestFit="1" customWidth="1"/>
    <col min="10500" max="10500" width="17.83203125" style="19" bestFit="1" customWidth="1"/>
    <col min="10501" max="10501" width="5" style="19" bestFit="1" customWidth="1"/>
    <col min="10502" max="10562" width="12.1640625" style="19" bestFit="1" customWidth="1"/>
    <col min="10563" max="10752" width="8.83203125" style="19" customWidth="1"/>
    <col min="10753" max="10753" width="44" style="19" bestFit="1" customWidth="1"/>
    <col min="10754" max="10754" width="25.6640625" style="19" bestFit="1" customWidth="1"/>
    <col min="10755" max="10755" width="19.6640625" style="19" bestFit="1" customWidth="1"/>
    <col min="10756" max="10756" width="17.83203125" style="19" bestFit="1" customWidth="1"/>
    <col min="10757" max="10757" width="5" style="19" bestFit="1" customWidth="1"/>
    <col min="10758" max="10818" width="12.1640625" style="19" bestFit="1" customWidth="1"/>
    <col min="10819" max="11008" width="8.83203125" style="19" customWidth="1"/>
    <col min="11009" max="11009" width="44" style="19" bestFit="1" customWidth="1"/>
    <col min="11010" max="11010" width="25.6640625" style="19" bestFit="1" customWidth="1"/>
    <col min="11011" max="11011" width="19.6640625" style="19" bestFit="1" customWidth="1"/>
    <col min="11012" max="11012" width="17.83203125" style="19" bestFit="1" customWidth="1"/>
    <col min="11013" max="11013" width="5" style="19" bestFit="1" customWidth="1"/>
    <col min="11014" max="11074" width="12.1640625" style="19" bestFit="1" customWidth="1"/>
    <col min="11075" max="11264" width="8.83203125" style="19" customWidth="1"/>
    <col min="11265" max="11265" width="44" style="19" bestFit="1" customWidth="1"/>
    <col min="11266" max="11266" width="25.6640625" style="19" bestFit="1" customWidth="1"/>
    <col min="11267" max="11267" width="19.6640625" style="19" bestFit="1" customWidth="1"/>
    <col min="11268" max="11268" width="17.83203125" style="19" bestFit="1" customWidth="1"/>
    <col min="11269" max="11269" width="5" style="19" bestFit="1" customWidth="1"/>
    <col min="11270" max="11330" width="12.1640625" style="19" bestFit="1" customWidth="1"/>
    <col min="11331" max="11520" width="8.83203125" style="19" customWidth="1"/>
    <col min="11521" max="11521" width="44" style="19" bestFit="1" customWidth="1"/>
    <col min="11522" max="11522" width="25.6640625" style="19" bestFit="1" customWidth="1"/>
    <col min="11523" max="11523" width="19.6640625" style="19" bestFit="1" customWidth="1"/>
    <col min="11524" max="11524" width="17.83203125" style="19" bestFit="1" customWidth="1"/>
    <col min="11525" max="11525" width="5" style="19" bestFit="1" customWidth="1"/>
    <col min="11526" max="11586" width="12.1640625" style="19" bestFit="1" customWidth="1"/>
    <col min="11587" max="11776" width="8.83203125" style="19" customWidth="1"/>
    <col min="11777" max="11777" width="44" style="19" bestFit="1" customWidth="1"/>
    <col min="11778" max="11778" width="25.6640625" style="19" bestFit="1" customWidth="1"/>
    <col min="11779" max="11779" width="19.6640625" style="19" bestFit="1" customWidth="1"/>
    <col min="11780" max="11780" width="17.83203125" style="19" bestFit="1" customWidth="1"/>
    <col min="11781" max="11781" width="5" style="19" bestFit="1" customWidth="1"/>
    <col min="11782" max="11842" width="12.1640625" style="19" bestFit="1" customWidth="1"/>
    <col min="11843" max="12032" width="8.83203125" style="19" customWidth="1"/>
    <col min="12033" max="12033" width="44" style="19" bestFit="1" customWidth="1"/>
    <col min="12034" max="12034" width="25.6640625" style="19" bestFit="1" customWidth="1"/>
    <col min="12035" max="12035" width="19.6640625" style="19" bestFit="1" customWidth="1"/>
    <col min="12036" max="12036" width="17.83203125" style="19" bestFit="1" customWidth="1"/>
    <col min="12037" max="12037" width="5" style="19" bestFit="1" customWidth="1"/>
    <col min="12038" max="12098" width="12.1640625" style="19" bestFit="1" customWidth="1"/>
    <col min="12099" max="12288" width="8.83203125" style="19" customWidth="1"/>
    <col min="12289" max="12289" width="44" style="19" bestFit="1" customWidth="1"/>
    <col min="12290" max="12290" width="25.6640625" style="19" bestFit="1" customWidth="1"/>
    <col min="12291" max="12291" width="19.6640625" style="19" bestFit="1" customWidth="1"/>
    <col min="12292" max="12292" width="17.83203125" style="19" bestFit="1" customWidth="1"/>
    <col min="12293" max="12293" width="5" style="19" bestFit="1" customWidth="1"/>
    <col min="12294" max="12354" width="12.1640625" style="19" bestFit="1" customWidth="1"/>
    <col min="12355" max="12544" width="8.83203125" style="19" customWidth="1"/>
    <col min="12545" max="12545" width="44" style="19" bestFit="1" customWidth="1"/>
    <col min="12546" max="12546" width="25.6640625" style="19" bestFit="1" customWidth="1"/>
    <col min="12547" max="12547" width="19.6640625" style="19" bestFit="1" customWidth="1"/>
    <col min="12548" max="12548" width="17.83203125" style="19" bestFit="1" customWidth="1"/>
    <col min="12549" max="12549" width="5" style="19" bestFit="1" customWidth="1"/>
    <col min="12550" max="12610" width="12.1640625" style="19" bestFit="1" customWidth="1"/>
    <col min="12611" max="12800" width="8.83203125" style="19" customWidth="1"/>
    <col min="12801" max="12801" width="44" style="19" bestFit="1" customWidth="1"/>
    <col min="12802" max="12802" width="25.6640625" style="19" bestFit="1" customWidth="1"/>
    <col min="12803" max="12803" width="19.6640625" style="19" bestFit="1" customWidth="1"/>
    <col min="12804" max="12804" width="17.83203125" style="19" bestFit="1" customWidth="1"/>
    <col min="12805" max="12805" width="5" style="19" bestFit="1" customWidth="1"/>
    <col min="12806" max="12866" width="12.1640625" style="19" bestFit="1" customWidth="1"/>
    <col min="12867" max="13056" width="8.83203125" style="19" customWidth="1"/>
    <col min="13057" max="13057" width="44" style="19" bestFit="1" customWidth="1"/>
    <col min="13058" max="13058" width="25.6640625" style="19" bestFit="1" customWidth="1"/>
    <col min="13059" max="13059" width="19.6640625" style="19" bestFit="1" customWidth="1"/>
    <col min="13060" max="13060" width="17.83203125" style="19" bestFit="1" customWidth="1"/>
    <col min="13061" max="13061" width="5" style="19" bestFit="1" customWidth="1"/>
    <col min="13062" max="13122" width="12.1640625" style="19" bestFit="1" customWidth="1"/>
    <col min="13123" max="13312" width="8.83203125" style="19" customWidth="1"/>
    <col min="13313" max="13313" width="44" style="19" bestFit="1" customWidth="1"/>
    <col min="13314" max="13314" width="25.6640625" style="19" bestFit="1" customWidth="1"/>
    <col min="13315" max="13315" width="19.6640625" style="19" bestFit="1" customWidth="1"/>
    <col min="13316" max="13316" width="17.83203125" style="19" bestFit="1" customWidth="1"/>
    <col min="13317" max="13317" width="5" style="19" bestFit="1" customWidth="1"/>
    <col min="13318" max="13378" width="12.1640625" style="19" bestFit="1" customWidth="1"/>
    <col min="13379" max="13568" width="8.83203125" style="19" customWidth="1"/>
    <col min="13569" max="13569" width="44" style="19" bestFit="1" customWidth="1"/>
    <col min="13570" max="13570" width="25.6640625" style="19" bestFit="1" customWidth="1"/>
    <col min="13571" max="13571" width="19.6640625" style="19" bestFit="1" customWidth="1"/>
    <col min="13572" max="13572" width="17.83203125" style="19" bestFit="1" customWidth="1"/>
    <col min="13573" max="13573" width="5" style="19" bestFit="1" customWidth="1"/>
    <col min="13574" max="13634" width="12.1640625" style="19" bestFit="1" customWidth="1"/>
    <col min="13635" max="13824" width="8.83203125" style="19" customWidth="1"/>
    <col min="13825" max="13825" width="44" style="19" bestFit="1" customWidth="1"/>
    <col min="13826" max="13826" width="25.6640625" style="19" bestFit="1" customWidth="1"/>
    <col min="13827" max="13827" width="19.6640625" style="19" bestFit="1" customWidth="1"/>
    <col min="13828" max="13828" width="17.83203125" style="19" bestFit="1" customWidth="1"/>
    <col min="13829" max="13829" width="5" style="19" bestFit="1" customWidth="1"/>
    <col min="13830" max="13890" width="12.1640625" style="19" bestFit="1" customWidth="1"/>
    <col min="13891" max="14080" width="8.83203125" style="19" customWidth="1"/>
    <col min="14081" max="14081" width="44" style="19" bestFit="1" customWidth="1"/>
    <col min="14082" max="14082" width="25.6640625" style="19" bestFit="1" customWidth="1"/>
    <col min="14083" max="14083" width="19.6640625" style="19" bestFit="1" customWidth="1"/>
    <col min="14084" max="14084" width="17.83203125" style="19" bestFit="1" customWidth="1"/>
    <col min="14085" max="14085" width="5" style="19" bestFit="1" customWidth="1"/>
    <col min="14086" max="14146" width="12.1640625" style="19" bestFit="1" customWidth="1"/>
    <col min="14147" max="14336" width="8.83203125" style="19" customWidth="1"/>
    <col min="14337" max="14337" width="44" style="19" bestFit="1" customWidth="1"/>
    <col min="14338" max="14338" width="25.6640625" style="19" bestFit="1" customWidth="1"/>
    <col min="14339" max="14339" width="19.6640625" style="19" bestFit="1" customWidth="1"/>
    <col min="14340" max="14340" width="17.83203125" style="19" bestFit="1" customWidth="1"/>
    <col min="14341" max="14341" width="5" style="19" bestFit="1" customWidth="1"/>
    <col min="14342" max="14402" width="12.1640625" style="19" bestFit="1" customWidth="1"/>
    <col min="14403" max="14592" width="8.83203125" style="19" customWidth="1"/>
    <col min="14593" max="14593" width="44" style="19" bestFit="1" customWidth="1"/>
    <col min="14594" max="14594" width="25.6640625" style="19" bestFit="1" customWidth="1"/>
    <col min="14595" max="14595" width="19.6640625" style="19" bestFit="1" customWidth="1"/>
    <col min="14596" max="14596" width="17.83203125" style="19" bestFit="1" customWidth="1"/>
    <col min="14597" max="14597" width="5" style="19" bestFit="1" customWidth="1"/>
    <col min="14598" max="14658" width="12.1640625" style="19" bestFit="1" customWidth="1"/>
    <col min="14659" max="14848" width="8.83203125" style="19" customWidth="1"/>
    <col min="14849" max="14849" width="44" style="19" bestFit="1" customWidth="1"/>
    <col min="14850" max="14850" width="25.6640625" style="19" bestFit="1" customWidth="1"/>
    <col min="14851" max="14851" width="19.6640625" style="19" bestFit="1" customWidth="1"/>
    <col min="14852" max="14852" width="17.83203125" style="19" bestFit="1" customWidth="1"/>
    <col min="14853" max="14853" width="5" style="19" bestFit="1" customWidth="1"/>
    <col min="14854" max="14914" width="12.1640625" style="19" bestFit="1" customWidth="1"/>
    <col min="14915" max="15104" width="8.83203125" style="19" customWidth="1"/>
    <col min="15105" max="15105" width="44" style="19" bestFit="1" customWidth="1"/>
    <col min="15106" max="15106" width="25.6640625" style="19" bestFit="1" customWidth="1"/>
    <col min="15107" max="15107" width="19.6640625" style="19" bestFit="1" customWidth="1"/>
    <col min="15108" max="15108" width="17.83203125" style="19" bestFit="1" customWidth="1"/>
    <col min="15109" max="15109" width="5" style="19" bestFit="1" customWidth="1"/>
    <col min="15110" max="15170" width="12.1640625" style="19" bestFit="1" customWidth="1"/>
    <col min="15171" max="15360" width="8.83203125" style="19" customWidth="1"/>
    <col min="15361" max="15361" width="44" style="19" bestFit="1" customWidth="1"/>
    <col min="15362" max="15362" width="25.6640625" style="19" bestFit="1" customWidth="1"/>
    <col min="15363" max="15363" width="19.6640625" style="19" bestFit="1" customWidth="1"/>
    <col min="15364" max="15364" width="17.83203125" style="19" bestFit="1" customWidth="1"/>
    <col min="15365" max="15365" width="5" style="19" bestFit="1" customWidth="1"/>
    <col min="15366" max="15426" width="12.1640625" style="19" bestFit="1" customWidth="1"/>
    <col min="15427" max="15616" width="8.83203125" style="19" customWidth="1"/>
    <col min="15617" max="15617" width="44" style="19" bestFit="1" customWidth="1"/>
    <col min="15618" max="15618" width="25.6640625" style="19" bestFit="1" customWidth="1"/>
    <col min="15619" max="15619" width="19.6640625" style="19" bestFit="1" customWidth="1"/>
    <col min="15620" max="15620" width="17.83203125" style="19" bestFit="1" customWidth="1"/>
    <col min="15621" max="15621" width="5" style="19" bestFit="1" customWidth="1"/>
    <col min="15622" max="15682" width="12.1640625" style="19" bestFit="1" customWidth="1"/>
    <col min="15683" max="15872" width="8.83203125" style="19" customWidth="1"/>
    <col min="15873" max="15873" width="44" style="19" bestFit="1" customWidth="1"/>
    <col min="15874" max="15874" width="25.6640625" style="19" bestFit="1" customWidth="1"/>
    <col min="15875" max="15875" width="19.6640625" style="19" bestFit="1" customWidth="1"/>
    <col min="15876" max="15876" width="17.83203125" style="19" bestFit="1" customWidth="1"/>
    <col min="15877" max="15877" width="5" style="19" bestFit="1" customWidth="1"/>
    <col min="15878" max="15938" width="12.1640625" style="19" bestFit="1" customWidth="1"/>
    <col min="15939" max="16128" width="8.83203125" style="19" customWidth="1"/>
    <col min="16129" max="16129" width="44" style="19" bestFit="1" customWidth="1"/>
    <col min="16130" max="16130" width="25.6640625" style="19" bestFit="1" customWidth="1"/>
    <col min="16131" max="16131" width="19.6640625" style="19" bestFit="1" customWidth="1"/>
    <col min="16132" max="16132" width="17.83203125" style="19" bestFit="1" customWidth="1"/>
    <col min="16133" max="16133" width="5" style="19" bestFit="1" customWidth="1"/>
    <col min="16134" max="16194" width="12.1640625" style="19" bestFit="1" customWidth="1"/>
    <col min="16195" max="16384" width="8.83203125" style="19" customWidth="1"/>
  </cols>
  <sheetData>
    <row r="1" spans="1:66" x14ac:dyDescent="0.2">
      <c r="A1" s="19" t="s">
        <v>526</v>
      </c>
      <c r="B1" s="19" t="s">
        <v>797</v>
      </c>
    </row>
    <row r="2" spans="1:66" x14ac:dyDescent="0.2">
      <c r="A2" s="19" t="s">
        <v>527</v>
      </c>
      <c r="B2" s="20">
        <v>44917</v>
      </c>
    </row>
    <row r="4" spans="1:66" x14ac:dyDescent="0.2">
      <c r="A4" s="19" t="s">
        <v>528</v>
      </c>
      <c r="B4" s="19" t="s">
        <v>798</v>
      </c>
      <c r="C4" s="19" t="s">
        <v>799</v>
      </c>
      <c r="D4" s="19" t="s">
        <v>800</v>
      </c>
      <c r="E4" s="19" t="s">
        <v>801</v>
      </c>
      <c r="F4" s="19" t="s">
        <v>802</v>
      </c>
      <c r="G4" s="19" t="s">
        <v>803</v>
      </c>
      <c r="H4" s="19" t="s">
        <v>804</v>
      </c>
      <c r="I4" s="19" t="s">
        <v>805</v>
      </c>
      <c r="J4" s="19" t="s">
        <v>806</v>
      </c>
      <c r="K4" s="19" t="s">
        <v>807</v>
      </c>
      <c r="L4" s="19" t="s">
        <v>808</v>
      </c>
      <c r="M4" s="19" t="s">
        <v>809</v>
      </c>
      <c r="N4" s="19" t="s">
        <v>810</v>
      </c>
      <c r="O4" s="19" t="s">
        <v>811</v>
      </c>
      <c r="P4" s="19" t="s">
        <v>812</v>
      </c>
      <c r="Q4" s="19" t="s">
        <v>813</v>
      </c>
      <c r="R4" s="19" t="s">
        <v>814</v>
      </c>
      <c r="S4" s="19" t="s">
        <v>815</v>
      </c>
      <c r="T4" s="19" t="s">
        <v>816</v>
      </c>
      <c r="U4" s="19" t="s">
        <v>817</v>
      </c>
      <c r="V4" s="19" t="s">
        <v>818</v>
      </c>
      <c r="W4" s="19" t="s">
        <v>819</v>
      </c>
      <c r="X4" s="19" t="s">
        <v>820</v>
      </c>
      <c r="Y4" s="19" t="s">
        <v>821</v>
      </c>
      <c r="Z4" s="19" t="s">
        <v>822</v>
      </c>
      <c r="AA4" s="19" t="s">
        <v>823</v>
      </c>
      <c r="AB4" s="19" t="s">
        <v>824</v>
      </c>
      <c r="AC4" s="19" t="s">
        <v>825</v>
      </c>
      <c r="AD4" s="19" t="s">
        <v>826</v>
      </c>
      <c r="AE4" s="19" t="s">
        <v>827</v>
      </c>
      <c r="AF4" s="19" t="s">
        <v>828</v>
      </c>
      <c r="AG4" s="19" t="s">
        <v>829</v>
      </c>
      <c r="AH4" s="19" t="s">
        <v>830</v>
      </c>
      <c r="AI4" s="19" t="s">
        <v>831</v>
      </c>
      <c r="AJ4" s="19" t="s">
        <v>832</v>
      </c>
      <c r="AK4" s="19" t="s">
        <v>833</v>
      </c>
      <c r="AL4" s="19" t="s">
        <v>834</v>
      </c>
      <c r="AM4" s="19" t="s">
        <v>835</v>
      </c>
      <c r="AN4" s="19" t="s">
        <v>836</v>
      </c>
      <c r="AO4" s="19" t="s">
        <v>837</v>
      </c>
      <c r="AP4" s="19" t="s">
        <v>838</v>
      </c>
      <c r="AQ4" s="19" t="s">
        <v>839</v>
      </c>
      <c r="AR4" s="19" t="s">
        <v>840</v>
      </c>
      <c r="AS4" s="19" t="s">
        <v>841</v>
      </c>
      <c r="AT4" s="19" t="s">
        <v>842</v>
      </c>
      <c r="AU4" s="19" t="s">
        <v>843</v>
      </c>
      <c r="AV4" s="19" t="s">
        <v>844</v>
      </c>
      <c r="AW4" s="19" t="s">
        <v>845</v>
      </c>
      <c r="AX4" s="19" t="s">
        <v>846</v>
      </c>
      <c r="AY4" s="19" t="s">
        <v>847</v>
      </c>
      <c r="AZ4" s="19" t="s">
        <v>848</v>
      </c>
      <c r="BA4" s="19" t="s">
        <v>849</v>
      </c>
      <c r="BB4" s="19" t="s">
        <v>850</v>
      </c>
      <c r="BC4" s="19" t="s">
        <v>851</v>
      </c>
      <c r="BD4" s="19" t="s">
        <v>852</v>
      </c>
      <c r="BE4" s="19" t="s">
        <v>853</v>
      </c>
      <c r="BF4" s="19" t="s">
        <v>854</v>
      </c>
      <c r="BG4" s="19" t="s">
        <v>855</v>
      </c>
      <c r="BH4" s="19" t="s">
        <v>856</v>
      </c>
      <c r="BI4" s="19" t="s">
        <v>857</v>
      </c>
      <c r="BJ4" s="19" t="s">
        <v>858</v>
      </c>
      <c r="BK4" s="19" t="s">
        <v>859</v>
      </c>
      <c r="BL4" s="19" t="s">
        <v>860</v>
      </c>
      <c r="BM4" s="19" t="s">
        <v>861</v>
      </c>
      <c r="BN4" s="19" t="s">
        <v>794</v>
      </c>
    </row>
    <row r="5" spans="1:66" x14ac:dyDescent="0.2">
      <c r="A5" s="19" t="s">
        <v>529</v>
      </c>
      <c r="B5" s="19" t="s">
        <v>862</v>
      </c>
      <c r="C5" s="19" t="s">
        <v>863</v>
      </c>
      <c r="D5" s="19" t="s">
        <v>864</v>
      </c>
      <c r="AF5" s="19">
        <v>16.078431372548692</v>
      </c>
      <c r="AG5" s="19">
        <v>18.648648648648873</v>
      </c>
      <c r="AH5" s="19">
        <v>12.129840546696897</v>
      </c>
      <c r="AI5" s="19">
        <v>3.9614017267647768</v>
      </c>
      <c r="AJ5" s="19">
        <v>7.962871744443305</v>
      </c>
      <c r="AK5" s="19">
        <v>5.882353953418658</v>
      </c>
      <c r="AL5" s="19">
        <v>7.3076932453140557</v>
      </c>
      <c r="AM5" s="19">
        <v>8.203901293120893</v>
      </c>
      <c r="AN5" s="19">
        <v>2.5471436870469404</v>
      </c>
      <c r="AO5" s="19">
        <v>1.1857885113465585</v>
      </c>
      <c r="AP5" s="19">
        <v>7.0468749924122136</v>
      </c>
      <c r="AQ5" s="19">
        <v>1.991984449061988</v>
      </c>
      <c r="AR5" s="19">
        <v>1.2380418420715955</v>
      </c>
      <c r="AS5" s="19">
        <v>7.6165891130772252</v>
      </c>
      <c r="AT5" s="19">
        <v>4.195962803356764</v>
      </c>
      <c r="AU5" s="19">
        <v>-0.95777100565955209</v>
      </c>
      <c r="AV5" s="19">
        <v>1.120879120879124</v>
      </c>
      <c r="AW5" s="19">
        <v>7.2810258639426166</v>
      </c>
      <c r="AX5" s="19">
        <v>-0.3849270664505724</v>
      </c>
      <c r="AY5" s="19">
        <v>1.1389058368924196</v>
      </c>
      <c r="AZ5" s="19">
        <v>3.0967223004222859</v>
      </c>
      <c r="BA5" s="19">
        <v>1.8334308562512263</v>
      </c>
      <c r="BB5" s="19">
        <v>-11.683585520015328</v>
      </c>
      <c r="BC5" s="19">
        <v>-2.7325959661678638</v>
      </c>
      <c r="BD5" s="19">
        <v>3.3667781493868461</v>
      </c>
      <c r="BE5" s="19">
        <v>-1.0353753235547885</v>
      </c>
      <c r="BF5" s="19">
        <v>6.4298169136878869</v>
      </c>
      <c r="BG5" s="19">
        <v>-2.047921359820748E-2</v>
      </c>
      <c r="BH5" s="19">
        <v>3.5436296599754087</v>
      </c>
      <c r="BI5" s="19">
        <v>2.1167161226508284</v>
      </c>
      <c r="BJ5" s="19">
        <v>5.4823711739635712</v>
      </c>
      <c r="BK5" s="19">
        <v>5.2578556727158769</v>
      </c>
      <c r="BL5" s="19">
        <v>0.63502926828566331</v>
      </c>
      <c r="BM5" s="19">
        <v>-18.589099776447611</v>
      </c>
      <c r="BN5" s="19">
        <v>17.172508512998277</v>
      </c>
    </row>
    <row r="6" spans="1:66" x14ac:dyDescent="0.2">
      <c r="A6" s="19" t="s">
        <v>530</v>
      </c>
      <c r="B6" s="19" t="s">
        <v>865</v>
      </c>
      <c r="C6" s="19" t="s">
        <v>863</v>
      </c>
      <c r="D6" s="19" t="s">
        <v>864</v>
      </c>
      <c r="F6" s="19">
        <v>0.23730429600512082</v>
      </c>
      <c r="G6" s="19">
        <v>7.984460464729068</v>
      </c>
      <c r="H6" s="19">
        <v>5.1638733511385055</v>
      </c>
      <c r="I6" s="19">
        <v>4.5836768452747805</v>
      </c>
      <c r="J6" s="19">
        <v>5.3280442152515661</v>
      </c>
      <c r="K6" s="19">
        <v>3.9139085523968333</v>
      </c>
      <c r="L6" s="19">
        <v>5.2553087645081291</v>
      </c>
      <c r="M6" s="19">
        <v>4.0263021202495537</v>
      </c>
      <c r="N6" s="19">
        <v>5.2783661983473564</v>
      </c>
      <c r="O6" s="19">
        <v>4.6936986484231795</v>
      </c>
      <c r="P6" s="19">
        <v>5.3750048772207748</v>
      </c>
      <c r="Q6" s="19">
        <v>2.1541889287717453</v>
      </c>
      <c r="R6" s="19">
        <v>4.4455362498765965</v>
      </c>
      <c r="S6" s="19">
        <v>5.8895561358869486</v>
      </c>
      <c r="T6" s="19">
        <v>1.7360267223942998</v>
      </c>
      <c r="U6" s="19">
        <v>2.8520218517905391</v>
      </c>
      <c r="V6" s="19">
        <v>1.2433832279858734</v>
      </c>
      <c r="W6" s="19">
        <v>1.0447363992574026</v>
      </c>
      <c r="X6" s="19">
        <v>2.8021460248543804</v>
      </c>
      <c r="Y6" s="19">
        <v>5.4153243513862321</v>
      </c>
      <c r="Z6" s="19">
        <v>4.3296942469234807</v>
      </c>
      <c r="AA6" s="19">
        <v>0.51670528648826064</v>
      </c>
      <c r="AB6" s="19">
        <v>0.1620794644288992</v>
      </c>
      <c r="AC6" s="19">
        <v>3.014299606201206</v>
      </c>
      <c r="AD6" s="19">
        <v>-0.44335230419831362</v>
      </c>
      <c r="AE6" s="19">
        <v>2.2939892816384173</v>
      </c>
      <c r="AF6" s="19">
        <v>4.2438512797478438</v>
      </c>
      <c r="AG6" s="19">
        <v>4.0144748327339812</v>
      </c>
      <c r="AH6" s="19">
        <v>2.9099175278835645</v>
      </c>
      <c r="AI6" s="19">
        <v>-3.2630146516424929E-2</v>
      </c>
      <c r="AJ6" s="19">
        <v>0.11402982036076992</v>
      </c>
      <c r="AK6" s="19">
        <v>-1.9638180594474193</v>
      </c>
      <c r="AL6" s="19">
        <v>-0.38773293880042559</v>
      </c>
      <c r="AM6" s="19">
        <v>2.0244877796497889</v>
      </c>
      <c r="AN6" s="19">
        <v>4.2986523785918109</v>
      </c>
      <c r="AO6" s="19">
        <v>5.4340429942204622</v>
      </c>
      <c r="AP6" s="19">
        <v>4.4328720554234451</v>
      </c>
      <c r="AQ6" s="19">
        <v>1.8460084280864208</v>
      </c>
      <c r="AR6" s="19">
        <v>2.6522825619980921</v>
      </c>
      <c r="AS6" s="19">
        <v>3.3539775393964391</v>
      </c>
      <c r="AT6" s="19">
        <v>3.6532242277400542</v>
      </c>
      <c r="AU6" s="19">
        <v>3.905250266947121</v>
      </c>
      <c r="AV6" s="19">
        <v>3.0960448630497979</v>
      </c>
      <c r="AW6" s="19">
        <v>5.5073149372899479</v>
      </c>
      <c r="AX6" s="19">
        <v>6.1169244527094406</v>
      </c>
      <c r="AY6" s="19">
        <v>6.5613182367753922</v>
      </c>
      <c r="AZ6" s="19">
        <v>6.5687767850985921</v>
      </c>
      <c r="BA6" s="19">
        <v>4.3024819338218379</v>
      </c>
      <c r="BB6" s="19">
        <v>0.64542332922199819</v>
      </c>
      <c r="BC6" s="19">
        <v>5.1971373393942599</v>
      </c>
      <c r="BD6" s="19">
        <v>3.7001904839775221</v>
      </c>
      <c r="BE6" s="19">
        <v>0.83883577307197754</v>
      </c>
      <c r="BF6" s="19">
        <v>4.2213583489408109</v>
      </c>
      <c r="BG6" s="19">
        <v>3.9906372877356802</v>
      </c>
      <c r="BH6" s="19">
        <v>2.9764212800654519</v>
      </c>
      <c r="BI6" s="19">
        <v>2.2240159213263979</v>
      </c>
      <c r="BJ6" s="19">
        <v>2.5460199997280597</v>
      </c>
      <c r="BK6" s="19">
        <v>2.5107970837582485</v>
      </c>
      <c r="BL6" s="19">
        <v>2.0784730128434319</v>
      </c>
      <c r="BM6" s="19">
        <v>-2.9004897590710499</v>
      </c>
      <c r="BN6" s="19">
        <v>4.2933954357478683</v>
      </c>
    </row>
    <row r="7" spans="1:66" x14ac:dyDescent="0.2">
      <c r="A7" s="19" t="s">
        <v>531</v>
      </c>
      <c r="B7" s="19" t="s">
        <v>866</v>
      </c>
      <c r="C7" s="19" t="s">
        <v>863</v>
      </c>
      <c r="D7" s="19" t="s">
        <v>864</v>
      </c>
      <c r="AV7" s="19">
        <v>8.8322778126357093</v>
      </c>
      <c r="AW7" s="19">
        <v>1.4141179805897934</v>
      </c>
      <c r="AX7" s="19">
        <v>11.229714823642894</v>
      </c>
      <c r="AY7" s="19">
        <v>5.3574032512635057</v>
      </c>
      <c r="AZ7" s="19">
        <v>13.826319547976325</v>
      </c>
      <c r="BA7" s="19">
        <v>3.9249838216157258</v>
      </c>
      <c r="BB7" s="19">
        <v>21.390528393106621</v>
      </c>
      <c r="BC7" s="19">
        <v>14.362441469268148</v>
      </c>
      <c r="BD7" s="19">
        <v>0.4263547845292095</v>
      </c>
      <c r="BE7" s="19">
        <v>12.752287088717054</v>
      </c>
      <c r="BF7" s="19">
        <v>5.6007446580815383</v>
      </c>
      <c r="BG7" s="19">
        <v>2.7245433639485412</v>
      </c>
      <c r="BH7" s="19">
        <v>1.4513146600975517</v>
      </c>
      <c r="BI7" s="19">
        <v>2.2603142013045243</v>
      </c>
      <c r="BJ7" s="19">
        <v>2.6470032019578582</v>
      </c>
      <c r="BK7" s="19">
        <v>1.1892281283803356</v>
      </c>
      <c r="BL7" s="19">
        <v>3.9116034194230025</v>
      </c>
      <c r="BM7" s="19">
        <v>-2.3511006734462256</v>
      </c>
      <c r="BN7" s="19">
        <v>-20.73714562084136</v>
      </c>
    </row>
    <row r="8" spans="1:66" x14ac:dyDescent="0.2">
      <c r="A8" s="19" t="s">
        <v>532</v>
      </c>
      <c r="B8" s="19" t="s">
        <v>867</v>
      </c>
      <c r="C8" s="19" t="s">
        <v>863</v>
      </c>
      <c r="D8" s="19" t="s">
        <v>864</v>
      </c>
      <c r="F8" s="19">
        <v>1.8350561943145607</v>
      </c>
      <c r="G8" s="19">
        <v>3.7728981225209566</v>
      </c>
      <c r="H8" s="19">
        <v>7.2829854696661727</v>
      </c>
      <c r="I8" s="19">
        <v>5.3927054817963835</v>
      </c>
      <c r="J8" s="19">
        <v>4.0565884499683733</v>
      </c>
      <c r="K8" s="19">
        <v>-1.8072829612082018</v>
      </c>
      <c r="L8" s="19">
        <v>-9.595924797188303</v>
      </c>
      <c r="M8" s="19">
        <v>1.445940767853628</v>
      </c>
      <c r="N8" s="19">
        <v>15.553814553737851</v>
      </c>
      <c r="O8" s="19">
        <v>17.963209027949773</v>
      </c>
      <c r="P8" s="19">
        <v>10.835220202118762</v>
      </c>
      <c r="Q8" s="19">
        <v>3.1478018349934302</v>
      </c>
      <c r="R8" s="19">
        <v>4.2232607288984525</v>
      </c>
      <c r="S8" s="19">
        <v>10.257529355460008</v>
      </c>
      <c r="T8" s="19">
        <v>-2.1903407955086607</v>
      </c>
      <c r="U8" s="19">
        <v>8.5824984154484412</v>
      </c>
      <c r="V8" s="19">
        <v>4.7368784562743684</v>
      </c>
      <c r="W8" s="19">
        <v>-2.2241091971498577</v>
      </c>
      <c r="X8" s="19">
        <v>5.2431649392513435</v>
      </c>
      <c r="Y8" s="19">
        <v>2.013531525929622</v>
      </c>
      <c r="Z8" s="19">
        <v>-6.9844198833238522</v>
      </c>
      <c r="AA8" s="19">
        <v>-3.3772503819941164</v>
      </c>
      <c r="AB8" s="19">
        <v>-6.5671544616236019</v>
      </c>
      <c r="AC8" s="19">
        <v>0.54739860874487078</v>
      </c>
      <c r="AD8" s="19">
        <v>5.5541632072424676</v>
      </c>
      <c r="AE8" s="19">
        <v>1.4050759651867111</v>
      </c>
      <c r="AF8" s="19">
        <v>1.4604619815090416</v>
      </c>
      <c r="AG8" s="19">
        <v>4.8617270822206535</v>
      </c>
      <c r="AH8" s="19">
        <v>2.2695815370982615</v>
      </c>
      <c r="AI8" s="19">
        <v>6.6001986316810246</v>
      </c>
      <c r="AJ8" s="19">
        <v>1.1153546756032</v>
      </c>
      <c r="AK8" s="19">
        <v>2.7083925508386812</v>
      </c>
      <c r="AL8" s="19">
        <v>-1.1671055530204626</v>
      </c>
      <c r="AM8" s="19">
        <v>-0.31108767360230161</v>
      </c>
      <c r="AN8" s="19">
        <v>1.9122268529484501</v>
      </c>
      <c r="AO8" s="19">
        <v>4.6258978350521147</v>
      </c>
      <c r="AP8" s="19">
        <v>4.2252676325419998</v>
      </c>
      <c r="AQ8" s="19">
        <v>3.4999053275307546</v>
      </c>
      <c r="AR8" s="19">
        <v>1.4150749457324139</v>
      </c>
      <c r="AS8" s="19">
        <v>3.7436666167023844</v>
      </c>
      <c r="AT8" s="19">
        <v>5.217662813158924</v>
      </c>
      <c r="AU8" s="19">
        <v>9.9381487732288463</v>
      </c>
      <c r="AV8" s="19">
        <v>5.5321125833986713</v>
      </c>
      <c r="AW8" s="19">
        <v>8.0228375280789948</v>
      </c>
      <c r="AX8" s="19">
        <v>5.8528919145238945</v>
      </c>
      <c r="AY8" s="19">
        <v>5.37976547612746</v>
      </c>
      <c r="AZ8" s="19">
        <v>5.5391308412463331</v>
      </c>
      <c r="BA8" s="19">
        <v>6.2830286583320998</v>
      </c>
      <c r="BB8" s="19">
        <v>6.2883813428474156</v>
      </c>
      <c r="BC8" s="19">
        <v>6.9654266095863449</v>
      </c>
      <c r="BD8" s="19">
        <v>4.8520484085121467</v>
      </c>
      <c r="BE8" s="19">
        <v>5.1355837221918677</v>
      </c>
      <c r="BF8" s="19">
        <v>6.1087579516245825</v>
      </c>
      <c r="BG8" s="19">
        <v>5.9304496673830727</v>
      </c>
      <c r="BH8" s="19">
        <v>2.7451373874180547</v>
      </c>
      <c r="BI8" s="19">
        <v>0.1136869888571681</v>
      </c>
      <c r="BJ8" s="19">
        <v>2.3056234954579793</v>
      </c>
      <c r="BK8" s="19">
        <v>2.9461745991898454</v>
      </c>
      <c r="BL8" s="19">
        <v>3.1908788677397268</v>
      </c>
      <c r="BM8" s="19">
        <v>-0.90038189459644968</v>
      </c>
      <c r="BN8" s="19">
        <v>3.9653985572550994</v>
      </c>
    </row>
    <row r="9" spans="1:66" x14ac:dyDescent="0.2">
      <c r="A9" s="19" t="s">
        <v>533</v>
      </c>
      <c r="B9" s="19" t="s">
        <v>868</v>
      </c>
      <c r="C9" s="19" t="s">
        <v>863</v>
      </c>
      <c r="D9" s="19" t="s">
        <v>864</v>
      </c>
      <c r="Z9" s="19">
        <v>-4.4000012186504449</v>
      </c>
      <c r="AA9" s="19">
        <v>0</v>
      </c>
      <c r="AB9" s="19">
        <v>4.2000014285374476</v>
      </c>
      <c r="AC9" s="19">
        <v>6.0000021650906064</v>
      </c>
      <c r="AD9" s="19">
        <v>3.499999490086239</v>
      </c>
      <c r="AE9" s="19">
        <v>2.9000017424685893</v>
      </c>
      <c r="AF9" s="19">
        <v>4.0827486351071798</v>
      </c>
      <c r="AG9" s="19">
        <v>6.1288904776508843</v>
      </c>
      <c r="AH9" s="19">
        <v>4.162146183746529E-2</v>
      </c>
      <c r="AI9" s="19">
        <v>-3.4500986850025299</v>
      </c>
      <c r="AJ9" s="19">
        <v>0.99135930204474221</v>
      </c>
      <c r="AK9" s="19">
        <v>-5.8382807331314126</v>
      </c>
      <c r="AL9" s="19">
        <v>-23.983417442057799</v>
      </c>
      <c r="AM9" s="19">
        <v>1.3393634364799141</v>
      </c>
      <c r="AN9" s="19">
        <v>15.000000028863369</v>
      </c>
      <c r="AO9" s="19">
        <v>13.544369755102565</v>
      </c>
      <c r="AP9" s="19">
        <v>7.2742773546037256</v>
      </c>
      <c r="AQ9" s="19">
        <v>4.6911464509355199</v>
      </c>
      <c r="AR9" s="19">
        <v>2.1814897184045776</v>
      </c>
      <c r="AS9" s="19">
        <v>3.0546242343078518</v>
      </c>
      <c r="AT9" s="19">
        <v>4.2059985561950981</v>
      </c>
      <c r="AU9" s="19">
        <v>13.66568876085617</v>
      </c>
      <c r="AV9" s="19">
        <v>2.9900000000000091</v>
      </c>
      <c r="AW9" s="19">
        <v>10.950000005946478</v>
      </c>
      <c r="AX9" s="19">
        <v>15.029999990551318</v>
      </c>
      <c r="AY9" s="19">
        <v>11.549999997879027</v>
      </c>
      <c r="AZ9" s="19">
        <v>14.0100000086059</v>
      </c>
      <c r="BA9" s="19">
        <v>11.169999994214635</v>
      </c>
      <c r="BB9" s="19">
        <v>0.8600000021527876</v>
      </c>
      <c r="BC9" s="19">
        <v>4.8599999986385143</v>
      </c>
      <c r="BD9" s="19">
        <v>3.4700000013564818</v>
      </c>
      <c r="BE9" s="19">
        <v>8.5400000028998733</v>
      </c>
      <c r="BF9" s="19">
        <v>4.9499999975522968</v>
      </c>
      <c r="BG9" s="19">
        <v>4.8199999986272388</v>
      </c>
      <c r="BH9" s="19">
        <v>0.9399999993847814</v>
      </c>
      <c r="BI9" s="19">
        <v>-2.5799999964437035</v>
      </c>
      <c r="BJ9" s="19">
        <v>-0.14999999963809785</v>
      </c>
      <c r="BK9" s="19">
        <v>-1.3163121021316613</v>
      </c>
      <c r="BL9" s="19">
        <v>-0.69999999780272049</v>
      </c>
      <c r="BM9" s="19">
        <v>-5.6000000004193851</v>
      </c>
      <c r="BN9" s="19">
        <v>1.0999999999996533</v>
      </c>
    </row>
    <row r="10" spans="1:66" x14ac:dyDescent="0.2">
      <c r="A10" s="19" t="s">
        <v>534</v>
      </c>
      <c r="B10" s="19" t="s">
        <v>869</v>
      </c>
      <c r="C10" s="19" t="s">
        <v>863</v>
      </c>
      <c r="D10" s="19" t="s">
        <v>864</v>
      </c>
      <c r="Z10" s="19">
        <v>5.7456352922812215</v>
      </c>
      <c r="AA10" s="19">
        <v>2.9485968011894812</v>
      </c>
      <c r="AB10" s="19">
        <v>1.1049382619504371</v>
      </c>
      <c r="AC10" s="19">
        <v>-1.251596644058111</v>
      </c>
      <c r="AD10" s="19">
        <v>1.7806439592490335</v>
      </c>
      <c r="AE10" s="19">
        <v>5.6372431785211177</v>
      </c>
      <c r="AF10" s="19">
        <v>-0.78784265492724614</v>
      </c>
      <c r="AG10" s="19">
        <v>-1.4200396556639134</v>
      </c>
      <c r="AH10" s="19">
        <v>9.8365489718722756</v>
      </c>
      <c r="AI10" s="19">
        <v>-9.5756401699341467</v>
      </c>
      <c r="AJ10" s="19">
        <v>-28.002141655909867</v>
      </c>
      <c r="AK10" s="19">
        <v>-7.1871109150003747</v>
      </c>
      <c r="AL10" s="19">
        <v>9.5594116849315043</v>
      </c>
      <c r="AM10" s="19">
        <v>8.3028665969967079</v>
      </c>
      <c r="AN10" s="19">
        <v>13.322333321683971</v>
      </c>
      <c r="AO10" s="19">
        <v>9.0999994364636052</v>
      </c>
      <c r="AP10" s="19">
        <v>-10.919984078139109</v>
      </c>
      <c r="AQ10" s="19">
        <v>8.8294237583980646</v>
      </c>
      <c r="AR10" s="19">
        <v>12.890803640776326</v>
      </c>
      <c r="AS10" s="19">
        <v>6.9462165924425392</v>
      </c>
      <c r="AT10" s="19">
        <v>8.2933126312102274</v>
      </c>
      <c r="AU10" s="19">
        <v>4.5365241603567483</v>
      </c>
      <c r="AV10" s="19">
        <v>5.5286374649178782</v>
      </c>
      <c r="AW10" s="19">
        <v>5.5146679109791421</v>
      </c>
      <c r="AX10" s="19">
        <v>5.5264242469546474</v>
      </c>
      <c r="AY10" s="19">
        <v>5.9026590359192426</v>
      </c>
      <c r="AZ10" s="19">
        <v>5.9832595185556698</v>
      </c>
      <c r="BA10" s="19">
        <v>7.5000414302015059</v>
      </c>
      <c r="BB10" s="19">
        <v>3.3542893498746054</v>
      </c>
      <c r="BC10" s="19">
        <v>3.7069381525531924</v>
      </c>
      <c r="BD10" s="19">
        <v>2.5454061445010439</v>
      </c>
      <c r="BE10" s="19">
        <v>1.4172427999077968</v>
      </c>
      <c r="BF10" s="19">
        <v>1.0020175407110798</v>
      </c>
      <c r="BG10" s="19">
        <v>1.774448852603939</v>
      </c>
      <c r="BH10" s="19">
        <v>2.2187263751780364</v>
      </c>
      <c r="BI10" s="19">
        <v>3.3149806838413696</v>
      </c>
      <c r="BJ10" s="19">
        <v>3.802227400406764</v>
      </c>
      <c r="BK10" s="19">
        <v>4.0193596851443942</v>
      </c>
      <c r="BL10" s="19">
        <v>2.0880633761501457</v>
      </c>
      <c r="BM10" s="19">
        <v>-3.4816303731429343</v>
      </c>
      <c r="BN10" s="19">
        <v>8.5155011232491518</v>
      </c>
    </row>
    <row r="11" spans="1:66" x14ac:dyDescent="0.2">
      <c r="A11" s="19" t="s">
        <v>535</v>
      </c>
      <c r="B11" s="19" t="s">
        <v>870</v>
      </c>
      <c r="C11" s="19" t="s">
        <v>863</v>
      </c>
      <c r="D11" s="19" t="s">
        <v>864</v>
      </c>
      <c r="P11" s="19">
        <v>4.6494653611383114</v>
      </c>
      <c r="Q11" s="19">
        <v>8.1497434878097295</v>
      </c>
      <c r="R11" s="19">
        <v>7.7884672033222273</v>
      </c>
      <c r="S11" s="19">
        <v>5.6187897289271973</v>
      </c>
      <c r="T11" s="19">
        <v>0.54220565931233011</v>
      </c>
      <c r="U11" s="19">
        <v>3.3037870460169074</v>
      </c>
      <c r="V11" s="19">
        <v>2.8385755682350577</v>
      </c>
      <c r="W11" s="19">
        <v>1.46300017891366</v>
      </c>
      <c r="X11" s="19">
        <v>4.1557195208753228E-2</v>
      </c>
      <c r="Y11" s="19">
        <v>2.2087276112749237</v>
      </c>
      <c r="Z11" s="19">
        <v>-0.13247451085108253</v>
      </c>
      <c r="AA11" s="19">
        <v>1.2464611107341881</v>
      </c>
      <c r="AB11" s="19">
        <v>1.770118316831244</v>
      </c>
      <c r="AC11" s="19">
        <v>1.7846866899590594</v>
      </c>
      <c r="AD11" s="19">
        <v>2.3214330336748077</v>
      </c>
      <c r="AE11" s="19">
        <v>3.2533217762911022</v>
      </c>
      <c r="AF11" s="19">
        <v>5.5471221708013303</v>
      </c>
      <c r="AG11" s="19">
        <v>5.0943262031371006</v>
      </c>
      <c r="AH11" s="19">
        <v>4.8270342503870438</v>
      </c>
      <c r="AI11" s="19">
        <v>3.7813875857133326</v>
      </c>
      <c r="AJ11" s="19">
        <v>2.5460035237586283</v>
      </c>
      <c r="AK11" s="19">
        <v>0.92921404012595588</v>
      </c>
      <c r="AL11" s="19">
        <v>-1.0314843899989512</v>
      </c>
      <c r="AM11" s="19">
        <v>2.3831822482117957</v>
      </c>
      <c r="AN11" s="19">
        <v>2.757501613262491</v>
      </c>
      <c r="AO11" s="19">
        <v>4.6497386675470693</v>
      </c>
      <c r="AP11" s="19">
        <v>9.0676720514413489</v>
      </c>
      <c r="AQ11" s="19">
        <v>3.1947933928923646</v>
      </c>
      <c r="AR11" s="19">
        <v>4.0990789217792951</v>
      </c>
      <c r="AS11" s="19">
        <v>3.5283623612238841</v>
      </c>
      <c r="AT11" s="19">
        <v>8.1193577216994868</v>
      </c>
      <c r="AU11" s="19">
        <v>4.5463622136465318</v>
      </c>
      <c r="AV11" s="19">
        <v>8.6942037161246759</v>
      </c>
      <c r="AW11" s="19">
        <v>8.1356763383735142</v>
      </c>
      <c r="AX11" s="19">
        <v>5.3977959850042225</v>
      </c>
      <c r="AY11" s="19">
        <v>4.8086886991692097</v>
      </c>
      <c r="AZ11" s="19">
        <v>1.5531881410322228</v>
      </c>
      <c r="BA11" s="19">
        <v>-5.5591863685058058</v>
      </c>
      <c r="BB11" s="19">
        <v>-5.3028465434829144</v>
      </c>
      <c r="BC11" s="19">
        <v>-1.974957999653455</v>
      </c>
      <c r="BD11" s="19">
        <v>-8.0697534113909342E-3</v>
      </c>
      <c r="BE11" s="19">
        <v>-4.9744437185350279</v>
      </c>
      <c r="BF11" s="19">
        <v>-3.5475965154934386</v>
      </c>
      <c r="BG11" s="19">
        <v>2.5044655211451783</v>
      </c>
      <c r="BH11" s="19">
        <v>1.4341403952271605</v>
      </c>
      <c r="BI11" s="19">
        <v>3.7096780697898595</v>
      </c>
      <c r="BJ11" s="19">
        <v>0.346071889630295</v>
      </c>
      <c r="BK11" s="19">
        <v>1.588765490463544</v>
      </c>
      <c r="BL11" s="19">
        <v>2.0155476384830848</v>
      </c>
      <c r="BM11" s="19">
        <v>-11.18393993553839</v>
      </c>
      <c r="BN11" s="19">
        <v>8.9494179805081444</v>
      </c>
    </row>
    <row r="12" spans="1:66" x14ac:dyDescent="0.2">
      <c r="A12" s="19" t="s">
        <v>536</v>
      </c>
      <c r="B12" s="19" t="s">
        <v>871</v>
      </c>
      <c r="C12" s="19" t="s">
        <v>863</v>
      </c>
      <c r="D12" s="19" t="s">
        <v>864</v>
      </c>
      <c r="U12" s="19">
        <v>15.761151980219807</v>
      </c>
      <c r="V12" s="19">
        <v>8.130336154548317</v>
      </c>
      <c r="W12" s="19">
        <v>-0.60034898637562151</v>
      </c>
      <c r="X12" s="19">
        <v>11.02672040614749</v>
      </c>
      <c r="Y12" s="19">
        <v>9.0816452434176824</v>
      </c>
      <c r="Z12" s="19">
        <v>3.3996797214460202</v>
      </c>
      <c r="AA12" s="19">
        <v>-8.3398875257623359</v>
      </c>
      <c r="AB12" s="19">
        <v>-6.2349263175109968</v>
      </c>
      <c r="AC12" s="19">
        <v>1.3057011335122439</v>
      </c>
      <c r="AD12" s="19">
        <v>-2.0524949893429181</v>
      </c>
      <c r="AE12" s="19">
        <v>4.4404799248176232</v>
      </c>
      <c r="AF12" s="19">
        <v>-7.3272661880537271E-2</v>
      </c>
      <c r="AG12" s="19">
        <v>5.7679726615390621</v>
      </c>
      <c r="AH12" s="19">
        <v>2.1923879349262876</v>
      </c>
      <c r="AI12" s="19">
        <v>12.11103523800017</v>
      </c>
      <c r="AJ12" s="19">
        <v>2.3916931351010362</v>
      </c>
      <c r="AK12" s="19">
        <v>5.1996945868026074</v>
      </c>
      <c r="AL12" s="19">
        <v>3.1670779073991895</v>
      </c>
      <c r="AM12" s="19">
        <v>3.2807571998022951</v>
      </c>
      <c r="AN12" s="19">
        <v>3.0614165145274654</v>
      </c>
      <c r="AO12" s="19">
        <v>4.696610267083102</v>
      </c>
      <c r="AP12" s="19">
        <v>4.7586530033940164</v>
      </c>
      <c r="AQ12" s="19">
        <v>5.1166325282350726</v>
      </c>
      <c r="AR12" s="19">
        <v>1.8367373979701256</v>
      </c>
      <c r="AS12" s="19">
        <v>6.5656752959773144</v>
      </c>
      <c r="AT12" s="19">
        <v>1.7004449315316776</v>
      </c>
      <c r="AU12" s="19">
        <v>0.6772852792787063</v>
      </c>
      <c r="AV12" s="19">
        <v>4.8751438931347195</v>
      </c>
      <c r="AW12" s="19">
        <v>8.8671323511855036</v>
      </c>
      <c r="AX12" s="19">
        <v>5.5231168130551112</v>
      </c>
      <c r="AY12" s="19">
        <v>6.087340303887359</v>
      </c>
      <c r="AZ12" s="19">
        <v>4.5705738681845389</v>
      </c>
      <c r="BA12" s="19">
        <v>5.5555331119797131</v>
      </c>
      <c r="BB12" s="19">
        <v>0.38833354092486161</v>
      </c>
      <c r="BC12" s="19">
        <v>4.747810673408992</v>
      </c>
      <c r="BD12" s="19">
        <v>3.247513658040063</v>
      </c>
      <c r="BE12" s="19">
        <v>5.1478332644663993</v>
      </c>
      <c r="BF12" s="19">
        <v>2.5857973582797911</v>
      </c>
      <c r="BG12" s="19">
        <v>2.9355392687070037</v>
      </c>
      <c r="BH12" s="19">
        <v>3.294068181197261</v>
      </c>
      <c r="BI12" s="19">
        <v>3.5182522945264196</v>
      </c>
      <c r="BJ12" s="19">
        <v>1.0563326376306748</v>
      </c>
      <c r="BK12" s="19">
        <v>2.3839247844165072</v>
      </c>
      <c r="BL12" s="19">
        <v>1.2562786193983868</v>
      </c>
      <c r="BM12" s="19">
        <v>-4.8447743365156839</v>
      </c>
      <c r="BN12" s="19">
        <v>3.6068165290001701</v>
      </c>
    </row>
    <row r="13" spans="1:66" x14ac:dyDescent="0.2">
      <c r="A13" s="19" t="s">
        <v>537</v>
      </c>
      <c r="B13" s="19" t="s">
        <v>872</v>
      </c>
      <c r="C13" s="19" t="s">
        <v>863</v>
      </c>
      <c r="D13" s="19" t="s">
        <v>864</v>
      </c>
      <c r="U13" s="19">
        <v>16.526856506014752</v>
      </c>
      <c r="V13" s="19">
        <v>21.439330170198943</v>
      </c>
      <c r="W13" s="19">
        <v>-1.5896033199159518</v>
      </c>
      <c r="X13" s="19">
        <v>20.923573077015206</v>
      </c>
      <c r="Y13" s="19">
        <v>23.87477491049799</v>
      </c>
      <c r="Z13" s="19">
        <v>4.6591766740651508</v>
      </c>
      <c r="AA13" s="19">
        <v>-6.7193161857078394</v>
      </c>
      <c r="AB13" s="19">
        <v>-4.7458206999658046</v>
      </c>
      <c r="AC13" s="19">
        <v>4.016951279594096</v>
      </c>
      <c r="AD13" s="19">
        <v>-3.5944765173683777</v>
      </c>
      <c r="AE13" s="19">
        <v>-14.958136564532694</v>
      </c>
      <c r="AF13" s="19">
        <v>3.3819817090087838</v>
      </c>
      <c r="AG13" s="19">
        <v>-2.6189077038327895</v>
      </c>
      <c r="AH13" s="19">
        <v>12.337891282260046</v>
      </c>
      <c r="AI13" s="19">
        <v>18.327985533640543</v>
      </c>
      <c r="AJ13" s="19">
        <v>0.86008194577821939</v>
      </c>
      <c r="AK13" s="19">
        <v>3.3449448618411992</v>
      </c>
      <c r="AL13" s="19">
        <v>1.261190951497241</v>
      </c>
      <c r="AM13" s="19">
        <v>6.8961485505266751</v>
      </c>
      <c r="AN13" s="19">
        <v>6.6878864636294395</v>
      </c>
      <c r="AO13" s="19">
        <v>5.798404061321591</v>
      </c>
      <c r="AP13" s="19">
        <v>8.1903986407704963</v>
      </c>
      <c r="AQ13" s="19">
        <v>0.29199434868543506</v>
      </c>
      <c r="AR13" s="19">
        <v>2.9022136446459825</v>
      </c>
      <c r="AS13" s="19">
        <v>10.852704212598567</v>
      </c>
      <c r="AT13" s="19">
        <v>1.3990850303263045</v>
      </c>
      <c r="AU13" s="19">
        <v>2.4334568103615624</v>
      </c>
      <c r="AV13" s="19">
        <v>8.8005408148643198</v>
      </c>
      <c r="AW13" s="19">
        <v>9.5664366371616154</v>
      </c>
      <c r="AX13" s="19">
        <v>4.8551411963090487</v>
      </c>
      <c r="AY13" s="19">
        <v>9.8373197734848929</v>
      </c>
      <c r="AZ13" s="19">
        <v>3.1843901736723979</v>
      </c>
      <c r="BA13" s="19">
        <v>3.1918362761038424</v>
      </c>
      <c r="BB13" s="19">
        <v>-5.2429219066759032</v>
      </c>
      <c r="BC13" s="19">
        <v>1.6028500483124901</v>
      </c>
      <c r="BD13" s="19">
        <v>6.9285085945696778</v>
      </c>
      <c r="BE13" s="19">
        <v>4.77662573667088</v>
      </c>
      <c r="BF13" s="19">
        <v>5.0555596542598806</v>
      </c>
      <c r="BG13" s="19">
        <v>4.1656918425617846</v>
      </c>
      <c r="BH13" s="19">
        <v>6.7867728794521582</v>
      </c>
      <c r="BI13" s="19">
        <v>5.5614907549679913</v>
      </c>
      <c r="BJ13" s="19">
        <v>0.7350687131656457</v>
      </c>
      <c r="BK13" s="19">
        <v>1.3139138814111817</v>
      </c>
      <c r="BL13" s="19">
        <v>1.1083481389309924</v>
      </c>
      <c r="BM13" s="19">
        <v>-4.9570524365273911</v>
      </c>
      <c r="BN13" s="19">
        <v>3.9162960803767817</v>
      </c>
    </row>
    <row r="14" spans="1:66" x14ac:dyDescent="0.2">
      <c r="A14" s="19" t="s">
        <v>538</v>
      </c>
      <c r="B14" s="19" t="s">
        <v>873</v>
      </c>
      <c r="C14" s="19" t="s">
        <v>863</v>
      </c>
      <c r="D14" s="19" t="s">
        <v>864</v>
      </c>
      <c r="F14" s="19">
        <v>5.42784287621933</v>
      </c>
      <c r="G14" s="19">
        <v>-0.85202152190333891</v>
      </c>
      <c r="H14" s="19">
        <v>-5.3081968253912635</v>
      </c>
      <c r="I14" s="19">
        <v>10.130297661543068</v>
      </c>
      <c r="J14" s="19">
        <v>10.569433337639396</v>
      </c>
      <c r="K14" s="19">
        <v>-0.65972617062982408</v>
      </c>
      <c r="L14" s="19">
        <v>3.1919966233917734</v>
      </c>
      <c r="M14" s="19">
        <v>4.822500779324244</v>
      </c>
      <c r="N14" s="19">
        <v>9.6795260107832632</v>
      </c>
      <c r="O14" s="19">
        <v>3.0456433191711483</v>
      </c>
      <c r="P14" s="19">
        <v>5.6581310818492483</v>
      </c>
      <c r="Q14" s="19">
        <v>1.6284165182593853</v>
      </c>
      <c r="R14" s="19">
        <v>2.8117540384903492</v>
      </c>
      <c r="S14" s="19">
        <v>5.5338043957736005</v>
      </c>
      <c r="T14" s="19">
        <v>-2.8412103711090708E-2</v>
      </c>
      <c r="U14" s="19">
        <v>-2.0182515168339421</v>
      </c>
      <c r="V14" s="19">
        <v>6.9341477565334202</v>
      </c>
      <c r="W14" s="19">
        <v>-4.5061248020135878</v>
      </c>
      <c r="X14" s="19">
        <v>10.22276346386812</v>
      </c>
      <c r="Y14" s="19">
        <v>1.5187839499017883</v>
      </c>
      <c r="Z14" s="19">
        <v>-5.1897891413559307</v>
      </c>
      <c r="AA14" s="19">
        <v>-0.73565915910361923</v>
      </c>
      <c r="AB14" s="19">
        <v>4.3490932792675636</v>
      </c>
      <c r="AC14" s="19">
        <v>1.5707387018202326</v>
      </c>
      <c r="AD14" s="19">
        <v>-5.1890243534390379</v>
      </c>
      <c r="AE14" s="19">
        <v>6.1533770627569311</v>
      </c>
      <c r="AF14" s="19">
        <v>2.7048688277055817</v>
      </c>
      <c r="AG14" s="19">
        <v>-1.0899333413379111</v>
      </c>
      <c r="AH14" s="19">
        <v>-7.1569496559795311</v>
      </c>
      <c r="AI14" s="19">
        <v>-2.4672137781047212</v>
      </c>
      <c r="AJ14" s="19">
        <v>9.1331105673896076</v>
      </c>
      <c r="AK14" s="19">
        <v>7.9372915564307647</v>
      </c>
      <c r="AL14" s="19">
        <v>8.2069790722122775</v>
      </c>
      <c r="AM14" s="19">
        <v>5.8362007036852646</v>
      </c>
      <c r="AN14" s="19">
        <v>-2.8452096105707909</v>
      </c>
      <c r="AO14" s="19">
        <v>5.5266898271523388</v>
      </c>
      <c r="AP14" s="19">
        <v>8.1110467707457019</v>
      </c>
      <c r="AQ14" s="19">
        <v>3.8501788515622763</v>
      </c>
      <c r="AR14" s="19">
        <v>-3.3854570406326872</v>
      </c>
      <c r="AS14" s="19">
        <v>-0.78899893905690988</v>
      </c>
      <c r="AT14" s="19">
        <v>-4.4088396825855654</v>
      </c>
      <c r="AU14" s="19">
        <v>-10.894484828590279</v>
      </c>
      <c r="AV14" s="19">
        <v>8.8370407957692407</v>
      </c>
      <c r="AW14" s="19">
        <v>9.0295733006815198</v>
      </c>
      <c r="AX14" s="19">
        <v>8.8516599201343666</v>
      </c>
      <c r="AY14" s="19">
        <v>8.0471515004302745</v>
      </c>
      <c r="AZ14" s="19">
        <v>9.0076508750475739</v>
      </c>
      <c r="BA14" s="19">
        <v>4.057233103464057</v>
      </c>
      <c r="BB14" s="19">
        <v>-5.9185250763494679</v>
      </c>
      <c r="BC14" s="19">
        <v>10.125398156100232</v>
      </c>
      <c r="BD14" s="19">
        <v>6.003951692805785</v>
      </c>
      <c r="BE14" s="19">
        <v>-1.0264204544320989</v>
      </c>
      <c r="BF14" s="19">
        <v>2.4053237807943617</v>
      </c>
      <c r="BG14" s="19">
        <v>-2.5126153208139357</v>
      </c>
      <c r="BH14" s="19">
        <v>2.7311598282894352</v>
      </c>
      <c r="BI14" s="19">
        <v>-2.0803278437781074</v>
      </c>
      <c r="BJ14" s="19">
        <v>2.8185029777591808</v>
      </c>
      <c r="BK14" s="19">
        <v>-2.6173964628203805</v>
      </c>
      <c r="BL14" s="19">
        <v>-2.000861002857846</v>
      </c>
      <c r="BM14" s="19">
        <v>-9.9432351344606928</v>
      </c>
      <c r="BN14" s="19">
        <v>10.398249464690352</v>
      </c>
    </row>
    <row r="15" spans="1:66" x14ac:dyDescent="0.2">
      <c r="A15" s="19" t="s">
        <v>539</v>
      </c>
      <c r="B15" s="19" t="s">
        <v>874</v>
      </c>
      <c r="C15" s="19" t="s">
        <v>863</v>
      </c>
      <c r="D15" s="19" t="s">
        <v>864</v>
      </c>
      <c r="AJ15" s="19">
        <v>-11.699998482027027</v>
      </c>
      <c r="AK15" s="19">
        <v>-41.800002745756203</v>
      </c>
      <c r="AL15" s="19">
        <v>-8.7999987932934971</v>
      </c>
      <c r="AM15" s="19">
        <v>5.4000027791765604</v>
      </c>
      <c r="AN15" s="19">
        <v>6.8999984197365904</v>
      </c>
      <c r="AO15" s="19">
        <v>5.8654007494356506</v>
      </c>
      <c r="AP15" s="19">
        <v>3.3210797004695252</v>
      </c>
      <c r="AQ15" s="19">
        <v>7.299999987709981</v>
      </c>
      <c r="AR15" s="19">
        <v>3.3000000005816617</v>
      </c>
      <c r="AS15" s="19">
        <v>5.9000000031209225</v>
      </c>
      <c r="AT15" s="19">
        <v>9.5999999992759655</v>
      </c>
      <c r="AU15" s="19">
        <v>13.199999997935578</v>
      </c>
      <c r="AV15" s="19">
        <v>14.000000001550148</v>
      </c>
      <c r="AW15" s="19">
        <v>10.499999998820186</v>
      </c>
      <c r="AX15" s="19">
        <v>13.899999999113263</v>
      </c>
      <c r="AY15" s="19">
        <v>13.199999999466144</v>
      </c>
      <c r="AZ15" s="19">
        <v>13.700000001546698</v>
      </c>
      <c r="BA15" s="19">
        <v>6.9000000004295856</v>
      </c>
      <c r="BB15" s="19">
        <v>-14.100000000699779</v>
      </c>
      <c r="BC15" s="19">
        <v>2.2000000002150983</v>
      </c>
      <c r="BD15" s="19">
        <v>4.6999999986741159</v>
      </c>
      <c r="BE15" s="19">
        <v>7.200000000964863</v>
      </c>
      <c r="BF15" s="19">
        <v>3.3</v>
      </c>
      <c r="BG15" s="19">
        <v>3.6000000005899295</v>
      </c>
      <c r="BH15" s="19">
        <v>3.1999999989662484</v>
      </c>
      <c r="BI15" s="19">
        <v>0.19999999982599093</v>
      </c>
      <c r="BJ15" s="19">
        <v>7.500000001641439</v>
      </c>
      <c r="BK15" s="19">
        <v>5.1999999996532438</v>
      </c>
      <c r="BL15" s="19">
        <v>7.5999999985391753</v>
      </c>
      <c r="BM15" s="19">
        <v>-7.1999999999999886</v>
      </c>
      <c r="BN15" s="19">
        <v>5.6999999999999744</v>
      </c>
    </row>
    <row r="16" spans="1:66" x14ac:dyDescent="0.2">
      <c r="A16" s="19" t="s">
        <v>540</v>
      </c>
      <c r="B16" s="19" t="s">
        <v>875</v>
      </c>
      <c r="C16" s="19" t="s">
        <v>863</v>
      </c>
      <c r="D16" s="19" t="s">
        <v>864</v>
      </c>
      <c r="AV16" s="19">
        <v>0.96551724137931672</v>
      </c>
      <c r="AW16" s="19">
        <v>0.40983606557377072</v>
      </c>
      <c r="AX16" s="19">
        <v>-0.40816326530612912</v>
      </c>
      <c r="AY16" s="19">
        <v>-4.0983606557377072</v>
      </c>
      <c r="AZ16" s="19">
        <v>1.8518518518518619</v>
      </c>
      <c r="BA16" s="19">
        <v>-2.6573426573426531</v>
      </c>
      <c r="BB16" s="19">
        <v>-4.1666666666666572</v>
      </c>
      <c r="BC16" s="19">
        <v>0.29985007496252081</v>
      </c>
      <c r="BD16" s="19">
        <v>0</v>
      </c>
      <c r="BE16" s="19">
        <v>-4.3348281016442485</v>
      </c>
      <c r="BF16" s="19">
        <v>-2.5</v>
      </c>
      <c r="BG16" s="19">
        <v>1.762820512820511</v>
      </c>
      <c r="BH16" s="19">
        <v>3.1496062992125928</v>
      </c>
      <c r="BI16" s="19">
        <v>-1.6793893129770936</v>
      </c>
      <c r="BJ16" s="19">
        <v>-6.9875776397515494</v>
      </c>
      <c r="BK16" s="19">
        <v>2.6711185308847973</v>
      </c>
      <c r="BL16" s="19">
        <v>-0.48780487804877737</v>
      </c>
      <c r="BM16" s="19">
        <v>5.0653594771241899</v>
      </c>
      <c r="BN16" s="19">
        <v>-1.866251944012447</v>
      </c>
    </row>
    <row r="17" spans="1:66" x14ac:dyDescent="0.2">
      <c r="A17" s="19" t="s">
        <v>541</v>
      </c>
      <c r="B17" s="19" t="s">
        <v>876</v>
      </c>
      <c r="C17" s="19" t="s">
        <v>863</v>
      </c>
      <c r="D17" s="19" t="s">
        <v>864</v>
      </c>
      <c r="W17" s="19">
        <v>4.3836279198863366</v>
      </c>
      <c r="X17" s="19">
        <v>8.0797453374698733</v>
      </c>
      <c r="Y17" s="19">
        <v>8.1614307966300714</v>
      </c>
      <c r="Z17" s="19">
        <v>3.8149161658077162</v>
      </c>
      <c r="AA17" s="19">
        <v>-8.4012264192963926E-2</v>
      </c>
      <c r="AB17" s="19">
        <v>5.3640162693935736</v>
      </c>
      <c r="AC17" s="19">
        <v>10.164995602966286</v>
      </c>
      <c r="AD17" s="19">
        <v>7.6437935932854231</v>
      </c>
      <c r="AE17" s="19">
        <v>11.49382856688726</v>
      </c>
      <c r="AF17" s="19">
        <v>6.6263688451837055</v>
      </c>
      <c r="AG17" s="19">
        <v>5.2132728968965694</v>
      </c>
      <c r="AH17" s="19">
        <v>5.2522746611496558</v>
      </c>
      <c r="AI17" s="19">
        <v>3.0117146835790152</v>
      </c>
      <c r="AJ17" s="19">
        <v>2.1765786026592764</v>
      </c>
      <c r="AK17" s="19">
        <v>1.1584751914206066</v>
      </c>
      <c r="AL17" s="19">
        <v>5.2798787086171188</v>
      </c>
      <c r="AM17" s="19">
        <v>6.6767071032424354</v>
      </c>
      <c r="AN17" s="19">
        <v>-4.3595873823926468</v>
      </c>
      <c r="AO17" s="19">
        <v>6.6044597208229732</v>
      </c>
      <c r="AP17" s="19">
        <v>5.471608482079688</v>
      </c>
      <c r="AQ17" s="19">
        <v>4.731125091637395</v>
      </c>
      <c r="AR17" s="19">
        <v>3.7076179103931395</v>
      </c>
      <c r="AS17" s="19">
        <v>6.2034312536119103</v>
      </c>
      <c r="AT17" s="19">
        <v>-4.548003472582792</v>
      </c>
      <c r="AU17" s="19">
        <v>1.0274419697642259</v>
      </c>
      <c r="AV17" s="19">
        <v>6.0765436884839801</v>
      </c>
      <c r="AW17" s="19">
        <v>5.7670286118036955</v>
      </c>
      <c r="AX17" s="19">
        <v>6.4738313164199184</v>
      </c>
      <c r="AY17" s="19">
        <v>12.708148532773706</v>
      </c>
      <c r="AZ17" s="19">
        <v>9.3153831633975273</v>
      </c>
      <c r="BA17" s="19">
        <v>-1.4340651943598459E-2</v>
      </c>
      <c r="BB17" s="19">
        <v>-11.962697248834289</v>
      </c>
      <c r="BC17" s="19">
        <v>-7.8405947441217165</v>
      </c>
      <c r="BD17" s="19">
        <v>-1.9586126283434311</v>
      </c>
      <c r="BE17" s="19">
        <v>3.3728662003186685</v>
      </c>
      <c r="BF17" s="19">
        <v>-0.60087639673504611</v>
      </c>
      <c r="BG17" s="19">
        <v>3.7957276129425139</v>
      </c>
      <c r="BH17" s="19">
        <v>3.8252930988082738</v>
      </c>
      <c r="BI17" s="19">
        <v>5.4964592035783539</v>
      </c>
      <c r="BJ17" s="19">
        <v>3.1443232397050451</v>
      </c>
      <c r="BK17" s="19">
        <v>6.8836408168750012</v>
      </c>
      <c r="BL17" s="19">
        <v>4.8622361657566273</v>
      </c>
      <c r="BM17" s="19">
        <v>-20.192370572207082</v>
      </c>
      <c r="BN17" s="19">
        <v>5.2708488395118991</v>
      </c>
    </row>
    <row r="18" spans="1:66" x14ac:dyDescent="0.2">
      <c r="A18" s="19" t="s">
        <v>542</v>
      </c>
      <c r="B18" s="19" t="s">
        <v>877</v>
      </c>
      <c r="C18" s="19" t="s">
        <v>863</v>
      </c>
      <c r="D18" s="19" t="s">
        <v>864</v>
      </c>
      <c r="F18" s="19">
        <v>2.482656077431983</v>
      </c>
      <c r="G18" s="19">
        <v>1.2946112504228751</v>
      </c>
      <c r="H18" s="19">
        <v>6.2161073409562846</v>
      </c>
      <c r="I18" s="19">
        <v>6.9800611359090823</v>
      </c>
      <c r="J18" s="19">
        <v>5.9804379048923266</v>
      </c>
      <c r="K18" s="19">
        <v>2.3790395210471047</v>
      </c>
      <c r="L18" s="19">
        <v>6.3049452083868687</v>
      </c>
      <c r="M18" s="19">
        <v>5.0940337991020925</v>
      </c>
      <c r="N18" s="19">
        <v>7.0455840740703621</v>
      </c>
      <c r="O18" s="19">
        <v>7.1759161961339402</v>
      </c>
      <c r="P18" s="19">
        <v>4.0009325268864018</v>
      </c>
      <c r="Q18" s="19">
        <v>3.9102844776475791</v>
      </c>
      <c r="R18" s="19">
        <v>2.619375962709384</v>
      </c>
      <c r="S18" s="19">
        <v>4.1069730524098844</v>
      </c>
      <c r="T18" s="19">
        <v>1.33631004053656</v>
      </c>
      <c r="U18" s="19">
        <v>2.5887707575613632</v>
      </c>
      <c r="V18" s="19">
        <v>3.5948329382036661</v>
      </c>
      <c r="W18" s="19">
        <v>0.89314971516287756</v>
      </c>
      <c r="X18" s="19">
        <v>4.0500265729261855</v>
      </c>
      <c r="Y18" s="19">
        <v>3.0355887984002408</v>
      </c>
      <c r="Z18" s="19">
        <v>3.3394947827481474</v>
      </c>
      <c r="AA18" s="19">
        <v>3.324852287139052</v>
      </c>
      <c r="AB18" s="19">
        <v>-2.2245418766746212</v>
      </c>
      <c r="AC18" s="19">
        <v>4.5917385637142445</v>
      </c>
      <c r="AD18" s="19">
        <v>5.2782438789907218</v>
      </c>
      <c r="AE18" s="19">
        <v>3.9662743373806393</v>
      </c>
      <c r="AF18" s="19">
        <v>2.5592576377188436</v>
      </c>
      <c r="AG18" s="19">
        <v>5.7573410658257558</v>
      </c>
      <c r="AH18" s="19">
        <v>3.8754255207474273</v>
      </c>
      <c r="AI18" s="19">
        <v>3.5764857610679428</v>
      </c>
      <c r="AJ18" s="19">
        <v>-0.38307189276774523</v>
      </c>
      <c r="AK18" s="19">
        <v>0.4286195674860096</v>
      </c>
      <c r="AL18" s="19">
        <v>4.0474252681661511</v>
      </c>
      <c r="AM18" s="19">
        <v>3.9809233474749277</v>
      </c>
      <c r="AN18" s="19">
        <v>3.8871062939314243</v>
      </c>
      <c r="AO18" s="19">
        <v>3.8568412266856171</v>
      </c>
      <c r="AP18" s="19">
        <v>3.912835472926929</v>
      </c>
      <c r="AQ18" s="19">
        <v>4.6133568924210664</v>
      </c>
      <c r="AR18" s="19">
        <v>4.956324506128837</v>
      </c>
      <c r="AS18" s="19">
        <v>3.9011713713596805</v>
      </c>
      <c r="AT18" s="19">
        <v>2.0414173381616081</v>
      </c>
      <c r="AU18" s="19">
        <v>3.9935898648165278</v>
      </c>
      <c r="AV18" s="19">
        <v>3.1113982078940978</v>
      </c>
      <c r="AW18" s="19">
        <v>4.2166332725260816</v>
      </c>
      <c r="AX18" s="19">
        <v>3.1537527104114247</v>
      </c>
      <c r="AY18" s="19">
        <v>2.7406357036578299</v>
      </c>
      <c r="AZ18" s="19">
        <v>3.777916782664775</v>
      </c>
      <c r="BA18" s="19">
        <v>3.5682700322581979</v>
      </c>
      <c r="BB18" s="19">
        <v>1.8704869609140786</v>
      </c>
      <c r="BC18" s="19">
        <v>2.2065663101709276</v>
      </c>
      <c r="BD18" s="19">
        <v>2.3913851323057003</v>
      </c>
      <c r="BE18" s="19">
        <v>3.9020078063179966</v>
      </c>
      <c r="BF18" s="19">
        <v>2.5787542882534211</v>
      </c>
      <c r="BG18" s="19">
        <v>2.5790171117759684</v>
      </c>
      <c r="BH18" s="19">
        <v>2.152735905939096</v>
      </c>
      <c r="BI18" s="19">
        <v>2.7305479920989342</v>
      </c>
      <c r="BJ18" s="19">
        <v>2.2821836424846538</v>
      </c>
      <c r="BK18" s="19">
        <v>2.8830451234768333</v>
      </c>
      <c r="BL18" s="19">
        <v>2.1713962244835017</v>
      </c>
      <c r="BM18" s="19">
        <v>-5.0885336083894117E-2</v>
      </c>
      <c r="BN18" s="19">
        <v>2.2362124394446141</v>
      </c>
    </row>
    <row r="19" spans="1:66" x14ac:dyDescent="0.2">
      <c r="A19" s="19" t="s">
        <v>543</v>
      </c>
      <c r="B19" s="19" t="s">
        <v>878</v>
      </c>
      <c r="C19" s="19" t="s">
        <v>863</v>
      </c>
      <c r="D19" s="19" t="s">
        <v>864</v>
      </c>
      <c r="F19" s="19">
        <v>5.5379793168452807</v>
      </c>
      <c r="G19" s="19">
        <v>2.6486751129526169</v>
      </c>
      <c r="H19" s="19">
        <v>4.1382675815703607</v>
      </c>
      <c r="I19" s="19">
        <v>6.1243537376284252</v>
      </c>
      <c r="J19" s="19">
        <v>3.480174917995555</v>
      </c>
      <c r="K19" s="19">
        <v>5.642861410932781</v>
      </c>
      <c r="L19" s="19">
        <v>3.0080477977548981</v>
      </c>
      <c r="M19" s="19">
        <v>4.4723127824606479</v>
      </c>
      <c r="N19" s="19">
        <v>6.2758671660702419</v>
      </c>
      <c r="O19" s="19">
        <v>6.3211426323496909</v>
      </c>
      <c r="P19" s="19">
        <v>5.1149685849956228</v>
      </c>
      <c r="Q19" s="19">
        <v>6.2078610864110999</v>
      </c>
      <c r="R19" s="19">
        <v>4.8904353171528783</v>
      </c>
      <c r="S19" s="19">
        <v>3.9421380710437575</v>
      </c>
      <c r="T19" s="19">
        <v>-0.36373543405353814</v>
      </c>
      <c r="U19" s="19">
        <v>4.5784454333211499</v>
      </c>
      <c r="V19" s="19">
        <v>5.0799805942591547</v>
      </c>
      <c r="W19" s="19">
        <v>-0.21065369516267651</v>
      </c>
      <c r="X19" s="19">
        <v>5.3566999002511579</v>
      </c>
      <c r="Y19" s="19">
        <v>1.7314855954991657</v>
      </c>
      <c r="Z19" s="19">
        <v>-0.14429469056661048</v>
      </c>
      <c r="AA19" s="19">
        <v>2.0112547075435145</v>
      </c>
      <c r="AB19" s="19">
        <v>2.9730880303121268</v>
      </c>
      <c r="AC19" s="19">
        <v>5.1274762966841081E-2</v>
      </c>
      <c r="AD19" s="19">
        <v>2.4986784974842919</v>
      </c>
      <c r="AE19" s="19">
        <v>2.3013932119723961</v>
      </c>
      <c r="AF19" s="19">
        <v>1.3571680641544077</v>
      </c>
      <c r="AG19" s="19">
        <v>3.2958798984301438</v>
      </c>
      <c r="AH19" s="19">
        <v>3.887074817820519</v>
      </c>
      <c r="AI19" s="19">
        <v>4.345641399478211</v>
      </c>
      <c r="AJ19" s="19">
        <v>3.4416277766945882</v>
      </c>
      <c r="AK19" s="19">
        <v>2.0935246170918305</v>
      </c>
      <c r="AL19" s="19">
        <v>0.52680920370649176</v>
      </c>
      <c r="AM19" s="19">
        <v>2.4021190737988576</v>
      </c>
      <c r="AN19" s="19">
        <v>2.6679835308954836</v>
      </c>
      <c r="AO19" s="19">
        <v>2.3495338516972737</v>
      </c>
      <c r="AP19" s="19">
        <v>2.0935993895239164</v>
      </c>
      <c r="AQ19" s="19">
        <v>3.5814258146044722</v>
      </c>
      <c r="AR19" s="19">
        <v>3.5563312466416903</v>
      </c>
      <c r="AS19" s="19">
        <v>3.3757221470847867</v>
      </c>
      <c r="AT19" s="19">
        <v>1.2671681892299205</v>
      </c>
      <c r="AU19" s="19">
        <v>1.651553921866693</v>
      </c>
      <c r="AV19" s="19">
        <v>0.94147092072533667</v>
      </c>
      <c r="AW19" s="19">
        <v>2.7351202224102309</v>
      </c>
      <c r="AX19" s="19">
        <v>2.2440653246387825</v>
      </c>
      <c r="AY19" s="19">
        <v>3.4540418361412151</v>
      </c>
      <c r="AZ19" s="19">
        <v>3.727415300935192</v>
      </c>
      <c r="BA19" s="19">
        <v>1.4604236757385962</v>
      </c>
      <c r="BB19" s="19">
        <v>-3.7645781779167748</v>
      </c>
      <c r="BC19" s="19">
        <v>1.837093676800535</v>
      </c>
      <c r="BD19" s="19">
        <v>2.92279728368581</v>
      </c>
      <c r="BE19" s="19">
        <v>0.68044557681672302</v>
      </c>
      <c r="BF19" s="19">
        <v>2.5504712197218282E-2</v>
      </c>
      <c r="BG19" s="19">
        <v>0.66127284885260451</v>
      </c>
      <c r="BH19" s="19">
        <v>1.0145015859051085</v>
      </c>
      <c r="BI19" s="19">
        <v>1.9894371623046254</v>
      </c>
      <c r="BJ19" s="19">
        <v>2.2585724325067105</v>
      </c>
      <c r="BK19" s="19">
        <v>2.4253853608806111</v>
      </c>
      <c r="BL19" s="19">
        <v>1.5173885830315896</v>
      </c>
      <c r="BM19" s="19">
        <v>-6.4539684668912685</v>
      </c>
      <c r="BN19" s="19">
        <v>4.5568509130887662</v>
      </c>
    </row>
    <row r="20" spans="1:66" x14ac:dyDescent="0.2">
      <c r="A20" s="19" t="s">
        <v>544</v>
      </c>
      <c r="B20" s="19" t="s">
        <v>879</v>
      </c>
      <c r="C20" s="19" t="s">
        <v>863</v>
      </c>
      <c r="D20" s="19" t="s">
        <v>864</v>
      </c>
      <c r="AJ20" s="19">
        <v>-0.70000017569957151</v>
      </c>
      <c r="AK20" s="19">
        <v>-22.60000032644443</v>
      </c>
      <c r="AL20" s="19">
        <v>-23.099998718838734</v>
      </c>
      <c r="AM20" s="19">
        <v>-19.700001239923836</v>
      </c>
      <c r="AN20" s="19">
        <v>-11.799999107681813</v>
      </c>
      <c r="AO20" s="19">
        <v>1.299999404638271</v>
      </c>
      <c r="AP20" s="19">
        <v>5.8000001479578316</v>
      </c>
      <c r="AQ20" s="19">
        <v>9.9999996115369072</v>
      </c>
      <c r="AR20" s="19">
        <v>7.4000012995856395</v>
      </c>
      <c r="AS20" s="19">
        <v>11.099999143434601</v>
      </c>
      <c r="AT20" s="19">
        <v>9.8999998653364258</v>
      </c>
      <c r="AU20" s="19">
        <v>9.438916269065615</v>
      </c>
      <c r="AV20" s="19">
        <v>10.208299400477642</v>
      </c>
      <c r="AW20" s="19">
        <v>9.2538017972890714</v>
      </c>
      <c r="AX20" s="19">
        <v>27.961538108213134</v>
      </c>
      <c r="AY20" s="19">
        <v>34.5</v>
      </c>
      <c r="AZ20" s="19">
        <v>24.99999985156829</v>
      </c>
      <c r="BA20" s="19">
        <v>10.758978060468365</v>
      </c>
      <c r="BB20" s="19">
        <v>9.2963637444709093</v>
      </c>
      <c r="BC20" s="19">
        <v>5.0489445134957407</v>
      </c>
      <c r="BD20" s="19">
        <v>0.10000013782457984</v>
      </c>
      <c r="BE20" s="19">
        <v>2.1652394748415986</v>
      </c>
      <c r="BF20" s="19">
        <v>5.8098008426820797</v>
      </c>
      <c r="BG20" s="19">
        <v>2.7505068153551804</v>
      </c>
      <c r="BH20" s="19">
        <v>1.0939759162746867</v>
      </c>
      <c r="BI20" s="19">
        <v>-3.0999998803726641</v>
      </c>
      <c r="BJ20" s="19">
        <v>0.19999993895865487</v>
      </c>
      <c r="BK20" s="19">
        <v>1.4999999999999858</v>
      </c>
      <c r="BL20" s="19">
        <v>2.500000067437341</v>
      </c>
      <c r="BM20" s="19">
        <v>-4.3000001023073651</v>
      </c>
      <c r="BN20" s="19">
        <v>5.6000372728033767</v>
      </c>
    </row>
    <row r="21" spans="1:66" x14ac:dyDescent="0.2">
      <c r="A21" s="19" t="s">
        <v>545</v>
      </c>
      <c r="B21" s="19" t="s">
        <v>880</v>
      </c>
      <c r="C21" s="19" t="s">
        <v>863</v>
      </c>
      <c r="D21" s="19" t="s">
        <v>864</v>
      </c>
      <c r="F21" s="19">
        <v>-13.746135053983892</v>
      </c>
      <c r="G21" s="19">
        <v>9.0631579338656252</v>
      </c>
      <c r="H21" s="19">
        <v>4.1354074218557457</v>
      </c>
      <c r="I21" s="19">
        <v>6.2730379008706194</v>
      </c>
      <c r="J21" s="19">
        <v>3.967225609280149</v>
      </c>
      <c r="K21" s="19">
        <v>4.6129928955768378</v>
      </c>
      <c r="L21" s="19">
        <v>13.821518602087423</v>
      </c>
      <c r="M21" s="19">
        <v>-0.29788367347217104</v>
      </c>
      <c r="N21" s="19">
        <v>-1.4595411424562172</v>
      </c>
      <c r="O21" s="19">
        <v>21.325670732865447</v>
      </c>
      <c r="P21" s="19">
        <v>2.7468287121383099</v>
      </c>
      <c r="Q21" s="19">
        <v>-6.4039649240787497</v>
      </c>
      <c r="R21" s="19">
        <v>6.8890507189633325</v>
      </c>
      <c r="S21" s="19">
        <v>-0.72683956274633488</v>
      </c>
      <c r="T21" s="19">
        <v>0.69792023621519661</v>
      </c>
      <c r="U21" s="19">
        <v>7.9426609761413971</v>
      </c>
      <c r="V21" s="19">
        <v>11.469453043912537</v>
      </c>
      <c r="W21" s="19">
        <v>-0.94057598840964829</v>
      </c>
      <c r="X21" s="19">
        <v>1.6649549502354262</v>
      </c>
      <c r="Y21" s="19">
        <v>0.99105572510647733</v>
      </c>
      <c r="Z21" s="19">
        <v>12.163275569828286</v>
      </c>
      <c r="AA21" s="19">
        <v>-1.053599820210124</v>
      </c>
      <c r="AB21" s="19">
        <v>3.7153269913911231</v>
      </c>
      <c r="AC21" s="19">
        <v>0.15554400495973653</v>
      </c>
      <c r="AD21" s="19">
        <v>11.783180178665404</v>
      </c>
      <c r="AE21" s="19">
        <v>3.2501804597024062</v>
      </c>
      <c r="AF21" s="19">
        <v>5.5030961195224393</v>
      </c>
      <c r="AG21" s="19">
        <v>5.031024367491213</v>
      </c>
      <c r="AH21" s="19">
        <v>1.3495022365178357</v>
      </c>
      <c r="AI21" s="19">
        <v>3.4998221361125275</v>
      </c>
      <c r="AJ21" s="19">
        <v>4.9968364479212539</v>
      </c>
      <c r="AK21" s="19">
        <v>1.0099983709962856</v>
      </c>
      <c r="AL21" s="19">
        <v>-6.2400000013904702</v>
      </c>
      <c r="AM21" s="19">
        <v>-3.829999996198282</v>
      </c>
      <c r="AN21" s="19">
        <v>-7.9200000037477167</v>
      </c>
      <c r="AO21" s="19">
        <v>-7.9999999979409324</v>
      </c>
      <c r="AP21" s="19">
        <v>-1.5899999968582819</v>
      </c>
      <c r="AQ21" s="19">
        <v>4.7499999950961325</v>
      </c>
      <c r="AR21" s="19">
        <v>-1.0099999964981521</v>
      </c>
      <c r="AS21" s="19">
        <v>-0.8568640584241507</v>
      </c>
      <c r="AT21" s="19">
        <v>2.0558071083524254</v>
      </c>
      <c r="AU21" s="19">
        <v>4.4465194122479659</v>
      </c>
      <c r="AV21" s="19">
        <v>-1.2237279602344415</v>
      </c>
      <c r="AW21" s="19">
        <v>4.8336577680945254</v>
      </c>
      <c r="AX21" s="19">
        <v>0.90000000090191179</v>
      </c>
      <c r="AY21" s="19">
        <v>5.4138071449144434</v>
      </c>
      <c r="AZ21" s="19">
        <v>3.4519485638194283</v>
      </c>
      <c r="BA21" s="19">
        <v>4.8617163671264052</v>
      </c>
      <c r="BB21" s="19">
        <v>3.8127453663341839</v>
      </c>
      <c r="BC21" s="19">
        <v>5.124159994398056</v>
      </c>
      <c r="BD21" s="19">
        <v>4.0325999884441472</v>
      </c>
      <c r="BE21" s="19">
        <v>4.4467063311149531</v>
      </c>
      <c r="BF21" s="19">
        <v>4.9241898983468388</v>
      </c>
      <c r="BG21" s="19">
        <v>4.2406502140265729</v>
      </c>
      <c r="BH21" s="19">
        <v>-3.9000000804854977</v>
      </c>
      <c r="BI21" s="19">
        <v>-0.60000090911638893</v>
      </c>
      <c r="BJ21" s="19">
        <v>0.50000126242927934</v>
      </c>
      <c r="BK21" s="19">
        <v>1.6099354212771431</v>
      </c>
      <c r="BL21" s="19">
        <v>1.8125653232666821</v>
      </c>
      <c r="BM21" s="19">
        <v>0.32715689126359848</v>
      </c>
      <c r="BN21" s="19">
        <v>1.795299999999969</v>
      </c>
    </row>
    <row r="22" spans="1:66" x14ac:dyDescent="0.2">
      <c r="A22" s="19" t="s">
        <v>546</v>
      </c>
      <c r="B22" s="19" t="s">
        <v>881</v>
      </c>
      <c r="C22" s="19" t="s">
        <v>863</v>
      </c>
      <c r="D22" s="19" t="s">
        <v>864</v>
      </c>
      <c r="F22" s="19">
        <v>4.9784230631919684</v>
      </c>
      <c r="G22" s="19">
        <v>5.2120035092552826</v>
      </c>
      <c r="H22" s="19">
        <v>4.3515842816705117</v>
      </c>
      <c r="I22" s="19">
        <v>6.9566847334410227</v>
      </c>
      <c r="J22" s="19">
        <v>3.5606598398603637</v>
      </c>
      <c r="K22" s="19">
        <v>3.1558949817340789</v>
      </c>
      <c r="L22" s="19">
        <v>3.8681469469011205</v>
      </c>
      <c r="M22" s="19">
        <v>4.1941296249473226</v>
      </c>
      <c r="N22" s="19">
        <v>6.629799795294673</v>
      </c>
      <c r="O22" s="19">
        <v>5.582858284314753</v>
      </c>
      <c r="P22" s="19">
        <v>3.9858271104884722</v>
      </c>
      <c r="Q22" s="19">
        <v>5.2956047428402542</v>
      </c>
      <c r="R22" s="19">
        <v>6.3817019575000131</v>
      </c>
      <c r="S22" s="19">
        <v>4.5652579728430567</v>
      </c>
      <c r="T22" s="19">
        <v>-1.9659415658482118</v>
      </c>
      <c r="U22" s="19">
        <v>5.6527459331799292</v>
      </c>
      <c r="V22" s="19">
        <v>0.62615485402130844</v>
      </c>
      <c r="W22" s="19">
        <v>2.8418964908226911</v>
      </c>
      <c r="X22" s="19">
        <v>2.3410729555681371</v>
      </c>
      <c r="Y22" s="19">
        <v>4.4440538763934825</v>
      </c>
      <c r="Z22" s="19">
        <v>-0.27928327936213293</v>
      </c>
      <c r="AA22" s="19">
        <v>0.59498677200100758</v>
      </c>
      <c r="AB22" s="19">
        <v>0.31184270258519575</v>
      </c>
      <c r="AC22" s="19">
        <v>2.4663828052800056</v>
      </c>
      <c r="AD22" s="19">
        <v>1.6517928990972024</v>
      </c>
      <c r="AE22" s="19">
        <v>1.8227618310179423</v>
      </c>
      <c r="AF22" s="19">
        <v>2.3066595658391691</v>
      </c>
      <c r="AG22" s="19">
        <v>4.7232088803285706</v>
      </c>
      <c r="AH22" s="19">
        <v>3.4691669836833796</v>
      </c>
      <c r="AI22" s="19">
        <v>3.1374023155744482</v>
      </c>
      <c r="AJ22" s="19">
        <v>1.833074277287011</v>
      </c>
      <c r="AK22" s="19">
        <v>1.5306549438590196</v>
      </c>
      <c r="AL22" s="19">
        <v>-0.96187330977659258</v>
      </c>
      <c r="AM22" s="19">
        <v>3.2269715248893505</v>
      </c>
      <c r="AN22" s="19">
        <v>2.3847572796124865</v>
      </c>
      <c r="AO22" s="19">
        <v>1.3214509304132491</v>
      </c>
      <c r="AP22" s="19">
        <v>3.7936576295018796</v>
      </c>
      <c r="AQ22" s="19">
        <v>1.9618082719842675</v>
      </c>
      <c r="AR22" s="19">
        <v>3.5427434636306572</v>
      </c>
      <c r="AS22" s="19">
        <v>3.7166793842087458</v>
      </c>
      <c r="AT22" s="19">
        <v>1.0996188877784903</v>
      </c>
      <c r="AU22" s="19">
        <v>1.7068845845335403</v>
      </c>
      <c r="AV22" s="19">
        <v>1.0379825490290528</v>
      </c>
      <c r="AW22" s="19">
        <v>3.5712043433582039</v>
      </c>
      <c r="AX22" s="19">
        <v>2.3217370538192625</v>
      </c>
      <c r="AY22" s="19">
        <v>2.5523499436635149</v>
      </c>
      <c r="AZ22" s="19">
        <v>3.6768811359497278</v>
      </c>
      <c r="BA22" s="19">
        <v>0.44692873527590393</v>
      </c>
      <c r="BB22" s="19">
        <v>-2.0207430616940769</v>
      </c>
      <c r="BC22" s="19">
        <v>2.8642927076415532</v>
      </c>
      <c r="BD22" s="19">
        <v>1.694513898613323</v>
      </c>
      <c r="BE22" s="19">
        <v>0.73921728305867873</v>
      </c>
      <c r="BF22" s="19">
        <v>0.45924219290770907</v>
      </c>
      <c r="BG22" s="19">
        <v>1.5785331432261387</v>
      </c>
      <c r="BH22" s="19">
        <v>2.0414590091996132</v>
      </c>
      <c r="BI22" s="19">
        <v>1.2666864090209486</v>
      </c>
      <c r="BJ22" s="19">
        <v>1.6195802783878008</v>
      </c>
      <c r="BK22" s="19">
        <v>1.7929451930207563</v>
      </c>
      <c r="BL22" s="19">
        <v>2.2408582404128907</v>
      </c>
      <c r="BM22" s="19">
        <v>-5.3613866333485589</v>
      </c>
      <c r="BN22" s="19">
        <v>6.1338659635644461</v>
      </c>
    </row>
    <row r="23" spans="1:66" x14ac:dyDescent="0.2">
      <c r="A23" s="19" t="s">
        <v>547</v>
      </c>
      <c r="B23" s="19" t="s">
        <v>882</v>
      </c>
      <c r="C23" s="19" t="s">
        <v>863</v>
      </c>
      <c r="D23" s="19" t="s">
        <v>864</v>
      </c>
      <c r="F23" s="19">
        <v>3.141280456412133</v>
      </c>
      <c r="G23" s="19">
        <v>-3.4264098209858673</v>
      </c>
      <c r="H23" s="19">
        <v>4.7300279709187976</v>
      </c>
      <c r="I23" s="19">
        <v>6.6507591282480831</v>
      </c>
      <c r="J23" s="19">
        <v>5.2938628287117382</v>
      </c>
      <c r="K23" s="19">
        <v>3.57586273248711</v>
      </c>
      <c r="L23" s="19">
        <v>1.0783986666456542</v>
      </c>
      <c r="M23" s="19">
        <v>3.8423356345949315</v>
      </c>
      <c r="N23" s="19">
        <v>2.877497974037027</v>
      </c>
      <c r="O23" s="19">
        <v>2.0977575805105886</v>
      </c>
      <c r="P23" s="19">
        <v>-1.4968418264466976</v>
      </c>
      <c r="Q23" s="19">
        <v>6.426367544830498</v>
      </c>
      <c r="R23" s="19">
        <v>3.7061653190710473</v>
      </c>
      <c r="S23" s="19">
        <v>3.3393121574295463</v>
      </c>
      <c r="T23" s="19">
        <v>-4.8953454465865462</v>
      </c>
      <c r="U23" s="19">
        <v>0.88435633284564119</v>
      </c>
      <c r="V23" s="19">
        <v>4.9836637299504076</v>
      </c>
      <c r="W23" s="19">
        <v>1.2550780277507272</v>
      </c>
      <c r="X23" s="19">
        <v>6.5357474150234083</v>
      </c>
      <c r="Y23" s="19">
        <v>6.7817638678522769</v>
      </c>
      <c r="Z23" s="19">
        <v>9.9542311670811898</v>
      </c>
      <c r="AA23" s="19">
        <v>2.2350663440239344</v>
      </c>
      <c r="AB23" s="19">
        <v>-4.3478227351667442</v>
      </c>
      <c r="AC23" s="19">
        <v>7.9298395655172698</v>
      </c>
      <c r="AD23" s="19">
        <v>7.530324838062711</v>
      </c>
      <c r="AE23" s="19">
        <v>2.1711415979259527</v>
      </c>
      <c r="AF23" s="19">
        <v>-1.5000029523144178</v>
      </c>
      <c r="AG23" s="19">
        <v>3.405245295832259</v>
      </c>
      <c r="AH23" s="19">
        <v>-2.8541604962233578</v>
      </c>
      <c r="AI23" s="19">
        <v>8.9761343599897998</v>
      </c>
      <c r="AJ23" s="19">
        <v>4.2257994207166831</v>
      </c>
      <c r="AK23" s="19">
        <v>2.9577108272039538</v>
      </c>
      <c r="AL23" s="19">
        <v>5.8361720850138283</v>
      </c>
      <c r="AM23" s="19">
        <v>2.0204004476166233</v>
      </c>
      <c r="AN23" s="19">
        <v>6.0451986504156423</v>
      </c>
      <c r="AO23" s="19">
        <v>4.324284031317859</v>
      </c>
      <c r="AP23" s="19">
        <v>5.734688375213068</v>
      </c>
      <c r="AQ23" s="19">
        <v>3.9610121383264527</v>
      </c>
      <c r="AR23" s="19">
        <v>5.3414493720441669</v>
      </c>
      <c r="AS23" s="19">
        <v>5.8577142054326856</v>
      </c>
      <c r="AT23" s="19">
        <v>5.3331357060393714</v>
      </c>
      <c r="AU23" s="19">
        <v>4.6430308707448233</v>
      </c>
      <c r="AV23" s="19">
        <v>3.4435767759165827</v>
      </c>
      <c r="AW23" s="19">
        <v>4.4296845538508194</v>
      </c>
      <c r="AX23" s="19">
        <v>1.7131645636118407</v>
      </c>
      <c r="AY23" s="19">
        <v>3.9437388281579757</v>
      </c>
      <c r="AZ23" s="19">
        <v>5.986349321776089</v>
      </c>
      <c r="BA23" s="19">
        <v>4.8965770842964673</v>
      </c>
      <c r="BB23" s="19">
        <v>2.3192921391283789</v>
      </c>
      <c r="BC23" s="19">
        <v>2.1140647264839174</v>
      </c>
      <c r="BD23" s="19">
        <v>2.9637529190420082</v>
      </c>
      <c r="BE23" s="19">
        <v>4.8112233156879967</v>
      </c>
      <c r="BF23" s="19">
        <v>7.1914337214494566</v>
      </c>
      <c r="BG23" s="19">
        <v>6.3576790979193163</v>
      </c>
      <c r="BH23" s="19">
        <v>1.7781510603027755</v>
      </c>
      <c r="BI23" s="19">
        <v>3.3396734262969261</v>
      </c>
      <c r="BJ23" s="19">
        <v>5.6715554694475259</v>
      </c>
      <c r="BK23" s="19">
        <v>6.697259460879863</v>
      </c>
      <c r="BL23" s="19">
        <v>6.8656873355015051</v>
      </c>
      <c r="BM23" s="19">
        <v>3.8485230924369915</v>
      </c>
      <c r="BN23" s="19">
        <v>7.1557295293996077</v>
      </c>
    </row>
    <row r="24" spans="1:66" x14ac:dyDescent="0.2">
      <c r="A24" s="19" t="s">
        <v>548</v>
      </c>
      <c r="B24" s="19" t="s">
        <v>883</v>
      </c>
      <c r="C24" s="19" t="s">
        <v>863</v>
      </c>
      <c r="D24" s="19" t="s">
        <v>864</v>
      </c>
      <c r="F24" s="19">
        <v>4.0439279775492452</v>
      </c>
      <c r="G24" s="19">
        <v>6.128798780245063</v>
      </c>
      <c r="H24" s="19">
        <v>-1.2680163726918892</v>
      </c>
      <c r="I24" s="19">
        <v>2.2828192237583664</v>
      </c>
      <c r="J24" s="19">
        <v>3.7645453806312901</v>
      </c>
      <c r="K24" s="19">
        <v>0.53761308366071603</v>
      </c>
      <c r="L24" s="19">
        <v>8.8233149748536732</v>
      </c>
      <c r="M24" s="19">
        <v>3.0707739378289745</v>
      </c>
      <c r="N24" s="19">
        <v>2.0260810405269751</v>
      </c>
      <c r="O24" s="19">
        <v>0.11701961067960553</v>
      </c>
      <c r="P24" s="19">
        <v>1.4133398815318969</v>
      </c>
      <c r="Q24" s="19">
        <v>2.3114987415627724</v>
      </c>
      <c r="R24" s="19">
        <v>0.44932740448064123</v>
      </c>
      <c r="S24" s="19">
        <v>8.2864264803637724</v>
      </c>
      <c r="T24" s="19">
        <v>2.998382897073455</v>
      </c>
      <c r="U24" s="19">
        <v>8.5348949606810294</v>
      </c>
      <c r="V24" s="19">
        <v>0.37035356366278904</v>
      </c>
      <c r="W24" s="19">
        <v>4.6078249996568417</v>
      </c>
      <c r="X24" s="19">
        <v>3.6646215120786536</v>
      </c>
      <c r="Y24" s="19">
        <v>0.79687887857922135</v>
      </c>
      <c r="Z24" s="19">
        <v>4.2553033945558241</v>
      </c>
      <c r="AA24" s="19">
        <v>9.5621966218117933</v>
      </c>
      <c r="AB24" s="19">
        <v>0.34598474020850745</v>
      </c>
      <c r="AC24" s="19">
        <v>-1.7786966877293651</v>
      </c>
      <c r="AD24" s="19">
        <v>8.5173649911232161</v>
      </c>
      <c r="AE24" s="19">
        <v>7.9553627287483977</v>
      </c>
      <c r="AF24" s="19">
        <v>-0.23633678914332279</v>
      </c>
      <c r="AG24" s="19">
        <v>5.7955929645800524</v>
      </c>
      <c r="AH24" s="19">
        <v>2.1502672717350606</v>
      </c>
      <c r="AI24" s="19">
        <v>-0.60292847758098844</v>
      </c>
      <c r="AJ24" s="19">
        <v>9.069984458774357</v>
      </c>
      <c r="AK24" s="19">
        <v>0.23271076184595074</v>
      </c>
      <c r="AL24" s="19">
        <v>3.4613849394581848</v>
      </c>
      <c r="AM24" s="19">
        <v>1.3150072721026476</v>
      </c>
      <c r="AN24" s="19">
        <v>5.7163738626962157</v>
      </c>
      <c r="AO24" s="19">
        <v>11.014743869558032</v>
      </c>
      <c r="AP24" s="19">
        <v>6.3168347348376841</v>
      </c>
      <c r="AQ24" s="19">
        <v>7.3077196349689615</v>
      </c>
      <c r="AR24" s="19">
        <v>7.3952378011193076</v>
      </c>
      <c r="AS24" s="19">
        <v>1.8884738890652528</v>
      </c>
      <c r="AT24" s="19">
        <v>6.6134057453967898</v>
      </c>
      <c r="AU24" s="19">
        <v>4.3529638298809914</v>
      </c>
      <c r="AV24" s="19">
        <v>7.8024938887035944</v>
      </c>
      <c r="AW24" s="19">
        <v>4.478452136703865</v>
      </c>
      <c r="AX24" s="19">
        <v>8.6618732284122473</v>
      </c>
      <c r="AY24" s="19">
        <v>6.2531646881747776</v>
      </c>
      <c r="AZ24" s="19">
        <v>4.1113790176151639</v>
      </c>
      <c r="BA24" s="19">
        <v>5.7999917410538728</v>
      </c>
      <c r="BB24" s="19">
        <v>2.9619508586669241</v>
      </c>
      <c r="BC24" s="19">
        <v>8.4462815770762489</v>
      </c>
      <c r="BD24" s="19">
        <v>6.6225626130669326</v>
      </c>
      <c r="BE24" s="19">
        <v>6.4526723795314638</v>
      </c>
      <c r="BF24" s="19">
        <v>5.7925848450986734</v>
      </c>
      <c r="BG24" s="19">
        <v>4.3268456145297591</v>
      </c>
      <c r="BH24" s="19">
        <v>3.9212287937935031</v>
      </c>
      <c r="BI24" s="19">
        <v>5.9579767075402401</v>
      </c>
      <c r="BJ24" s="19">
        <v>6.2034894112186834</v>
      </c>
      <c r="BK24" s="19">
        <v>6.6045690681234106</v>
      </c>
      <c r="BL24" s="19">
        <v>5.6881151494365696</v>
      </c>
      <c r="BM24" s="19">
        <v>1.9303248895725602</v>
      </c>
      <c r="BN24" s="19">
        <v>6.9063416733778524</v>
      </c>
    </row>
    <row r="25" spans="1:66" x14ac:dyDescent="0.2">
      <c r="A25" s="19" t="s">
        <v>549</v>
      </c>
      <c r="B25" s="19" t="s">
        <v>884</v>
      </c>
      <c r="C25" s="19" t="s">
        <v>863</v>
      </c>
      <c r="D25" s="19" t="s">
        <v>864</v>
      </c>
      <c r="F25" s="19">
        <v>6.0581608254812807</v>
      </c>
      <c r="G25" s="19">
        <v>5.4530309698715485</v>
      </c>
      <c r="H25" s="19">
        <v>-0.45589428993874037</v>
      </c>
      <c r="I25" s="19">
        <v>10.952788546041958</v>
      </c>
      <c r="J25" s="19">
        <v>1.6062582289155074</v>
      </c>
      <c r="K25" s="19">
        <v>2.5668120012805673</v>
      </c>
      <c r="L25" s="19">
        <v>-1.8758639196475002</v>
      </c>
      <c r="M25" s="19">
        <v>9.489454015479339</v>
      </c>
      <c r="N25" s="19">
        <v>1.2208579090969351</v>
      </c>
      <c r="O25" s="19">
        <v>5.6198522928010135</v>
      </c>
      <c r="P25" s="19">
        <v>-5.479483027219473</v>
      </c>
      <c r="Q25" s="19">
        <v>-13.973728702043928</v>
      </c>
      <c r="R25" s="19">
        <v>3.3256801987840134</v>
      </c>
      <c r="S25" s="19">
        <v>9.5919563004182038</v>
      </c>
      <c r="T25" s="19">
        <v>-4.0882140918164112</v>
      </c>
      <c r="U25" s="19">
        <v>5.6613612011964705</v>
      </c>
      <c r="V25" s="19">
        <v>2.6730560500198237</v>
      </c>
      <c r="W25" s="19">
        <v>7.0738377326068758</v>
      </c>
      <c r="X25" s="19">
        <v>4.8016346005567101</v>
      </c>
      <c r="Y25" s="19">
        <v>0.81914186889892449</v>
      </c>
      <c r="Z25" s="19">
        <v>7.2339436949073672</v>
      </c>
      <c r="AA25" s="19">
        <v>2.1343278357707476</v>
      </c>
      <c r="AB25" s="19">
        <v>3.8810463998170803</v>
      </c>
      <c r="AC25" s="19">
        <v>4.8033100152543398</v>
      </c>
      <c r="AD25" s="19">
        <v>3.342014654154184</v>
      </c>
      <c r="AE25" s="19">
        <v>4.1733825590038833</v>
      </c>
      <c r="AF25" s="19">
        <v>3.772401852527139</v>
      </c>
      <c r="AG25" s="19">
        <v>2.4162568556622972</v>
      </c>
      <c r="AH25" s="19">
        <v>2.8365821290792468</v>
      </c>
      <c r="AI25" s="19">
        <v>5.6222581616070357</v>
      </c>
      <c r="AJ25" s="19">
        <v>3.4852278159765291</v>
      </c>
      <c r="AK25" s="19">
        <v>5.4426855496672459</v>
      </c>
      <c r="AL25" s="19">
        <v>4.7115617245399903</v>
      </c>
      <c r="AM25" s="19">
        <v>3.890126441168178</v>
      </c>
      <c r="AN25" s="19">
        <v>5.1212778972433739</v>
      </c>
      <c r="AO25" s="19">
        <v>4.5229192168442296</v>
      </c>
      <c r="AP25" s="19">
        <v>4.4898964976265034</v>
      </c>
      <c r="AQ25" s="19">
        <v>5.1770268731497993</v>
      </c>
      <c r="AR25" s="19">
        <v>4.670156368821111</v>
      </c>
      <c r="AS25" s="19">
        <v>5.2932947189253241</v>
      </c>
      <c r="AT25" s="19">
        <v>5.0772877752672798</v>
      </c>
      <c r="AU25" s="19">
        <v>3.8331239399322499</v>
      </c>
      <c r="AV25" s="19">
        <v>4.7395673996304453</v>
      </c>
      <c r="AW25" s="19">
        <v>5.2395329102985215</v>
      </c>
      <c r="AX25" s="19">
        <v>6.5359449407607144</v>
      </c>
      <c r="AY25" s="19">
        <v>6.6719049809357074</v>
      </c>
      <c r="AZ25" s="19">
        <v>7.0585993573326675</v>
      </c>
      <c r="BA25" s="19">
        <v>6.0137897590338554</v>
      </c>
      <c r="BB25" s="19">
        <v>5.0451247936724002</v>
      </c>
      <c r="BC25" s="19">
        <v>5.5717881884980613</v>
      </c>
      <c r="BD25" s="19">
        <v>6.4643791229193113</v>
      </c>
      <c r="BE25" s="19">
        <v>6.5214587805532602</v>
      </c>
      <c r="BF25" s="19">
        <v>6.0136056584178021</v>
      </c>
      <c r="BG25" s="19">
        <v>6.061059358920204</v>
      </c>
      <c r="BH25" s="19">
        <v>6.5526398787838218</v>
      </c>
      <c r="BI25" s="19">
        <v>7.1134782132536287</v>
      </c>
      <c r="BJ25" s="19">
        <v>6.5902499979405746</v>
      </c>
      <c r="BK25" s="19">
        <v>7.3194126301413576</v>
      </c>
      <c r="BL25" s="19">
        <v>7.8819151511772247</v>
      </c>
      <c r="BM25" s="19">
        <v>3.4480214548276251</v>
      </c>
      <c r="BN25" s="19">
        <v>6.9386750891015936</v>
      </c>
    </row>
    <row r="26" spans="1:66" x14ac:dyDescent="0.2">
      <c r="A26" s="19" t="s">
        <v>550</v>
      </c>
      <c r="B26" s="19" t="s">
        <v>885</v>
      </c>
      <c r="C26" s="19" t="s">
        <v>863</v>
      </c>
      <c r="D26" s="19" t="s">
        <v>864</v>
      </c>
      <c r="Z26" s="19">
        <v>4.9001618599853032</v>
      </c>
      <c r="AA26" s="19">
        <v>2.3345655917153465</v>
      </c>
      <c r="AB26" s="19">
        <v>3.4303059138709244</v>
      </c>
      <c r="AC26" s="19">
        <v>3.3964436219224581</v>
      </c>
      <c r="AD26" s="19">
        <v>2.6834407407069421</v>
      </c>
      <c r="AE26" s="19">
        <v>4.2076020032624939</v>
      </c>
      <c r="AF26" s="19">
        <v>6.0545138387434463</v>
      </c>
      <c r="AG26" s="19">
        <v>10.944692064305642</v>
      </c>
      <c r="AH26" s="19">
        <v>-3.2898820682497103</v>
      </c>
      <c r="AI26" s="19">
        <v>-9.1173770956538505</v>
      </c>
      <c r="AJ26" s="19">
        <v>-8.4453551963715512</v>
      </c>
      <c r="AK26" s="19">
        <v>-7.2723879664471411</v>
      </c>
      <c r="AL26" s="19">
        <v>-1.480214854218147</v>
      </c>
      <c r="AM26" s="19">
        <v>1.8180113341543063</v>
      </c>
      <c r="AN26" s="19">
        <v>2.8612327714903358</v>
      </c>
      <c r="AO26" s="19">
        <v>5.205394067021146</v>
      </c>
      <c r="AP26" s="19">
        <v>-14.11538174046342</v>
      </c>
      <c r="AQ26" s="19">
        <v>3.7891206424923212</v>
      </c>
      <c r="AR26" s="19">
        <v>-8.3960906665839161</v>
      </c>
      <c r="AS26" s="19">
        <v>4.5872247824854924</v>
      </c>
      <c r="AT26" s="19">
        <v>3.823703362766679</v>
      </c>
      <c r="AU26" s="19">
        <v>5.8719314327645691</v>
      </c>
      <c r="AV26" s="19">
        <v>5.2371552152963261</v>
      </c>
      <c r="AW26" s="19">
        <v>6.5104253406057921</v>
      </c>
      <c r="AX26" s="19">
        <v>7.056348940250686</v>
      </c>
      <c r="AY26" s="19">
        <v>6.8025892259324934</v>
      </c>
      <c r="AZ26" s="19">
        <v>6.6543868247935762</v>
      </c>
      <c r="BA26" s="19">
        <v>6.1295597037373852</v>
      </c>
      <c r="BB26" s="19">
        <v>-3.3471420954690956</v>
      </c>
      <c r="BC26" s="19">
        <v>1.5418014430757836</v>
      </c>
      <c r="BD26" s="19">
        <v>2.1012057500923191</v>
      </c>
      <c r="BE26" s="19">
        <v>0.75493038598189344</v>
      </c>
      <c r="BF26" s="19">
        <v>-0.56049396557781961</v>
      </c>
      <c r="BG26" s="19">
        <v>0.96686903234495958</v>
      </c>
      <c r="BH26" s="19">
        <v>3.4280549135213221</v>
      </c>
      <c r="BI26" s="19">
        <v>3.0398252763079512</v>
      </c>
      <c r="BJ26" s="19">
        <v>2.762170959612618</v>
      </c>
      <c r="BK26" s="19">
        <v>2.6847605869378128</v>
      </c>
      <c r="BL26" s="19">
        <v>4.0381422057265297</v>
      </c>
      <c r="BM26" s="19">
        <v>-3.9586145981069478</v>
      </c>
      <c r="BN26" s="19">
        <v>7.6346097156907859</v>
      </c>
    </row>
    <row r="27" spans="1:66" x14ac:dyDescent="0.2">
      <c r="A27" s="19" t="s">
        <v>551</v>
      </c>
      <c r="B27" s="19" t="s">
        <v>886</v>
      </c>
      <c r="C27" s="19" t="s">
        <v>863</v>
      </c>
      <c r="D27" s="19" t="s">
        <v>864</v>
      </c>
      <c r="Z27" s="19">
        <v>-5.3166973528296495</v>
      </c>
      <c r="AA27" s="19">
        <v>-7.5562177121594516</v>
      </c>
      <c r="AB27" s="19">
        <v>6.376376799643964</v>
      </c>
      <c r="AC27" s="19">
        <v>5.0036460450077556</v>
      </c>
      <c r="AD27" s="19">
        <v>-4.7582685380568677</v>
      </c>
      <c r="AE27" s="19">
        <v>1.1829939159841985</v>
      </c>
      <c r="AF27" s="19">
        <v>10.399009332546811</v>
      </c>
      <c r="AG27" s="19">
        <v>6.9999916494533068</v>
      </c>
      <c r="AH27" s="19">
        <v>0.36400713816182417</v>
      </c>
      <c r="AI27" s="19">
        <v>4.4379971764263928</v>
      </c>
      <c r="AJ27" s="19">
        <v>11.229998780012295</v>
      </c>
      <c r="AK27" s="19">
        <v>6.6899983666053799</v>
      </c>
      <c r="AL27" s="19">
        <v>12.870006669658409</v>
      </c>
      <c r="AM27" s="19">
        <v>-0.25000148454287796</v>
      </c>
      <c r="AN27" s="19">
        <v>3.9299915453202061</v>
      </c>
      <c r="AO27" s="19">
        <v>4.1100061151211378</v>
      </c>
      <c r="AP27" s="19">
        <v>3.0929997867320367</v>
      </c>
      <c r="AQ27" s="19">
        <v>4.7900027885549861</v>
      </c>
      <c r="AR27" s="19">
        <v>4.2999989603775788</v>
      </c>
      <c r="AS27" s="19">
        <v>5.3000700560088347</v>
      </c>
      <c r="AT27" s="19">
        <v>2.4909481082984684</v>
      </c>
      <c r="AU27" s="19">
        <v>3.3485506679411969</v>
      </c>
      <c r="AV27" s="19">
        <v>6.2964419786936787</v>
      </c>
      <c r="AW27" s="19">
        <v>6.9809605942982529</v>
      </c>
      <c r="AX27" s="19">
        <v>6.7689978710748306</v>
      </c>
      <c r="AY27" s="19">
        <v>6.4670001219958522</v>
      </c>
      <c r="AZ27" s="19">
        <v>8.2939604475968309</v>
      </c>
      <c r="BA27" s="19">
        <v>6.2450107749625801</v>
      </c>
      <c r="BB27" s="19">
        <v>2.5398859358505206</v>
      </c>
      <c r="BC27" s="19">
        <v>4.3342991728313081</v>
      </c>
      <c r="BD27" s="19">
        <v>1.9835150115999056</v>
      </c>
      <c r="BE27" s="19">
        <v>3.7281084304601677</v>
      </c>
      <c r="BF27" s="19">
        <v>5.416839810120706</v>
      </c>
      <c r="BG27" s="19">
        <v>4.350390852529685</v>
      </c>
      <c r="BH27" s="19">
        <v>2.4853785575880352</v>
      </c>
      <c r="BI27" s="19">
        <v>3.5581281189777769</v>
      </c>
      <c r="BJ27" s="19">
        <v>4.2909497775633838</v>
      </c>
      <c r="BK27" s="19">
        <v>2.1111304730487177</v>
      </c>
      <c r="BL27" s="19">
        <v>2.1669646688236952</v>
      </c>
      <c r="BM27" s="19">
        <v>-4.9358549794149695</v>
      </c>
      <c r="BN27" s="19">
        <v>2.225351242291282</v>
      </c>
    </row>
    <row r="28" spans="1:66" x14ac:dyDescent="0.2">
      <c r="A28" s="19" t="s">
        <v>552</v>
      </c>
      <c r="B28" s="19" t="s">
        <v>887</v>
      </c>
      <c r="C28" s="19" t="s">
        <v>863</v>
      </c>
      <c r="D28" s="19" t="s">
        <v>864</v>
      </c>
      <c r="F28" s="19">
        <v>10.667097425137186</v>
      </c>
      <c r="G28" s="19">
        <v>10.451971894541458</v>
      </c>
      <c r="H28" s="19">
        <v>10.524055201801758</v>
      </c>
      <c r="I28" s="19">
        <v>10.501567200293849</v>
      </c>
      <c r="J28" s="19">
        <v>10.425596490423871</v>
      </c>
      <c r="K28" s="19">
        <v>9.0719287102974278</v>
      </c>
      <c r="L28" s="19">
        <v>9.5981138661486654</v>
      </c>
      <c r="M28" s="19">
        <v>8.4217635657494156</v>
      </c>
      <c r="N28" s="19">
        <v>8.9816625769402663</v>
      </c>
      <c r="O28" s="19">
        <v>-5.6496495194479053</v>
      </c>
      <c r="P28" s="19">
        <v>1.6265087401547476</v>
      </c>
      <c r="Q28" s="19">
        <v>-3.497335932578622</v>
      </c>
      <c r="R28" s="19">
        <v>7.5675688232704061</v>
      </c>
      <c r="S28" s="19">
        <v>-16.754229075146284</v>
      </c>
      <c r="T28" s="19">
        <v>-14.803126311448978</v>
      </c>
      <c r="U28" s="19">
        <v>5.1851849705107753</v>
      </c>
      <c r="V28" s="19">
        <v>9.154929220860609</v>
      </c>
      <c r="W28" s="19">
        <v>14.179520138522818</v>
      </c>
      <c r="X28" s="19">
        <v>26.139295768689053</v>
      </c>
      <c r="Y28" s="19">
        <v>6.4952819210228654</v>
      </c>
      <c r="Z28" s="19">
        <v>-9.2264050799564927</v>
      </c>
      <c r="AA28" s="19">
        <v>6.6988977570491528</v>
      </c>
      <c r="AB28" s="19">
        <v>3.5970518679411327</v>
      </c>
      <c r="AC28" s="19">
        <v>14.17114862347502</v>
      </c>
      <c r="AD28" s="19">
        <v>4.829180114868123</v>
      </c>
      <c r="AE28" s="19">
        <v>1.7970002274495585</v>
      </c>
      <c r="AF28" s="19">
        <v>2.9845193440169737</v>
      </c>
      <c r="AG28" s="19">
        <v>2.3097076609602993</v>
      </c>
      <c r="AH28" s="19">
        <v>6.7273297997879808</v>
      </c>
      <c r="AI28" s="19">
        <v>-1.5962490870756341</v>
      </c>
      <c r="AJ28" s="19">
        <v>-4.1817847809003013</v>
      </c>
      <c r="AK28" s="19">
        <v>-3.8255819695819753</v>
      </c>
      <c r="AL28" s="19">
        <v>0.3078062914431996</v>
      </c>
      <c r="AM28" s="19">
        <v>3.1489156199780268</v>
      </c>
      <c r="AN28" s="19">
        <v>4.3787520904746913</v>
      </c>
      <c r="AO28" s="19">
        <v>4.2235304253040056</v>
      </c>
      <c r="AP28" s="19">
        <v>6.8757394200835762</v>
      </c>
      <c r="AQ28" s="19">
        <v>-4.5035966223025241</v>
      </c>
      <c r="AR28" s="19">
        <v>12.1975182853608</v>
      </c>
      <c r="AS28" s="19">
        <v>4.1492340457734826</v>
      </c>
      <c r="AT28" s="19">
        <v>2.6251595960015379</v>
      </c>
      <c r="AU28" s="19">
        <v>2.7046709687860329</v>
      </c>
      <c r="AV28" s="19">
        <v>-1.2645262950561289</v>
      </c>
      <c r="AW28" s="19">
        <v>0.88274018512608166</v>
      </c>
      <c r="AX28" s="19">
        <v>3.3952600824591457</v>
      </c>
      <c r="AY28" s="19">
        <v>2.5168539325842687</v>
      </c>
      <c r="AZ28" s="19">
        <v>1.4467338886453405</v>
      </c>
      <c r="BA28" s="19">
        <v>-2.3235072362492843</v>
      </c>
      <c r="BB28" s="19">
        <v>-4.1758055558170355</v>
      </c>
      <c r="BC28" s="19">
        <v>1.5383859718060933</v>
      </c>
      <c r="BD28" s="19">
        <v>0.61338415843499661</v>
      </c>
      <c r="BE28" s="19">
        <v>3.0868791768834996</v>
      </c>
      <c r="BF28" s="19">
        <v>-2.8632939446967072</v>
      </c>
      <c r="BG28" s="19">
        <v>1.8473029396287188</v>
      </c>
      <c r="BH28" s="19">
        <v>0.99680084631899035</v>
      </c>
      <c r="BI28" s="19">
        <v>-0.85766431875575222</v>
      </c>
      <c r="BJ28" s="19">
        <v>3.0501573478923376</v>
      </c>
      <c r="BK28" s="19">
        <v>1.8310077944388041</v>
      </c>
      <c r="BL28" s="19">
        <v>1.8961637030602674</v>
      </c>
      <c r="BM28" s="19">
        <v>-23.822607589875815</v>
      </c>
      <c r="BN28" s="19">
        <v>13.719734943770348</v>
      </c>
    </row>
    <row r="29" spans="1:66" x14ac:dyDescent="0.2">
      <c r="A29" s="19" t="s">
        <v>553</v>
      </c>
      <c r="B29" s="19" t="s">
        <v>888</v>
      </c>
      <c r="C29" s="19" t="s">
        <v>863</v>
      </c>
      <c r="D29" s="19" t="s">
        <v>864</v>
      </c>
      <c r="AN29" s="19">
        <v>20.799997541861217</v>
      </c>
      <c r="AO29" s="19">
        <v>88.957666183279173</v>
      </c>
      <c r="AP29" s="19">
        <v>34.389574051687219</v>
      </c>
      <c r="AQ29" s="19">
        <v>15.59999668542315</v>
      </c>
      <c r="AR29" s="19">
        <v>9.599999716422758</v>
      </c>
      <c r="AS29" s="19">
        <v>12.765469457888258</v>
      </c>
      <c r="AT29" s="19">
        <v>2.423313171809923</v>
      </c>
      <c r="AU29" s="19">
        <v>5.0274442073398262</v>
      </c>
      <c r="AV29" s="19">
        <v>3.867138795134295</v>
      </c>
      <c r="AW29" s="19">
        <v>6.325266168614661</v>
      </c>
      <c r="AX29" s="19">
        <v>3.8971779899219285</v>
      </c>
      <c r="AY29" s="19">
        <v>5.4140035707943355</v>
      </c>
      <c r="AZ29" s="19">
        <v>5.8571263421709432</v>
      </c>
      <c r="BA29" s="19">
        <v>5.4438310345017698</v>
      </c>
      <c r="BB29" s="19">
        <v>-3.0044559301334601</v>
      </c>
      <c r="BC29" s="19">
        <v>0.8656692602370839</v>
      </c>
      <c r="BD29" s="19">
        <v>0.95951124724126657</v>
      </c>
      <c r="BE29" s="19">
        <v>-0.82183647421689443</v>
      </c>
      <c r="BF29" s="19">
        <v>2.3498566632458022</v>
      </c>
      <c r="BG29" s="19">
        <v>1.1538510920040324</v>
      </c>
      <c r="BH29" s="19">
        <v>3.0891627094358682</v>
      </c>
      <c r="BI29" s="19">
        <v>3.1498073094661692</v>
      </c>
      <c r="BJ29" s="19">
        <v>3.1714349071345822</v>
      </c>
      <c r="BK29" s="19">
        <v>3.7400731009674502</v>
      </c>
      <c r="BL29" s="19">
        <v>2.8310013083701051</v>
      </c>
      <c r="BM29" s="19">
        <v>-3.1192905153581023</v>
      </c>
      <c r="BN29" s="19">
        <v>7.5455911297962075</v>
      </c>
    </row>
    <row r="30" spans="1:66" x14ac:dyDescent="0.2">
      <c r="A30" s="19" t="s">
        <v>554</v>
      </c>
      <c r="B30" s="19" t="s">
        <v>889</v>
      </c>
      <c r="C30" s="19" t="s">
        <v>863</v>
      </c>
      <c r="D30" s="19" t="s">
        <v>864</v>
      </c>
      <c r="AJ30" s="19">
        <v>-1.1999955704602741</v>
      </c>
      <c r="AK30" s="19">
        <v>-9.600001395977074</v>
      </c>
      <c r="AL30" s="19">
        <v>-7.6000018422108724</v>
      </c>
      <c r="AM30" s="19">
        <v>-11.700003897553586</v>
      </c>
      <c r="AN30" s="19">
        <v>-10.400000491499412</v>
      </c>
      <c r="AO30" s="19">
        <v>2.8000046505393357</v>
      </c>
      <c r="AP30" s="19">
        <v>11.400005405354847</v>
      </c>
      <c r="AQ30" s="19">
        <v>8.3999914203199069</v>
      </c>
      <c r="AR30" s="19">
        <v>3.3999991632296371</v>
      </c>
      <c r="AS30" s="19">
        <v>5.8000034400745477</v>
      </c>
      <c r="AT30" s="19">
        <v>4.7253059938750823</v>
      </c>
      <c r="AU30" s="19">
        <v>5.0452674800218489</v>
      </c>
      <c r="AV30" s="19">
        <v>7.0431925587469237</v>
      </c>
      <c r="AW30" s="19">
        <v>11.449743105396081</v>
      </c>
      <c r="AX30" s="19">
        <v>9.4000015235768757</v>
      </c>
      <c r="AY30" s="19">
        <v>9.9999948124737159</v>
      </c>
      <c r="AZ30" s="19">
        <v>8.6000065362481024</v>
      </c>
      <c r="BA30" s="19">
        <v>10.199999439543632</v>
      </c>
      <c r="BB30" s="19">
        <v>0.19999531001447224</v>
      </c>
      <c r="BC30" s="19">
        <v>7.7982668226973146</v>
      </c>
      <c r="BD30" s="19">
        <v>5.3787074498101504</v>
      </c>
      <c r="BE30" s="19">
        <v>1.6871355364284142</v>
      </c>
      <c r="BF30" s="19">
        <v>1.0034708408564512</v>
      </c>
      <c r="BG30" s="19">
        <v>1.7263848541700213</v>
      </c>
      <c r="BH30" s="19">
        <v>-3.8295705582837911</v>
      </c>
      <c r="BI30" s="19">
        <v>-2.5264464355236385</v>
      </c>
      <c r="BJ30" s="19">
        <v>2.5321835002303459</v>
      </c>
      <c r="BK30" s="19">
        <v>3.1491975937496335</v>
      </c>
      <c r="BL30" s="19">
        <v>1.4000000000000057</v>
      </c>
      <c r="BM30" s="19">
        <v>-0.69960761364585267</v>
      </c>
      <c r="BN30" s="19">
        <v>2.2998794117281278</v>
      </c>
    </row>
    <row r="31" spans="1:66" x14ac:dyDescent="0.2">
      <c r="A31" s="19" t="s">
        <v>555</v>
      </c>
      <c r="B31" s="19" t="s">
        <v>890</v>
      </c>
      <c r="C31" s="19" t="s">
        <v>863</v>
      </c>
      <c r="D31" s="19" t="s">
        <v>864</v>
      </c>
      <c r="F31" s="19">
        <v>4.8922772190268233</v>
      </c>
      <c r="G31" s="19">
        <v>4.8926521802838465</v>
      </c>
      <c r="H31" s="19">
        <v>4.9564341949163122</v>
      </c>
      <c r="I31" s="19">
        <v>4.9998799104131137</v>
      </c>
      <c r="J31" s="19">
        <v>4.9305409613183571</v>
      </c>
      <c r="K31" s="19">
        <v>4.770845112959492</v>
      </c>
      <c r="L31" s="19">
        <v>4.9131231620706046</v>
      </c>
      <c r="M31" s="19">
        <v>7.3672254571462474</v>
      </c>
      <c r="N31" s="19">
        <v>5.1063747909927457</v>
      </c>
      <c r="O31" s="19">
        <v>4.8076933638294008</v>
      </c>
      <c r="P31" s="19">
        <v>3.9594410817294516</v>
      </c>
      <c r="Q31" s="19">
        <v>10.218303839050691</v>
      </c>
      <c r="R31" s="19">
        <v>5.3518941108860787</v>
      </c>
      <c r="S31" s="19">
        <v>13.559985171804854</v>
      </c>
      <c r="T31" s="19">
        <v>3.5928244424595022</v>
      </c>
      <c r="U31" s="19">
        <v>-3.4020943420628669E-2</v>
      </c>
      <c r="V31" s="19">
        <v>6.4965942870641982</v>
      </c>
      <c r="W31" s="19">
        <v>7.9208071785766805</v>
      </c>
      <c r="X31" s="19">
        <v>7.517021513480131</v>
      </c>
      <c r="Y31" s="19">
        <v>13.436681763971151</v>
      </c>
      <c r="Z31" s="19">
        <v>1.1337708232510835</v>
      </c>
      <c r="AA31" s="19">
        <v>-0.10771042864122649</v>
      </c>
      <c r="AB31" s="19">
        <v>-2.1431799710687045</v>
      </c>
      <c r="AC31" s="19">
        <v>1.9720650258962422</v>
      </c>
      <c r="AD31" s="19">
        <v>1.0125139140763508</v>
      </c>
      <c r="AE31" s="19">
        <v>4.5394569576216099</v>
      </c>
      <c r="AF31" s="19">
        <v>10.735304132731386</v>
      </c>
      <c r="AG31" s="19">
        <v>9.7877114427358691</v>
      </c>
      <c r="AH31" s="19">
        <v>13.009221129934616</v>
      </c>
      <c r="AI31" s="19">
        <v>11.443388729007609</v>
      </c>
      <c r="AJ31" s="19">
        <v>11.452879581151848</v>
      </c>
      <c r="AK31" s="19">
        <v>12.037580739870819</v>
      </c>
      <c r="AL31" s="19">
        <v>6.2368972746331224</v>
      </c>
      <c r="AM31" s="19">
        <v>0.19733596447952095</v>
      </c>
      <c r="AN31" s="19">
        <v>0.64007877892665022</v>
      </c>
      <c r="AO31" s="19">
        <v>1.0273972602739718</v>
      </c>
      <c r="AP31" s="19">
        <v>3.5835351089588414</v>
      </c>
      <c r="AQ31" s="19">
        <v>3.9270687237026749</v>
      </c>
      <c r="AR31" s="19">
        <v>8.9518668466036928</v>
      </c>
      <c r="AS31" s="19">
        <v>13.005780346820799</v>
      </c>
      <c r="AT31" s="19">
        <v>5.0420168067226996</v>
      </c>
      <c r="AU31" s="19">
        <v>5.1130434782608631</v>
      </c>
      <c r="AV31" s="19">
        <v>9.3315684976836621</v>
      </c>
      <c r="AW31" s="19">
        <v>4.6307506053268668</v>
      </c>
      <c r="AX31" s="19">
        <v>2.1984379519814894</v>
      </c>
      <c r="AY31" s="19">
        <v>4.5853382394565472</v>
      </c>
      <c r="AZ31" s="19">
        <v>3.274695534506094</v>
      </c>
      <c r="BA31" s="19">
        <v>-1.5199161425576477</v>
      </c>
      <c r="BB31" s="19">
        <v>-0.45236828100053117</v>
      </c>
      <c r="BC31" s="19">
        <v>1.2563485699010926</v>
      </c>
      <c r="BD31" s="19">
        <v>-0.10559662090813049</v>
      </c>
      <c r="BE31" s="19">
        <v>3.8583509513742058</v>
      </c>
      <c r="BF31" s="19">
        <v>4.529262086513981</v>
      </c>
      <c r="BG31" s="19">
        <v>4.0895813047711727</v>
      </c>
      <c r="BH31" s="19">
        <v>3.3676333021515461</v>
      </c>
      <c r="BI31" s="19">
        <v>0.11312217194570451</v>
      </c>
      <c r="BJ31" s="19">
        <v>-1.6949152542372872</v>
      </c>
      <c r="BK31" s="19">
        <v>1.1034482758620641</v>
      </c>
      <c r="BL31" s="19">
        <v>4.5020463847203303</v>
      </c>
      <c r="BM31" s="19">
        <v>-13.402959094865096</v>
      </c>
      <c r="BN31" s="19">
        <v>15.226130653266324</v>
      </c>
    </row>
    <row r="32" spans="1:66" x14ac:dyDescent="0.2">
      <c r="A32" s="19" t="s">
        <v>556</v>
      </c>
      <c r="B32" s="19" t="s">
        <v>891</v>
      </c>
      <c r="C32" s="19" t="s">
        <v>863</v>
      </c>
      <c r="D32" s="19" t="s">
        <v>864</v>
      </c>
      <c r="F32" s="19">
        <v>4.6799999989094516</v>
      </c>
      <c r="G32" s="19">
        <v>4.4699999988944796</v>
      </c>
      <c r="H32" s="19">
        <v>1.0700000003673154</v>
      </c>
      <c r="I32" s="19">
        <v>11.110000000861888</v>
      </c>
      <c r="J32" s="19">
        <v>4.7600000003876062</v>
      </c>
      <c r="K32" s="19">
        <v>14.36363636449056</v>
      </c>
      <c r="L32" s="19">
        <v>13.275039745559951</v>
      </c>
      <c r="M32" s="19">
        <v>2.1052631582924022</v>
      </c>
      <c r="N32" s="19">
        <v>3.4364261137743028</v>
      </c>
      <c r="O32" s="19">
        <v>6.312292360158736</v>
      </c>
      <c r="P32" s="19">
        <v>3.4375000006939445</v>
      </c>
      <c r="Q32" s="19">
        <v>1.812688822106054</v>
      </c>
      <c r="R32" s="19">
        <v>1.4836795255069433</v>
      </c>
      <c r="S32" s="19">
        <v>0.87719298262183543</v>
      </c>
      <c r="T32" s="19">
        <v>3.7681159396137502</v>
      </c>
      <c r="U32" s="19">
        <v>8.9385474879152866</v>
      </c>
      <c r="V32" s="19">
        <v>5.8974358958148798</v>
      </c>
      <c r="W32" s="19">
        <v>1.4527845039349359</v>
      </c>
      <c r="X32" s="19">
        <v>2.147971360823405</v>
      </c>
      <c r="Y32" s="19">
        <v>7.943925232727949</v>
      </c>
      <c r="Z32" s="19">
        <v>2.3809523814517775</v>
      </c>
      <c r="AA32" s="19">
        <v>-5.2854122609629712</v>
      </c>
      <c r="AB32" s="19">
        <v>2.0089285718148062</v>
      </c>
      <c r="AC32" s="19">
        <v>0.48140043584272973</v>
      </c>
      <c r="AD32" s="19">
        <v>-2.0034843190951221</v>
      </c>
      <c r="AE32" s="19">
        <v>6.6666666655500961</v>
      </c>
      <c r="AF32" s="19">
        <v>3.7500000007570264</v>
      </c>
      <c r="AG32" s="19">
        <v>4.0562248986580727</v>
      </c>
      <c r="AH32" s="19">
        <v>0.44384407532129444</v>
      </c>
      <c r="AI32" s="19">
        <v>1.9212297114449939E-2</v>
      </c>
      <c r="AJ32" s="19">
        <v>-3.5343821002787337</v>
      </c>
      <c r="AK32" s="19">
        <v>-5.9738214383955324E-2</v>
      </c>
      <c r="AL32" s="19">
        <v>3.0085671235790699</v>
      </c>
      <c r="AM32" s="19">
        <v>0.59961336669880438</v>
      </c>
      <c r="AN32" s="19">
        <v>4.3991483299642624</v>
      </c>
      <c r="AO32" s="19">
        <v>2.6004754289844101</v>
      </c>
      <c r="AP32" s="19">
        <v>4.6000008426336336</v>
      </c>
      <c r="AQ32" s="19">
        <v>3.9000000942303501</v>
      </c>
      <c r="AR32" s="19">
        <v>3.3826470197218441</v>
      </c>
      <c r="AS32" s="19">
        <v>9.3171564108608322</v>
      </c>
      <c r="AT32" s="19">
        <v>7.2224355375260814</v>
      </c>
      <c r="AU32" s="19">
        <v>-1.4777905976886672</v>
      </c>
      <c r="AV32" s="19">
        <v>3.4107066768753072</v>
      </c>
      <c r="AW32" s="19">
        <v>2.3212672232313594</v>
      </c>
      <c r="AX32" s="19">
        <v>1.6742061141050755</v>
      </c>
      <c r="AY32" s="19">
        <v>5.5438663804406048</v>
      </c>
      <c r="AZ32" s="19">
        <v>3.3451397087760739</v>
      </c>
      <c r="BA32" s="19">
        <v>-1.8659558263518647</v>
      </c>
      <c r="BB32" s="19">
        <v>-5.6266977105160976</v>
      </c>
      <c r="BC32" s="19">
        <v>-2.502878289473685</v>
      </c>
      <c r="BD32" s="19">
        <v>-3.7427443174070305</v>
      </c>
      <c r="BE32" s="19">
        <v>-5.3052991067529689</v>
      </c>
      <c r="BF32" s="19">
        <v>-0.27970854542303414</v>
      </c>
      <c r="BG32" s="19">
        <v>-3.701067593642577</v>
      </c>
      <c r="BH32" s="19">
        <v>0.77552969956897755</v>
      </c>
      <c r="BI32" s="19">
        <v>-0.6572063042592049</v>
      </c>
      <c r="BJ32" s="19">
        <v>3.611419837061149</v>
      </c>
      <c r="BK32" s="19">
        <v>-0.43280130033930675</v>
      </c>
      <c r="BL32" s="19">
        <v>0.30626673523393322</v>
      </c>
      <c r="BM32" s="19">
        <v>-6.8379551913659355</v>
      </c>
      <c r="BN32" s="19">
        <v>5.4135338095625514</v>
      </c>
    </row>
    <row r="33" spans="1:66" x14ac:dyDescent="0.2">
      <c r="A33" s="19" t="s">
        <v>557</v>
      </c>
      <c r="B33" s="19" t="s">
        <v>892</v>
      </c>
      <c r="C33" s="19" t="s">
        <v>863</v>
      </c>
      <c r="D33" s="19" t="s">
        <v>864</v>
      </c>
      <c r="F33" s="19">
        <v>2.0892959357046834</v>
      </c>
      <c r="G33" s="19">
        <v>5.5789178589795654</v>
      </c>
      <c r="H33" s="19">
        <v>6.7976257769727368</v>
      </c>
      <c r="I33" s="19">
        <v>3.9565965321577039</v>
      </c>
      <c r="J33" s="19">
        <v>4.9134419564283149</v>
      </c>
      <c r="K33" s="19">
        <v>7.170589662691512</v>
      </c>
      <c r="L33" s="19">
        <v>6.317219517027354</v>
      </c>
      <c r="M33" s="19">
        <v>8.529443084480377</v>
      </c>
      <c r="N33" s="19">
        <v>4.474097330934228</v>
      </c>
      <c r="O33" s="19">
        <v>5.2310293010412465</v>
      </c>
      <c r="P33" s="19">
        <v>5.0633364386197144</v>
      </c>
      <c r="Q33" s="19">
        <v>7.9674852097089968</v>
      </c>
      <c r="R33" s="19">
        <v>5.7391615257254216</v>
      </c>
      <c r="S33" s="19">
        <v>2.9395678082783974</v>
      </c>
      <c r="T33" s="19">
        <v>7.311017731400085</v>
      </c>
      <c r="U33" s="19">
        <v>4.6145674859862709</v>
      </c>
      <c r="V33" s="19">
        <v>4.9712156570026735</v>
      </c>
      <c r="W33" s="19">
        <v>2.0526945663327893</v>
      </c>
      <c r="X33" s="19">
        <v>0.1333440478036465</v>
      </c>
      <c r="Y33" s="19">
        <v>-1.3717729105400167</v>
      </c>
      <c r="Z33" s="19">
        <v>0.27561637511306003</v>
      </c>
      <c r="AA33" s="19">
        <v>-3.9387379276446808</v>
      </c>
      <c r="AB33" s="19">
        <v>-4.0421213999185568</v>
      </c>
      <c r="AC33" s="19">
        <v>-0.20066569836212977</v>
      </c>
      <c r="AD33" s="19">
        <v>-1.6763897812450068</v>
      </c>
      <c r="AE33" s="19">
        <v>-2.5738842003071198</v>
      </c>
      <c r="AF33" s="19">
        <v>2.463484615621141</v>
      </c>
      <c r="AG33" s="19">
        <v>2.9094979605432911</v>
      </c>
      <c r="AH33" s="19">
        <v>3.7901309635414009</v>
      </c>
      <c r="AI33" s="19">
        <v>4.6357874278517954</v>
      </c>
      <c r="AJ33" s="19">
        <v>5.2665266676276303</v>
      </c>
      <c r="AK33" s="19">
        <v>1.6464981831706922</v>
      </c>
      <c r="AL33" s="19">
        <v>4.2692961166150241</v>
      </c>
      <c r="AM33" s="19">
        <v>4.6672651026678551</v>
      </c>
      <c r="AN33" s="19">
        <v>4.6782765970997104</v>
      </c>
      <c r="AO33" s="19">
        <v>4.3613419524457555</v>
      </c>
      <c r="AP33" s="19">
        <v>4.9542087429972099</v>
      </c>
      <c r="AQ33" s="19">
        <v>5.0293547554307168</v>
      </c>
      <c r="AR33" s="19">
        <v>0.42688542258882478</v>
      </c>
      <c r="AS33" s="19">
        <v>2.507810808994833</v>
      </c>
      <c r="AT33" s="19">
        <v>1.6837991272182506</v>
      </c>
      <c r="AU33" s="19">
        <v>2.4855657378382858</v>
      </c>
      <c r="AV33" s="19">
        <v>2.711339837006733</v>
      </c>
      <c r="AW33" s="19">
        <v>4.1732955891624783</v>
      </c>
      <c r="AX33" s="19">
        <v>4.4214331268797906</v>
      </c>
      <c r="AY33" s="19">
        <v>4.7970088235606738</v>
      </c>
      <c r="AZ33" s="19">
        <v>4.5643842688788681</v>
      </c>
      <c r="BA33" s="19">
        <v>6.1484978746216399</v>
      </c>
      <c r="BB33" s="19">
        <v>3.3569995743056467</v>
      </c>
      <c r="BC33" s="19">
        <v>4.1267225910567049</v>
      </c>
      <c r="BD33" s="19">
        <v>5.2040924430859974</v>
      </c>
      <c r="BE33" s="19">
        <v>5.1222755809175737</v>
      </c>
      <c r="BF33" s="19">
        <v>6.7960114281084145</v>
      </c>
      <c r="BG33" s="19">
        <v>5.4605695063513622</v>
      </c>
      <c r="BH33" s="19">
        <v>4.857187300357964</v>
      </c>
      <c r="BI33" s="19">
        <v>4.2639208375146609</v>
      </c>
      <c r="BJ33" s="19">
        <v>4.1952063010676</v>
      </c>
      <c r="BK33" s="19">
        <v>4.2236235111887481</v>
      </c>
      <c r="BL33" s="19">
        <v>2.216705777503762</v>
      </c>
      <c r="BM33" s="19">
        <v>-8.7378844339914394</v>
      </c>
      <c r="BN33" s="19">
        <v>6.1058042252092974</v>
      </c>
    </row>
    <row r="34" spans="1:66" x14ac:dyDescent="0.2">
      <c r="A34" s="19" t="s">
        <v>558</v>
      </c>
      <c r="B34" s="19" t="s">
        <v>893</v>
      </c>
      <c r="C34" s="19" t="s">
        <v>863</v>
      </c>
      <c r="D34" s="19" t="s">
        <v>864</v>
      </c>
      <c r="F34" s="19">
        <v>8.6000000000001364</v>
      </c>
      <c r="G34" s="19">
        <v>6.5999999999999233</v>
      </c>
      <c r="H34" s="19">
        <v>0.60000000000006537</v>
      </c>
      <c r="I34" s="19">
        <v>3.3999999999998494</v>
      </c>
      <c r="J34" s="19">
        <v>2.4000000000000057</v>
      </c>
      <c r="K34" s="19">
        <v>6.7000000000001023</v>
      </c>
      <c r="L34" s="19">
        <v>4.2</v>
      </c>
      <c r="M34" s="19">
        <v>9.7999999999999829</v>
      </c>
      <c r="N34" s="19">
        <v>9.4999999999999289</v>
      </c>
      <c r="O34" s="19">
        <v>10.4</v>
      </c>
      <c r="P34" s="19">
        <v>11.342921993190828</v>
      </c>
      <c r="Q34" s="19">
        <v>11.940348116250817</v>
      </c>
      <c r="R34" s="19">
        <v>13.968721779678205</v>
      </c>
      <c r="S34" s="19">
        <v>8.1539386845720117</v>
      </c>
      <c r="T34" s="19">
        <v>5.1666490840632093</v>
      </c>
      <c r="U34" s="19">
        <v>10.257129534786728</v>
      </c>
      <c r="V34" s="19">
        <v>4.9343280697896148</v>
      </c>
      <c r="W34" s="19">
        <v>4.9698976892473752</v>
      </c>
      <c r="X34" s="19">
        <v>6.7595601220407957</v>
      </c>
      <c r="Y34" s="19">
        <v>9.1999999999997613</v>
      </c>
      <c r="Z34" s="19">
        <v>-4.2499999999995595</v>
      </c>
      <c r="AA34" s="19">
        <v>0.82999999999952934</v>
      </c>
      <c r="AB34" s="19">
        <v>-2.9299999999999642</v>
      </c>
      <c r="AC34" s="19">
        <v>5.3999999999998778</v>
      </c>
      <c r="AD34" s="19">
        <v>7.8500000000004206</v>
      </c>
      <c r="AE34" s="19">
        <v>7.4899999999998244</v>
      </c>
      <c r="AF34" s="19">
        <v>3.5299999999998306</v>
      </c>
      <c r="AG34" s="19">
        <v>-5.9999999999917009E-2</v>
      </c>
      <c r="AH34" s="19">
        <v>3.1600000000003234</v>
      </c>
      <c r="AI34" s="19">
        <v>-4.3500000000002217</v>
      </c>
      <c r="AJ34" s="19">
        <v>1.032189585493029</v>
      </c>
      <c r="AK34" s="19">
        <v>-0.54407204977727019</v>
      </c>
      <c r="AL34" s="19">
        <v>4.9246900037070986</v>
      </c>
      <c r="AM34" s="19">
        <v>5.8528703621901315</v>
      </c>
      <c r="AN34" s="19">
        <v>4.2237936335041297</v>
      </c>
      <c r="AO34" s="19">
        <v>2.2088640503902184</v>
      </c>
      <c r="AP34" s="19">
        <v>3.3948459863067058</v>
      </c>
      <c r="AQ34" s="19">
        <v>0.33809790120730554</v>
      </c>
      <c r="AR34" s="19">
        <v>0.4679375664771328</v>
      </c>
      <c r="AS34" s="19">
        <v>4.3879494474561795</v>
      </c>
      <c r="AT34" s="19">
        <v>1.3898964009563741</v>
      </c>
      <c r="AU34" s="19">
        <v>3.0534618590931188</v>
      </c>
      <c r="AV34" s="19">
        <v>1.1408289982488782</v>
      </c>
      <c r="AW34" s="19">
        <v>5.7599646367095403</v>
      </c>
      <c r="AX34" s="19">
        <v>3.2021320613043116</v>
      </c>
      <c r="AY34" s="19">
        <v>3.9619887112261694</v>
      </c>
      <c r="AZ34" s="19">
        <v>6.0698706067833825</v>
      </c>
      <c r="BA34" s="19">
        <v>5.0941954465873636</v>
      </c>
      <c r="BB34" s="19">
        <v>-0.12581200216116883</v>
      </c>
      <c r="BC34" s="19">
        <v>7.5282258181536434</v>
      </c>
      <c r="BD34" s="19">
        <v>3.9744230794470212</v>
      </c>
      <c r="BE34" s="19">
        <v>1.9211759857653732</v>
      </c>
      <c r="BF34" s="19">
        <v>3.004822669444323</v>
      </c>
      <c r="BG34" s="19">
        <v>0.50395574024224743</v>
      </c>
      <c r="BH34" s="19">
        <v>-3.5457633926942549</v>
      </c>
      <c r="BI34" s="19">
        <v>-3.275916907821923</v>
      </c>
      <c r="BJ34" s="19">
        <v>1.3228690540439914</v>
      </c>
      <c r="BK34" s="19">
        <v>1.7836667616339952</v>
      </c>
      <c r="BL34" s="19">
        <v>1.2207778236084152</v>
      </c>
      <c r="BM34" s="19">
        <v>-3.8786763339719812</v>
      </c>
      <c r="BN34" s="19">
        <v>4.6194216206731227</v>
      </c>
    </row>
    <row r="35" spans="1:66" x14ac:dyDescent="0.2">
      <c r="A35" s="19" t="s">
        <v>559</v>
      </c>
      <c r="B35" s="19" t="s">
        <v>894</v>
      </c>
      <c r="C35" s="19" t="s">
        <v>863</v>
      </c>
      <c r="D35" s="19" t="s">
        <v>864</v>
      </c>
      <c r="T35" s="19">
        <v>-1.9000000010200466</v>
      </c>
      <c r="U35" s="19">
        <v>4.360211004713733</v>
      </c>
      <c r="V35" s="19">
        <v>3.6422057690320031</v>
      </c>
      <c r="W35" s="19">
        <v>4.8769393145442024</v>
      </c>
      <c r="X35" s="19">
        <v>7.8930081365051734</v>
      </c>
      <c r="Y35" s="19">
        <v>4.3730648138365922</v>
      </c>
      <c r="Z35" s="19">
        <v>-1.8997515709484105</v>
      </c>
      <c r="AA35" s="19">
        <v>-4.9009384775808229</v>
      </c>
      <c r="AB35" s="19">
        <v>0.50125313283209039</v>
      </c>
      <c r="AC35" s="19">
        <v>3.6003740648379079</v>
      </c>
      <c r="AD35" s="19">
        <v>1.0982398074319377</v>
      </c>
      <c r="AE35" s="19">
        <v>5.1041666666666714</v>
      </c>
      <c r="AF35" s="19">
        <v>2.5909670111850431</v>
      </c>
      <c r="AG35" s="19">
        <v>3.5053822798785603</v>
      </c>
      <c r="AH35" s="19">
        <v>3.6000000000000085</v>
      </c>
      <c r="AI35" s="19">
        <v>-3.3075933075933079</v>
      </c>
      <c r="AJ35" s="19">
        <v>-3.8999068281645179</v>
      </c>
      <c r="AK35" s="19">
        <v>-5.6925207756232652</v>
      </c>
      <c r="AL35" s="19">
        <v>0.79306799823761764</v>
      </c>
      <c r="AM35" s="19">
        <v>2.0107824566516115</v>
      </c>
      <c r="AN35" s="19">
        <v>2.0139980002856817</v>
      </c>
      <c r="AO35" s="19">
        <v>3.976477177261259</v>
      </c>
      <c r="AP35" s="19">
        <v>4.7401023431187639</v>
      </c>
      <c r="AQ35" s="19">
        <v>3.7284649010028232</v>
      </c>
      <c r="AR35" s="19">
        <v>0.33465542885473099</v>
      </c>
      <c r="AS35" s="19">
        <v>4.4471896232242187</v>
      </c>
      <c r="AT35" s="19">
        <v>-2.3654642223536371</v>
      </c>
      <c r="AU35" s="19">
        <v>0.7874015748031411</v>
      </c>
      <c r="AV35" s="19">
        <v>2.1754807692307736</v>
      </c>
      <c r="AW35" s="19">
        <v>1.4115986354546521</v>
      </c>
      <c r="AX35" s="19">
        <v>3.9554576035262698</v>
      </c>
      <c r="AY35" s="19">
        <v>6.1127125641597928</v>
      </c>
      <c r="AZ35" s="19">
        <v>2.0776489249067112</v>
      </c>
      <c r="BA35" s="19">
        <v>0.64009814366397677</v>
      </c>
      <c r="BB35" s="19">
        <v>-5.0177444915030662</v>
      </c>
      <c r="BC35" s="19">
        <v>-2.3651647030834653</v>
      </c>
      <c r="BD35" s="19">
        <v>-0.68777906759454766</v>
      </c>
      <c r="BE35" s="19">
        <v>-0.43267912674670583</v>
      </c>
      <c r="BF35" s="19">
        <v>-1.447406818377857</v>
      </c>
      <c r="BG35" s="19">
        <v>-8.7262953472674099E-2</v>
      </c>
      <c r="BH35" s="19">
        <v>2.4726198724812463</v>
      </c>
      <c r="BI35" s="19">
        <v>2.5330248822413637</v>
      </c>
      <c r="BJ35" s="19">
        <v>0.45629051290450207</v>
      </c>
      <c r="BK35" s="19">
        <v>-1.0271391001727466</v>
      </c>
      <c r="BL35" s="19">
        <v>-0.13114725349748824</v>
      </c>
      <c r="BM35" s="19">
        <v>-13.311021525823392</v>
      </c>
      <c r="BN35" s="19">
        <v>-0.18927286629313755</v>
      </c>
    </row>
    <row r="36" spans="1:66" x14ac:dyDescent="0.2">
      <c r="A36" s="19" t="s">
        <v>560</v>
      </c>
      <c r="B36" s="19" t="s">
        <v>895</v>
      </c>
      <c r="C36" s="19" t="s">
        <v>863</v>
      </c>
      <c r="D36" s="19" t="s">
        <v>864</v>
      </c>
      <c r="T36" s="19">
        <v>0.35546306830352137</v>
      </c>
      <c r="U36" s="19">
        <v>20.155394356708328</v>
      </c>
      <c r="V36" s="19">
        <v>10.91669705566629</v>
      </c>
      <c r="W36" s="19">
        <v>6.7758344222611981</v>
      </c>
      <c r="X36" s="19">
        <v>22.56242876382106</v>
      </c>
      <c r="Y36" s="19">
        <v>-6.9967029840247079</v>
      </c>
      <c r="Z36" s="19">
        <v>-19.826715864743477</v>
      </c>
      <c r="AA36" s="19">
        <v>3.9566549383826839</v>
      </c>
      <c r="AB36" s="19">
        <v>0.50146596585787506</v>
      </c>
      <c r="AC36" s="19">
        <v>0.59987654172437033</v>
      </c>
      <c r="AD36" s="19">
        <v>-1.4907490803360872</v>
      </c>
      <c r="AE36" s="19">
        <v>-2.7154699532441526</v>
      </c>
      <c r="AF36" s="19">
        <v>2.0091298136283768</v>
      </c>
      <c r="AG36" s="19">
        <v>1.0973671657358324</v>
      </c>
      <c r="AH36" s="19">
        <v>-1.074178572620923</v>
      </c>
      <c r="AI36" s="19">
        <v>1.0894205354875766</v>
      </c>
      <c r="AJ36" s="19">
        <v>3.1459413616626648</v>
      </c>
      <c r="AK36" s="19">
        <v>4.7585808455215926</v>
      </c>
      <c r="AL36" s="19">
        <v>0.30457287414186851</v>
      </c>
      <c r="AM36" s="19">
        <v>3.1453973953587564</v>
      </c>
      <c r="AN36" s="19">
        <v>4.4787073398374844</v>
      </c>
      <c r="AO36" s="19">
        <v>2.8783177472123498</v>
      </c>
      <c r="AP36" s="19">
        <v>-1.4711715721825698</v>
      </c>
      <c r="AQ36" s="19">
        <v>-0.55850885109747139</v>
      </c>
      <c r="AR36" s="19">
        <v>3.0521571416020805</v>
      </c>
      <c r="AS36" s="19">
        <v>2.8494218578272665</v>
      </c>
      <c r="AT36" s="19">
        <v>2.7440405176520244</v>
      </c>
      <c r="AU36" s="19">
        <v>3.8720969670429781</v>
      </c>
      <c r="AV36" s="19">
        <v>2.9039554765311522</v>
      </c>
      <c r="AW36" s="19">
        <v>0.50431825268732666</v>
      </c>
      <c r="AX36" s="19">
        <v>0.38750720823207985</v>
      </c>
      <c r="AY36" s="19">
        <v>4.3977196775217635</v>
      </c>
      <c r="AZ36" s="19">
        <v>0.15458181174277286</v>
      </c>
      <c r="BA36" s="19">
        <v>-1.9397146378467056</v>
      </c>
      <c r="BB36" s="19">
        <v>-1.764535541326012</v>
      </c>
      <c r="BC36" s="19">
        <v>2.5989657464322562</v>
      </c>
      <c r="BD36" s="19">
        <v>3.7453183520599396</v>
      </c>
      <c r="BE36" s="19">
        <v>0.91284167096441138</v>
      </c>
      <c r="BF36" s="19">
        <v>-2.1260285174017497</v>
      </c>
      <c r="BG36" s="19">
        <v>-2.508352566445609</v>
      </c>
      <c r="BH36" s="19">
        <v>-0.39238374950203081</v>
      </c>
      <c r="BI36" s="19">
        <v>-2.4779177183322361</v>
      </c>
      <c r="BJ36" s="19">
        <v>1.328602551617152</v>
      </c>
      <c r="BK36" s="19">
        <v>5.2237790776771931E-2</v>
      </c>
      <c r="BL36" s="19">
        <v>3.8691098650684523</v>
      </c>
      <c r="BM36" s="19">
        <v>1.1335733495245961</v>
      </c>
      <c r="BN36" s="19">
        <v>-1.5907624796029012</v>
      </c>
    </row>
    <row r="37" spans="1:66" x14ac:dyDescent="0.2">
      <c r="A37" s="19" t="s">
        <v>561</v>
      </c>
      <c r="B37" s="19" t="s">
        <v>896</v>
      </c>
      <c r="C37" s="19" t="s">
        <v>863</v>
      </c>
      <c r="D37" s="19" t="s">
        <v>864</v>
      </c>
      <c r="Z37" s="19">
        <v>15.122294842424111</v>
      </c>
      <c r="AA37" s="19">
        <v>3.4397738487067784</v>
      </c>
      <c r="AB37" s="19">
        <v>10.431015942503819</v>
      </c>
      <c r="AC37" s="19">
        <v>4.5566589886360589</v>
      </c>
      <c r="AD37" s="19">
        <v>4.0285330002062949</v>
      </c>
      <c r="AE37" s="19">
        <v>11.392197597756564</v>
      </c>
      <c r="AF37" s="19">
        <v>29.054323847847513</v>
      </c>
      <c r="AG37" s="19">
        <v>4.7673730214559811</v>
      </c>
      <c r="AH37" s="19">
        <v>7.3555673178238274</v>
      </c>
      <c r="AI37" s="19">
        <v>10.383117915023377</v>
      </c>
      <c r="AJ37" s="19">
        <v>-0.40787568723943934</v>
      </c>
      <c r="AK37" s="19">
        <v>4.6008914318462928</v>
      </c>
      <c r="AL37" s="19">
        <v>1.9863665899686964</v>
      </c>
      <c r="AM37" s="19">
        <v>4.9515036702048292</v>
      </c>
      <c r="AN37" s="19">
        <v>7.0741172779451347</v>
      </c>
      <c r="AO37" s="19">
        <v>5.5651728621204626</v>
      </c>
      <c r="AP37" s="19">
        <v>5.3738385191448117</v>
      </c>
      <c r="AQ37" s="19">
        <v>5.9140308346198509</v>
      </c>
      <c r="AR37" s="19">
        <v>7.9839720218331678</v>
      </c>
      <c r="AS37" s="19">
        <v>3.3550682847402129</v>
      </c>
      <c r="AT37" s="19">
        <v>8.3489544828285034</v>
      </c>
      <c r="AU37" s="19">
        <v>10.992281843750959</v>
      </c>
      <c r="AV37" s="19">
        <v>7.8233023614974826</v>
      </c>
      <c r="AW37" s="19">
        <v>6.0087422361326333</v>
      </c>
      <c r="AX37" s="19">
        <v>7.2872493521870041</v>
      </c>
      <c r="AY37" s="19">
        <v>6.9997380950090644</v>
      </c>
      <c r="AZ37" s="19">
        <v>18.360854055545261</v>
      </c>
      <c r="BA37" s="19">
        <v>4.7994606115589562</v>
      </c>
      <c r="BB37" s="19">
        <v>6.7483337484980837</v>
      </c>
      <c r="BC37" s="19">
        <v>11.945895998375661</v>
      </c>
      <c r="BD37" s="19">
        <v>7.982617040557912</v>
      </c>
      <c r="BE37" s="19">
        <v>5.1184008580053444</v>
      </c>
      <c r="BF37" s="19">
        <v>2.1199726329821544</v>
      </c>
      <c r="BG37" s="19">
        <v>5.7764956801372449</v>
      </c>
      <c r="BH37" s="19">
        <v>6.6422321053556601</v>
      </c>
      <c r="BI37" s="19">
        <v>8.1270335383893979</v>
      </c>
      <c r="BJ37" s="19">
        <v>4.6518346752960582</v>
      </c>
      <c r="BK37" s="19">
        <v>3.055129836725385</v>
      </c>
      <c r="BL37" s="19">
        <v>5.7551699930946256</v>
      </c>
      <c r="BM37" s="19">
        <v>-10.009699260058539</v>
      </c>
      <c r="BN37" s="19">
        <v>4.0876187984632821</v>
      </c>
    </row>
    <row r="38" spans="1:66" x14ac:dyDescent="0.2">
      <c r="A38" s="19" t="s">
        <v>562</v>
      </c>
      <c r="B38" s="19" t="s">
        <v>897</v>
      </c>
      <c r="C38" s="19" t="s">
        <v>863</v>
      </c>
      <c r="D38" s="19" t="s">
        <v>864</v>
      </c>
      <c r="F38" s="19">
        <v>6.343283719672101</v>
      </c>
      <c r="G38" s="19">
        <v>6.6666678131773551</v>
      </c>
      <c r="H38" s="19">
        <v>5.9210450966519375</v>
      </c>
      <c r="I38" s="19">
        <v>6.8323009307817699</v>
      </c>
      <c r="J38" s="19">
        <v>5.8139550599028382</v>
      </c>
      <c r="K38" s="19">
        <v>6.3440190960052547</v>
      </c>
      <c r="L38" s="19">
        <v>5.9245599408591261</v>
      </c>
      <c r="M38" s="19">
        <v>10.567056502303984</v>
      </c>
      <c r="N38" s="19">
        <v>15.123404705910687</v>
      </c>
      <c r="O38" s="19">
        <v>17.120267672002271</v>
      </c>
      <c r="P38" s="19">
        <v>25.821107219257769</v>
      </c>
      <c r="Q38" s="19">
        <v>26.361940947497146</v>
      </c>
      <c r="R38" s="19">
        <v>21.303184092630417</v>
      </c>
      <c r="S38" s="19">
        <v>8.797795216121699</v>
      </c>
      <c r="T38" s="19">
        <v>8.4462503813232104</v>
      </c>
      <c r="U38" s="19">
        <v>10.647376707679371</v>
      </c>
      <c r="V38" s="19">
        <v>12.012040089002724</v>
      </c>
      <c r="W38" s="19">
        <v>14.332801588576146</v>
      </c>
      <c r="X38" s="19">
        <v>12.148588920900821</v>
      </c>
      <c r="Y38" s="19">
        <v>11.986901385777543</v>
      </c>
      <c r="Z38" s="19">
        <v>9.0648574647498776</v>
      </c>
      <c r="AA38" s="19">
        <v>12.165531855167288</v>
      </c>
      <c r="AB38" s="19">
        <v>13.146729050458489</v>
      </c>
      <c r="AC38" s="19">
        <v>8.5453836391253617</v>
      </c>
      <c r="AD38" s="19">
        <v>7.1252712677901968</v>
      </c>
      <c r="AE38" s="19">
        <v>8.1729243318818874</v>
      </c>
      <c r="AF38" s="19">
        <v>11.881928137320259</v>
      </c>
      <c r="AG38" s="19">
        <v>19.449969508567477</v>
      </c>
      <c r="AH38" s="19">
        <v>13.059405887078455</v>
      </c>
      <c r="AI38" s="19">
        <v>6.7728219493826458</v>
      </c>
      <c r="AJ38" s="19">
        <v>7.4587091707600592</v>
      </c>
      <c r="AK38" s="19">
        <v>2.9170703044274688</v>
      </c>
      <c r="AL38" s="19">
        <v>1.9161070189864517</v>
      </c>
      <c r="AM38" s="19">
        <v>3.6279160769942678</v>
      </c>
      <c r="AN38" s="19">
        <v>7.0304103085115059</v>
      </c>
      <c r="AO38" s="19">
        <v>5.8298000069854936</v>
      </c>
      <c r="AP38" s="19">
        <v>8.3258909001615109</v>
      </c>
      <c r="AQ38" s="19">
        <v>0.44366352206827742</v>
      </c>
      <c r="AR38" s="19">
        <v>9.6672407947489916</v>
      </c>
      <c r="AS38" s="19">
        <v>1.9876957509073634</v>
      </c>
      <c r="AT38" s="19">
        <v>0.25057395657606207</v>
      </c>
      <c r="AU38" s="19">
        <v>6.0695308801369094</v>
      </c>
      <c r="AV38" s="19">
        <v>4.6258947267325112</v>
      </c>
      <c r="AW38" s="19">
        <v>2.7058217290478268</v>
      </c>
      <c r="AX38" s="19">
        <v>4.556645673006841</v>
      </c>
      <c r="AY38" s="19">
        <v>8.3638710958036029</v>
      </c>
      <c r="AZ38" s="19">
        <v>5.7925557772711755</v>
      </c>
      <c r="BA38" s="19">
        <v>3.2520729579683234</v>
      </c>
      <c r="BB38" s="19">
        <v>-14.144234616342331</v>
      </c>
      <c r="BC38" s="19">
        <v>10.122209117973242</v>
      </c>
      <c r="BD38" s="19">
        <v>6.8385297480348299</v>
      </c>
      <c r="BE38" s="19">
        <v>-0.17090076145689181</v>
      </c>
      <c r="BF38" s="19">
        <v>11.102823777977051</v>
      </c>
      <c r="BG38" s="19">
        <v>5.6969645398220479</v>
      </c>
      <c r="BH38" s="19">
        <v>-4.8509918165229777</v>
      </c>
      <c r="BI38" s="19">
        <v>7.2018190292865398</v>
      </c>
      <c r="BJ38" s="19">
        <v>4.1130561434560065</v>
      </c>
      <c r="BK38" s="19">
        <v>4.1898340739950726</v>
      </c>
      <c r="BL38" s="19">
        <v>3.0325987405256143</v>
      </c>
      <c r="BM38" s="19">
        <v>-8.7264086260043854</v>
      </c>
      <c r="BN38" s="19">
        <v>11.370021862667357</v>
      </c>
    </row>
    <row r="39" spans="1:66" x14ac:dyDescent="0.2">
      <c r="A39" s="19" t="s">
        <v>563</v>
      </c>
      <c r="B39" s="19" t="s">
        <v>898</v>
      </c>
      <c r="C39" s="19" t="s">
        <v>863</v>
      </c>
      <c r="D39" s="19" t="s">
        <v>864</v>
      </c>
      <c r="F39" s="19">
        <v>4.9535537979722903</v>
      </c>
      <c r="G39" s="19">
        <v>-3.7138001840968542</v>
      </c>
      <c r="H39" s="19">
        <v>-0.7070107522363287</v>
      </c>
      <c r="I39" s="19">
        <v>2.08032459940857</v>
      </c>
      <c r="J39" s="19">
        <v>0.94757871225685619</v>
      </c>
      <c r="K39" s="19">
        <v>0.64478372023779684</v>
      </c>
      <c r="L39" s="19">
        <v>4.6766131089007956</v>
      </c>
      <c r="M39" s="19">
        <v>1.4041131769309203</v>
      </c>
      <c r="N39" s="19">
        <v>7.0915425276309634</v>
      </c>
      <c r="O39" s="19">
        <v>2.3328808767934675</v>
      </c>
      <c r="P39" s="19">
        <v>1.1302023840583502</v>
      </c>
      <c r="Q39" s="19">
        <v>-8.6717483111442561E-4</v>
      </c>
      <c r="R39" s="19">
        <v>1.8889399562939957</v>
      </c>
      <c r="S39" s="19">
        <v>6.3390336122831599</v>
      </c>
      <c r="T39" s="19">
        <v>0.40498710404206406</v>
      </c>
      <c r="U39" s="19">
        <v>5.4325189869129247</v>
      </c>
      <c r="V39" s="19">
        <v>3.8062349140823386</v>
      </c>
      <c r="W39" s="19">
        <v>1.209235419435899</v>
      </c>
      <c r="X39" s="19">
        <v>-2.4651377846863625</v>
      </c>
      <c r="Y39" s="19">
        <v>-4.4786388479494832</v>
      </c>
      <c r="Z39" s="19">
        <v>-1.5444656647014909</v>
      </c>
      <c r="AA39" s="19">
        <v>7.7157836309039283</v>
      </c>
      <c r="AB39" s="19">
        <v>-8.1265135927456811</v>
      </c>
      <c r="AC39" s="19">
        <v>9.4817266529253317</v>
      </c>
      <c r="AD39" s="19">
        <v>3.9272195379805623</v>
      </c>
      <c r="AE39" s="19">
        <v>3.5779792543046085</v>
      </c>
      <c r="AF39" s="19">
        <v>-4.9389878850254547</v>
      </c>
      <c r="AG39" s="19">
        <v>1.7101652847238569</v>
      </c>
      <c r="AH39" s="19">
        <v>1.9772704345194541</v>
      </c>
      <c r="AI39" s="19">
        <v>-2.1475280657408717</v>
      </c>
      <c r="AJ39" s="19">
        <v>-0.55254300510186738</v>
      </c>
      <c r="AK39" s="19">
        <v>-6.4240781994633096</v>
      </c>
      <c r="AL39" s="19">
        <v>0.33527568464606361</v>
      </c>
      <c r="AM39" s="19">
        <v>4.8999494100011418</v>
      </c>
      <c r="AN39" s="19">
        <v>7.200045557519033</v>
      </c>
      <c r="AO39" s="19">
        <v>-4.0000929636478872</v>
      </c>
      <c r="AP39" s="19">
        <v>5.2999360182607376</v>
      </c>
      <c r="AQ39" s="19">
        <v>4.7001423787932879</v>
      </c>
      <c r="AR39" s="19">
        <v>3.5999749043227354</v>
      </c>
      <c r="AS39" s="19">
        <v>-2.4894324402887378</v>
      </c>
      <c r="AT39" s="19">
        <v>4.4647390264086653</v>
      </c>
      <c r="AU39" s="19">
        <v>3.6165421915059568</v>
      </c>
      <c r="AV39" s="19">
        <v>-5.3974852185587707</v>
      </c>
      <c r="AW39" s="19">
        <v>5.9948842279869581</v>
      </c>
      <c r="AX39" s="19">
        <v>0.90821051487195348</v>
      </c>
      <c r="AY39" s="19">
        <v>4.7710854304410475</v>
      </c>
      <c r="AZ39" s="19">
        <v>4.607534854520253</v>
      </c>
      <c r="BA39" s="19">
        <v>2.054130962004848</v>
      </c>
      <c r="BB39" s="19">
        <v>8.5872604264099408</v>
      </c>
      <c r="BC39" s="19">
        <v>4.6308184322330703</v>
      </c>
      <c r="BD39" s="19">
        <v>4.19461533741989</v>
      </c>
      <c r="BE39" s="19">
        <v>5.0537612535691778</v>
      </c>
      <c r="BF39" s="19">
        <v>-36.391977098388672</v>
      </c>
      <c r="BG39" s="19">
        <v>8.107051532648768E-2</v>
      </c>
      <c r="BH39" s="19">
        <v>4.3371210302023115</v>
      </c>
      <c r="BI39" s="19">
        <v>4.7503168412234231</v>
      </c>
      <c r="BJ39" s="19">
        <v>4.52727821346231</v>
      </c>
      <c r="BK39" s="19">
        <v>3.7894435927546226</v>
      </c>
      <c r="BL39" s="19">
        <v>3.0999999999999943</v>
      </c>
      <c r="BM39" s="19">
        <v>0.899999996857062</v>
      </c>
      <c r="BN39" s="19">
        <v>0.9000000068787557</v>
      </c>
    </row>
    <row r="40" spans="1:66" x14ac:dyDescent="0.2">
      <c r="A40" s="19" t="s">
        <v>564</v>
      </c>
      <c r="B40" s="19" t="s">
        <v>899</v>
      </c>
      <c r="C40" s="19" t="s">
        <v>863</v>
      </c>
      <c r="D40" s="19" t="s">
        <v>864</v>
      </c>
      <c r="F40" s="19">
        <v>3.1632916837129841</v>
      </c>
      <c r="G40" s="19">
        <v>7.425384774437191</v>
      </c>
      <c r="H40" s="19">
        <v>5.3495464571364835</v>
      </c>
      <c r="I40" s="19">
        <v>6.6428944149882057</v>
      </c>
      <c r="J40" s="19">
        <v>6.3167141755723151</v>
      </c>
      <c r="K40" s="19">
        <v>6.7049917643470849</v>
      </c>
      <c r="L40" s="19">
        <v>3.0912059621780941</v>
      </c>
      <c r="M40" s="19">
        <v>4.9956666046404337</v>
      </c>
      <c r="N40" s="19">
        <v>5.0454563673696384</v>
      </c>
      <c r="AQ40" s="19">
        <v>3.8961518290980592</v>
      </c>
      <c r="AR40" s="19">
        <v>5.1629136241059541</v>
      </c>
      <c r="AS40" s="19">
        <v>5.1776356682411375</v>
      </c>
      <c r="AT40" s="19">
        <v>1.7899728799137335</v>
      </c>
      <c r="AU40" s="19">
        <v>3.0180505122497294</v>
      </c>
      <c r="AV40" s="19">
        <v>1.8015181359895678</v>
      </c>
      <c r="AW40" s="19">
        <v>3.0869808091513278</v>
      </c>
      <c r="AX40" s="19">
        <v>3.2042004282712924</v>
      </c>
      <c r="AY40" s="19">
        <v>2.6343038137838448</v>
      </c>
      <c r="AZ40" s="19">
        <v>2.0694098880842802</v>
      </c>
      <c r="BA40" s="19">
        <v>1.007622695457556</v>
      </c>
      <c r="BB40" s="19">
        <v>-2.928400166845492</v>
      </c>
      <c r="BC40" s="19">
        <v>3.0894946198278603</v>
      </c>
      <c r="BD40" s="19">
        <v>3.1468813720705811</v>
      </c>
      <c r="BE40" s="19">
        <v>1.7622225494588122</v>
      </c>
      <c r="BF40" s="19">
        <v>2.3291225062101972</v>
      </c>
      <c r="BG40" s="19">
        <v>2.87003607545671</v>
      </c>
      <c r="BH40" s="19">
        <v>0.65917686355886929</v>
      </c>
      <c r="BI40" s="19">
        <v>1.0013944139040518</v>
      </c>
      <c r="BJ40" s="19">
        <v>3.0398802252819479</v>
      </c>
      <c r="BK40" s="19">
        <v>2.7770405537955298</v>
      </c>
      <c r="BL40" s="19">
        <v>1.8795920277017757</v>
      </c>
      <c r="BM40" s="19">
        <v>-5.2330243028060579</v>
      </c>
      <c r="BN40" s="19">
        <v>4.5408873094212368</v>
      </c>
    </row>
    <row r="41" spans="1:66" x14ac:dyDescent="0.2">
      <c r="A41" s="19" t="s">
        <v>565</v>
      </c>
      <c r="B41" s="19" t="s">
        <v>900</v>
      </c>
      <c r="C41" s="19" t="s">
        <v>863</v>
      </c>
      <c r="D41" s="19" t="s">
        <v>864</v>
      </c>
      <c r="AJ41" s="19">
        <v>-9.7709513366267231</v>
      </c>
      <c r="AK41" s="19">
        <v>-1.9596003004616165</v>
      </c>
      <c r="AL41" s="19">
        <v>1.5462389733132795</v>
      </c>
      <c r="AM41" s="19">
        <v>4.1050638303519378</v>
      </c>
      <c r="AN41" s="19">
        <v>5.7125099651440792</v>
      </c>
      <c r="AO41" s="19">
        <v>4.5560410050869109</v>
      </c>
      <c r="AP41" s="19">
        <v>2.3128636903485358</v>
      </c>
      <c r="AQ41" s="19">
        <v>2.6842496681322956</v>
      </c>
      <c r="AR41" s="19">
        <v>1.9140516729075898</v>
      </c>
      <c r="AS41" s="19">
        <v>3.9526317314080757</v>
      </c>
      <c r="AT41" s="19">
        <v>3.0783450882365173</v>
      </c>
      <c r="AU41" s="19">
        <v>3.6109487139715384</v>
      </c>
      <c r="AV41" s="19">
        <v>4.0845854849583816</v>
      </c>
      <c r="AW41" s="19">
        <v>5.8394134566588605</v>
      </c>
      <c r="AX41" s="19">
        <v>5.0170657295082037</v>
      </c>
      <c r="AY41" s="19">
        <v>6.5861080621957768</v>
      </c>
      <c r="AZ41" s="19">
        <v>6.4301436027139687</v>
      </c>
      <c r="BA41" s="19">
        <v>3.9358440926342979</v>
      </c>
      <c r="BB41" s="19">
        <v>-3.5032860409879163</v>
      </c>
      <c r="BC41" s="19">
        <v>1.4372770168972693</v>
      </c>
      <c r="BD41" s="19">
        <v>3.5154588574906995</v>
      </c>
      <c r="BE41" s="19">
        <v>0.82629346573241946</v>
      </c>
      <c r="BF41" s="19">
        <v>0.66380775880875831</v>
      </c>
      <c r="BG41" s="19">
        <v>3.2150236599795647</v>
      </c>
      <c r="BH41" s="19">
        <v>4.0273671996486513</v>
      </c>
      <c r="BI41" s="19">
        <v>2.7496807599593325</v>
      </c>
      <c r="BJ41" s="19">
        <v>5.1049203079961671</v>
      </c>
      <c r="BK41" s="19">
        <v>4.9402077950217773</v>
      </c>
      <c r="BL41" s="19">
        <v>3.939767116498345</v>
      </c>
      <c r="BM41" s="19">
        <v>-3.3937588656459354</v>
      </c>
      <c r="BN41" s="19">
        <v>6.1474371848519382</v>
      </c>
    </row>
    <row r="42" spans="1:66" x14ac:dyDescent="0.2">
      <c r="A42" s="19" t="s">
        <v>566</v>
      </c>
      <c r="B42" s="19" t="s">
        <v>901</v>
      </c>
      <c r="C42" s="19" t="s">
        <v>863</v>
      </c>
      <c r="D42" s="19" t="s">
        <v>864</v>
      </c>
      <c r="Z42" s="19">
        <v>1.6013359299406886</v>
      </c>
      <c r="AA42" s="19">
        <v>-1.3094174955197104</v>
      </c>
      <c r="AB42" s="19">
        <v>0.63907954486421659</v>
      </c>
      <c r="AC42" s="19">
        <v>3.008456322477727</v>
      </c>
      <c r="AD42" s="19">
        <v>3.6735959244144283</v>
      </c>
      <c r="AE42" s="19">
        <v>1.8586328983152924</v>
      </c>
      <c r="AF42" s="19">
        <v>1.585478008191572</v>
      </c>
      <c r="AG42" s="19">
        <v>3.277596377287864</v>
      </c>
      <c r="AH42" s="19">
        <v>4.3307940236221754</v>
      </c>
      <c r="AI42" s="19">
        <v>3.4745521095124161</v>
      </c>
      <c r="AJ42" s="19">
        <v>-0.91581666845632981</v>
      </c>
      <c r="AK42" s="19">
        <v>-4.3733003496583933E-2</v>
      </c>
      <c r="AL42" s="19">
        <v>-0.12598339460370767</v>
      </c>
      <c r="AM42" s="19">
        <v>1.2697576760622553</v>
      </c>
      <c r="AN42" s="19">
        <v>0.48086644894942765</v>
      </c>
      <c r="AO42" s="19">
        <v>0.47128002094629551</v>
      </c>
      <c r="AP42" s="19">
        <v>2.261325239028622</v>
      </c>
      <c r="AQ42" s="19">
        <v>3.0299691703928033</v>
      </c>
      <c r="AR42" s="19">
        <v>1.6627012841828446</v>
      </c>
      <c r="AS42" s="19">
        <v>3.9587197193351642</v>
      </c>
      <c r="AT42" s="19">
        <v>1.5756619674415617</v>
      </c>
      <c r="AU42" s="19">
        <v>-7.3217084042653369E-2</v>
      </c>
      <c r="AV42" s="19">
        <v>-3.239847653777872E-2</v>
      </c>
      <c r="AW42" s="19">
        <v>2.7017092096702839</v>
      </c>
      <c r="AX42" s="19">
        <v>2.7496989849848461</v>
      </c>
      <c r="AY42" s="19">
        <v>4.0736284499427455</v>
      </c>
      <c r="AZ42" s="19">
        <v>3.9163758177817982</v>
      </c>
      <c r="BA42" s="19">
        <v>2.8079836316869233</v>
      </c>
      <c r="BB42" s="19">
        <v>-2.2973746307154528</v>
      </c>
      <c r="BC42" s="19">
        <v>3.2433973355017258</v>
      </c>
      <c r="BD42" s="19">
        <v>1.8131081920369496</v>
      </c>
      <c r="BE42" s="19">
        <v>1.1792538332510816</v>
      </c>
      <c r="BF42" s="19">
        <v>1.7921440570748359</v>
      </c>
      <c r="BG42" s="19">
        <v>2.3498812750862612</v>
      </c>
      <c r="BH42" s="19">
        <v>1.6446276869928482</v>
      </c>
      <c r="BI42" s="19">
        <v>2.0686896670996049</v>
      </c>
      <c r="BJ42" s="19">
        <v>1.3627995571141582</v>
      </c>
      <c r="BK42" s="19">
        <v>2.8604457946163251</v>
      </c>
      <c r="BL42" s="19">
        <v>1.1419823250527656</v>
      </c>
      <c r="BM42" s="19">
        <v>-2.3755632796765269</v>
      </c>
      <c r="BN42" s="19">
        <v>4.2217165765407287</v>
      </c>
    </row>
    <row r="43" spans="1:66" x14ac:dyDescent="0.2">
      <c r="A43" s="19" t="s">
        <v>567</v>
      </c>
      <c r="B43" s="19" t="s">
        <v>902</v>
      </c>
      <c r="C43" s="19" t="s">
        <v>863</v>
      </c>
      <c r="D43" s="19" t="s">
        <v>864</v>
      </c>
      <c r="AR43" s="19">
        <v>3.77026425430725</v>
      </c>
      <c r="AS43" s="19">
        <v>5.8266410966159441</v>
      </c>
      <c r="AT43" s="19">
        <v>-1.5129611865485373</v>
      </c>
      <c r="AU43" s="19">
        <v>-1.6322067203556401</v>
      </c>
      <c r="AV43" s="19">
        <v>-3.2021555815270943</v>
      </c>
      <c r="AW43" s="19">
        <v>0.22419656068531424</v>
      </c>
      <c r="AX43" s="19">
        <v>1.3777342782583162</v>
      </c>
      <c r="AY43" s="19">
        <v>4.8822998005802418</v>
      </c>
      <c r="AZ43" s="19">
        <v>5.8983289924525764</v>
      </c>
    </row>
    <row r="44" spans="1:66" x14ac:dyDescent="0.2">
      <c r="A44" s="19" t="s">
        <v>568</v>
      </c>
      <c r="B44" s="19" t="s">
        <v>903</v>
      </c>
      <c r="C44" s="19" t="s">
        <v>863</v>
      </c>
      <c r="D44" s="19" t="s">
        <v>864</v>
      </c>
      <c r="F44" s="19">
        <v>5.2452718844564856</v>
      </c>
      <c r="G44" s="19">
        <v>4.0266856234873103</v>
      </c>
      <c r="H44" s="19">
        <v>5.8401401399072768</v>
      </c>
      <c r="I44" s="19">
        <v>2.5572205384881528</v>
      </c>
      <c r="J44" s="19">
        <v>0.95027250528583806</v>
      </c>
      <c r="K44" s="19">
        <v>11.236242456381746</v>
      </c>
      <c r="L44" s="19">
        <v>3.6159998540523475</v>
      </c>
      <c r="M44" s="19">
        <v>3.5920133295412882</v>
      </c>
      <c r="N44" s="19">
        <v>3.9379832809683677</v>
      </c>
      <c r="O44" s="19">
        <v>1.8289669701924112</v>
      </c>
      <c r="P44" s="19">
        <v>9.4226862110576803</v>
      </c>
      <c r="Q44" s="19">
        <v>-1.0199477941220749</v>
      </c>
      <c r="R44" s="19">
        <v>-5.029248356026244</v>
      </c>
      <c r="S44" s="19">
        <v>2.3821493330888899</v>
      </c>
      <c r="T44" s="19">
        <v>-12.912101050878235</v>
      </c>
      <c r="U44" s="19">
        <v>3.8325840045835946</v>
      </c>
      <c r="V44" s="19">
        <v>10.444686378966779</v>
      </c>
      <c r="W44" s="19">
        <v>7.7011036025419912</v>
      </c>
      <c r="X44" s="19">
        <v>8.4183046871779226</v>
      </c>
      <c r="Y44" s="19">
        <v>7.9866207570610044</v>
      </c>
      <c r="Z44" s="19">
        <v>6.5253703664159133</v>
      </c>
      <c r="AA44" s="19">
        <v>-11.014305060156289</v>
      </c>
      <c r="AB44" s="19">
        <v>-5.0174205254242565</v>
      </c>
      <c r="AC44" s="19">
        <v>4.1036832392323959</v>
      </c>
      <c r="AD44" s="19">
        <v>4.009916202531528</v>
      </c>
      <c r="AE44" s="19">
        <v>5.3776923225917699</v>
      </c>
      <c r="AF44" s="19">
        <v>6.4604685282026821</v>
      </c>
      <c r="AG44" s="19">
        <v>7.3451104541691876</v>
      </c>
      <c r="AH44" s="19">
        <v>9.9233828972296294</v>
      </c>
      <c r="AI44" s="19">
        <v>3.3335654744456065</v>
      </c>
      <c r="AJ44" s="19">
        <v>7.8043921855976777</v>
      </c>
      <c r="AK44" s="19">
        <v>11.166707733897184</v>
      </c>
      <c r="AL44" s="19">
        <v>6.5887838265895624</v>
      </c>
      <c r="AM44" s="19">
        <v>5.0301979774894221</v>
      </c>
      <c r="AN44" s="19">
        <v>8.9332958693238709</v>
      </c>
      <c r="AO44" s="19">
        <v>6.8029165958378712</v>
      </c>
      <c r="AP44" s="19">
        <v>7.3917392684330991</v>
      </c>
      <c r="AQ44" s="19">
        <v>4.1808866270066858</v>
      </c>
      <c r="AR44" s="19">
        <v>-0.27363139819370019</v>
      </c>
      <c r="AS44" s="19">
        <v>4.971621488297103</v>
      </c>
      <c r="AT44" s="19">
        <v>3.1540349245996708</v>
      </c>
      <c r="AU44" s="19">
        <v>3.2027991352011327</v>
      </c>
      <c r="AV44" s="19">
        <v>4.7232452686104125</v>
      </c>
      <c r="AW44" s="19">
        <v>6.6742541682292256</v>
      </c>
      <c r="AX44" s="19">
        <v>5.8370457191775813</v>
      </c>
      <c r="AY44" s="19">
        <v>6.0499908256396822</v>
      </c>
      <c r="AZ44" s="19">
        <v>5.1682309852843105</v>
      </c>
      <c r="BA44" s="19">
        <v>3.7893928063523816</v>
      </c>
      <c r="BB44" s="19">
        <v>-1.1180372364287763</v>
      </c>
      <c r="BC44" s="19">
        <v>5.8516510222404747</v>
      </c>
      <c r="BD44" s="19">
        <v>6.2238967850913838</v>
      </c>
      <c r="BE44" s="19">
        <v>6.1553400185549378</v>
      </c>
      <c r="BF44" s="19">
        <v>3.3085082471008462</v>
      </c>
      <c r="BG44" s="19">
        <v>1.7926494713925933</v>
      </c>
      <c r="BH44" s="19">
        <v>2.1519424998118382</v>
      </c>
      <c r="BI44" s="19">
        <v>1.7530387490143795</v>
      </c>
      <c r="BJ44" s="19">
        <v>1.3576953734959716</v>
      </c>
      <c r="BK44" s="19">
        <v>3.9900294778448853</v>
      </c>
      <c r="BL44" s="19">
        <v>0.77053958389907962</v>
      </c>
      <c r="BM44" s="19">
        <v>-5.9782240617438021</v>
      </c>
      <c r="BN44" s="19">
        <v>11.668224701621895</v>
      </c>
    </row>
    <row r="45" spans="1:66" x14ac:dyDescent="0.2">
      <c r="A45" s="19" t="s">
        <v>569</v>
      </c>
      <c r="B45" s="19" t="s">
        <v>904</v>
      </c>
      <c r="C45" s="19" t="s">
        <v>863</v>
      </c>
      <c r="D45" s="19" t="s">
        <v>864</v>
      </c>
      <c r="F45" s="19">
        <v>-27.270000003922718</v>
      </c>
      <c r="G45" s="19">
        <v>-5.5799999902027508</v>
      </c>
      <c r="H45" s="19">
        <v>10.299999996478661</v>
      </c>
      <c r="I45" s="19">
        <v>18.17999999372384</v>
      </c>
      <c r="J45" s="19">
        <v>16.950000003960653</v>
      </c>
      <c r="K45" s="19">
        <v>10.649999998407324</v>
      </c>
      <c r="L45" s="19">
        <v>-5.7700000040503454</v>
      </c>
      <c r="M45" s="19">
        <v>-4.0999999865114773</v>
      </c>
      <c r="N45" s="19">
        <v>16.939999996069076</v>
      </c>
      <c r="O45" s="19">
        <v>19.299999996714462</v>
      </c>
      <c r="P45" s="19">
        <v>7.0599999985413433</v>
      </c>
      <c r="Q45" s="19">
        <v>3.8100000002139467</v>
      </c>
      <c r="R45" s="19">
        <v>7.7600000008268211</v>
      </c>
      <c r="S45" s="19">
        <v>2.3100000029558885</v>
      </c>
      <c r="T45" s="19">
        <v>8.7199999975016311</v>
      </c>
      <c r="U45" s="19">
        <v>-1.5700000016834963</v>
      </c>
      <c r="V45" s="19">
        <v>7.570000001370488</v>
      </c>
      <c r="W45" s="19">
        <v>11.325977987913376</v>
      </c>
      <c r="X45" s="19">
        <v>7.591324680000298</v>
      </c>
      <c r="Y45" s="19">
        <v>7.8341450159379917</v>
      </c>
      <c r="Z45" s="19">
        <v>5.1127610905891174</v>
      </c>
      <c r="AA45" s="19">
        <v>9.0171139138220298</v>
      </c>
      <c r="AB45" s="19">
        <v>10.770202506571451</v>
      </c>
      <c r="AC45" s="19">
        <v>15.191540023613399</v>
      </c>
      <c r="AD45" s="19">
        <v>13.430677520406405</v>
      </c>
      <c r="AE45" s="19">
        <v>8.9499617643800775</v>
      </c>
      <c r="AF45" s="19">
        <v>11.657427793135724</v>
      </c>
      <c r="AG45" s="19">
        <v>11.222594982521002</v>
      </c>
      <c r="AH45" s="19">
        <v>4.2063343554781483</v>
      </c>
      <c r="AI45" s="19">
        <v>3.9202513677656867</v>
      </c>
      <c r="AJ45" s="19">
        <v>9.2627860846217374</v>
      </c>
      <c r="AK45" s="19">
        <v>14.224529592445663</v>
      </c>
      <c r="AL45" s="19">
        <v>13.883729302043577</v>
      </c>
      <c r="AM45" s="19">
        <v>13.036806632690244</v>
      </c>
      <c r="AN45" s="19">
        <v>10.953954342018505</v>
      </c>
      <c r="AO45" s="19">
        <v>9.9225567528845886</v>
      </c>
      <c r="AP45" s="19">
        <v>9.236779891691242</v>
      </c>
      <c r="AQ45" s="19">
        <v>7.845951787339331</v>
      </c>
      <c r="AR45" s="19">
        <v>7.6616515004500201</v>
      </c>
      <c r="AS45" s="19">
        <v>8.4900934060146795</v>
      </c>
      <c r="AT45" s="19">
        <v>8.3357334782132426</v>
      </c>
      <c r="AU45" s="19">
        <v>9.1336307898893381</v>
      </c>
      <c r="AV45" s="19">
        <v>10.038030480837065</v>
      </c>
      <c r="AW45" s="19">
        <v>10.113621377896379</v>
      </c>
      <c r="AX45" s="19">
        <v>11.394591809866242</v>
      </c>
      <c r="AY45" s="19">
        <v>12.720955665172326</v>
      </c>
      <c r="AZ45" s="19">
        <v>14.230860933287886</v>
      </c>
      <c r="BA45" s="19">
        <v>9.6506789193438749</v>
      </c>
      <c r="BB45" s="19">
        <v>9.3987256325829662</v>
      </c>
      <c r="BC45" s="19">
        <v>10.635871064542627</v>
      </c>
      <c r="BD45" s="19">
        <v>9.5508321788642547</v>
      </c>
      <c r="BE45" s="19">
        <v>7.8637364486496608</v>
      </c>
      <c r="BF45" s="19">
        <v>7.7661500976300175</v>
      </c>
      <c r="BG45" s="19">
        <v>7.4257636563259837</v>
      </c>
      <c r="BH45" s="19">
        <v>7.0413288787719353</v>
      </c>
      <c r="BI45" s="19">
        <v>6.8487622049384385</v>
      </c>
      <c r="BJ45" s="19">
        <v>6.9472007933066777</v>
      </c>
      <c r="BK45" s="19">
        <v>6.7497738325418055</v>
      </c>
      <c r="BL45" s="19">
        <v>5.9505007536746035</v>
      </c>
      <c r="BM45" s="19">
        <v>2.2397018569229772</v>
      </c>
      <c r="BN45" s="19">
        <v>8.1097925807737994</v>
      </c>
    </row>
    <row r="46" spans="1:66" x14ac:dyDescent="0.2">
      <c r="A46" s="19" t="s">
        <v>570</v>
      </c>
      <c r="B46" s="19" t="s">
        <v>905</v>
      </c>
      <c r="C46" s="19" t="s">
        <v>863</v>
      </c>
      <c r="D46" s="19" t="s">
        <v>864</v>
      </c>
      <c r="F46" s="19">
        <v>9.9325551561181271</v>
      </c>
      <c r="G46" s="19">
        <v>1.2269944900720873</v>
      </c>
      <c r="H46" s="19">
        <v>14.490355865666956</v>
      </c>
      <c r="I46" s="19">
        <v>17.613087829945442</v>
      </c>
      <c r="J46" s="19">
        <v>-3.1096542733291841</v>
      </c>
      <c r="K46" s="19">
        <v>11.577359688023733</v>
      </c>
      <c r="L46" s="19">
        <v>4.5981517850538296</v>
      </c>
      <c r="M46" s="19">
        <v>12.548248639525681</v>
      </c>
      <c r="N46" s="19">
        <v>9.5392187705650286</v>
      </c>
      <c r="O46" s="19">
        <v>10.375031843742619</v>
      </c>
      <c r="P46" s="19">
        <v>9.4566376617545274</v>
      </c>
      <c r="Q46" s="19">
        <v>4.2366250117510873</v>
      </c>
      <c r="R46" s="19">
        <v>5.9391975361682228</v>
      </c>
      <c r="S46" s="19">
        <v>4.3273808575466006</v>
      </c>
      <c r="T46" s="19">
        <v>8.2528863673497739</v>
      </c>
      <c r="U46" s="19">
        <v>12.916397437547843</v>
      </c>
      <c r="V46" s="19">
        <v>7.3144591535426713</v>
      </c>
      <c r="W46" s="19">
        <v>10.909453652370459</v>
      </c>
      <c r="X46" s="19">
        <v>2.3944074619329569</v>
      </c>
      <c r="Y46" s="19">
        <v>-10.957697263721684</v>
      </c>
      <c r="Z46" s="19">
        <v>3.5004989085041842</v>
      </c>
      <c r="AA46" s="19">
        <v>0.20082234667104615</v>
      </c>
      <c r="AB46" s="19">
        <v>-3.9002404413810439</v>
      </c>
      <c r="AC46" s="19">
        <v>-2.701261434878333</v>
      </c>
      <c r="AD46" s="19">
        <v>4.5012231806874468</v>
      </c>
      <c r="AE46" s="19">
        <v>3.25934876606091</v>
      </c>
      <c r="AF46" s="19">
        <v>-0.34897291393886576</v>
      </c>
      <c r="AG46" s="19">
        <v>1.1364839656228725</v>
      </c>
      <c r="AH46" s="19">
        <v>2.9480049433544053</v>
      </c>
      <c r="AI46" s="19">
        <v>-1.095908412383082</v>
      </c>
      <c r="AJ46" s="19">
        <v>4.092517172529142E-2</v>
      </c>
      <c r="AK46" s="19">
        <v>-0.24456061143492036</v>
      </c>
      <c r="AL46" s="19">
        <v>-0.19248510009943232</v>
      </c>
      <c r="AM46" s="19">
        <v>0.81120668443290356</v>
      </c>
      <c r="AN46" s="19">
        <v>7.1257447244811942</v>
      </c>
      <c r="AO46" s="19">
        <v>7.7293274220417061</v>
      </c>
      <c r="AP46" s="19">
        <v>9.6488400486228301</v>
      </c>
      <c r="AQ46" s="19">
        <v>4.2639059395908134</v>
      </c>
      <c r="AR46" s="19">
        <v>1.1668599831714772</v>
      </c>
      <c r="AS46" s="19">
        <v>-0.26578946394330671</v>
      </c>
      <c r="AT46" s="19">
        <v>-2.1540124902766848</v>
      </c>
      <c r="AU46" s="19">
        <v>-2.7305264739125903</v>
      </c>
      <c r="AV46" s="19">
        <v>-4.7258665858051785</v>
      </c>
      <c r="AW46" s="19">
        <v>3.1850382288604919</v>
      </c>
      <c r="AX46" s="19">
        <v>0.99606556186427042</v>
      </c>
      <c r="AY46" s="19">
        <v>2.8155785960884998</v>
      </c>
      <c r="AZ46" s="19">
        <v>1.1014297644742044</v>
      </c>
      <c r="BA46" s="19">
        <v>4.7826659810866801</v>
      </c>
      <c r="BB46" s="19">
        <v>3.6033215660911111</v>
      </c>
      <c r="BC46" s="19">
        <v>6.8480494005994217</v>
      </c>
      <c r="BD46" s="19">
        <v>-5.3704472413656248</v>
      </c>
      <c r="BE46" s="19">
        <v>7.6204117629293364</v>
      </c>
      <c r="BF46" s="19">
        <v>10.760213131708156</v>
      </c>
      <c r="BG46" s="19">
        <v>9.3719999420114846</v>
      </c>
      <c r="BH46" s="19">
        <v>7.1940906454067317</v>
      </c>
      <c r="BI46" s="19">
        <v>7.1792078239247843</v>
      </c>
      <c r="BJ46" s="19">
        <v>7.3596380882169541</v>
      </c>
      <c r="BK46" s="19">
        <v>6.890284319672844</v>
      </c>
      <c r="BL46" s="19">
        <v>6.2317095130508307</v>
      </c>
      <c r="BM46" s="19">
        <v>1.9788211830440474</v>
      </c>
      <c r="BN46" s="19">
        <v>7.037959999973026</v>
      </c>
    </row>
    <row r="47" spans="1:66" x14ac:dyDescent="0.2">
      <c r="A47" s="19" t="s">
        <v>571</v>
      </c>
      <c r="B47" s="19" t="s">
        <v>906</v>
      </c>
      <c r="C47" s="19" t="s">
        <v>863</v>
      </c>
      <c r="D47" s="19" t="s">
        <v>864</v>
      </c>
      <c r="F47" s="19">
        <v>1.1836808110119819</v>
      </c>
      <c r="G47" s="19">
        <v>3.0415590507930119</v>
      </c>
      <c r="H47" s="19">
        <v>3.7425503207407331</v>
      </c>
      <c r="I47" s="19">
        <v>3.5471596949035131</v>
      </c>
      <c r="J47" s="19">
        <v>2.0260537150390974</v>
      </c>
      <c r="K47" s="19">
        <v>4.6149556190486152</v>
      </c>
      <c r="L47" s="19">
        <v>-10.912065588777281</v>
      </c>
      <c r="M47" s="19">
        <v>6.3463238537670179</v>
      </c>
      <c r="N47" s="19">
        <v>4.9014795242806599</v>
      </c>
      <c r="O47" s="19">
        <v>3.0920682338691421</v>
      </c>
      <c r="P47" s="19">
        <v>3.4797078166552495</v>
      </c>
      <c r="Q47" s="19">
        <v>2.6738432931829266</v>
      </c>
      <c r="R47" s="19">
        <v>5.3556807791024283</v>
      </c>
      <c r="S47" s="19">
        <v>10.734262258031649</v>
      </c>
      <c r="T47" s="19">
        <v>11.245058775847113</v>
      </c>
      <c r="U47" s="19">
        <v>-5.4951383974418633</v>
      </c>
      <c r="V47" s="19">
        <v>13.739871523055143</v>
      </c>
      <c r="W47" s="19">
        <v>22.003004922966412</v>
      </c>
      <c r="X47" s="19">
        <v>6.0351187734680565</v>
      </c>
      <c r="Y47" s="19">
        <v>-1.965291668045495</v>
      </c>
      <c r="Z47" s="19">
        <v>17.082682248765153</v>
      </c>
      <c r="AA47" s="19">
        <v>7.5162026051388153</v>
      </c>
      <c r="AB47" s="19">
        <v>6.8668305654759223</v>
      </c>
      <c r="AC47" s="19">
        <v>7.4745725436230259</v>
      </c>
      <c r="AD47" s="19">
        <v>8.0631616712589107</v>
      </c>
      <c r="AE47" s="19">
        <v>6.7716630839766339</v>
      </c>
      <c r="AF47" s="19">
        <v>-2.1466502153600686</v>
      </c>
      <c r="AG47" s="19">
        <v>-7.8236319749102137</v>
      </c>
      <c r="AH47" s="19">
        <v>-1.819120511868249</v>
      </c>
      <c r="AI47" s="19">
        <v>-6.1056976460065613</v>
      </c>
      <c r="AJ47" s="19">
        <v>-3.8085993727931822</v>
      </c>
      <c r="AK47" s="19">
        <v>-3.1000032108191391</v>
      </c>
      <c r="AL47" s="19">
        <v>-7.9320665744753569</v>
      </c>
      <c r="AM47" s="19">
        <v>1.8768092258040383</v>
      </c>
      <c r="AN47" s="19">
        <v>2.8940013773969753</v>
      </c>
      <c r="AO47" s="19">
        <v>4.2150721495305845</v>
      </c>
      <c r="AP47" s="19">
        <v>4.5273137662503729</v>
      </c>
      <c r="AQ47" s="19">
        <v>4.7255348480256316</v>
      </c>
      <c r="AR47" s="19">
        <v>4.5113042214073147</v>
      </c>
      <c r="AS47" s="19">
        <v>3.832417795322371</v>
      </c>
      <c r="AT47" s="19">
        <v>4.324261192173168</v>
      </c>
      <c r="AU47" s="19">
        <v>4.4770268289587847</v>
      </c>
      <c r="AV47" s="19">
        <v>5.4531536908052374</v>
      </c>
      <c r="AW47" s="19">
        <v>7.0488628229613823</v>
      </c>
      <c r="AX47" s="19">
        <v>2.2282702060062149</v>
      </c>
      <c r="AY47" s="19">
        <v>3.8095832725785641</v>
      </c>
      <c r="AZ47" s="19">
        <v>4.3275890128891206</v>
      </c>
      <c r="BA47" s="19">
        <v>2.8476778892309653</v>
      </c>
      <c r="BB47" s="19">
        <v>2.5792517753098423</v>
      </c>
      <c r="BC47" s="19">
        <v>2.8990247240231213</v>
      </c>
      <c r="BD47" s="19">
        <v>3.3792112877077045</v>
      </c>
      <c r="BE47" s="19">
        <v>4.6259787194165227</v>
      </c>
      <c r="BF47" s="19">
        <v>4.9955291594721842</v>
      </c>
      <c r="BG47" s="19">
        <v>5.7198181440264477</v>
      </c>
      <c r="BH47" s="19">
        <v>5.6669529910541598</v>
      </c>
      <c r="BI47" s="19">
        <v>4.5357942356973382</v>
      </c>
      <c r="BJ47" s="19">
        <v>3.5411765492600722</v>
      </c>
      <c r="BK47" s="19">
        <v>3.9555142403663979</v>
      </c>
      <c r="BL47" s="19">
        <v>3.475059978656077</v>
      </c>
      <c r="BM47" s="19">
        <v>0.25993291591177581</v>
      </c>
      <c r="BN47" s="19">
        <v>3.6499168864890521</v>
      </c>
    </row>
    <row r="48" spans="1:66" x14ac:dyDescent="0.2">
      <c r="A48" s="19" t="s">
        <v>572</v>
      </c>
      <c r="B48" s="19" t="s">
        <v>907</v>
      </c>
      <c r="C48" s="19" t="s">
        <v>863</v>
      </c>
      <c r="D48" s="19" t="s">
        <v>864</v>
      </c>
      <c r="F48" s="19">
        <v>-10.851376083633653</v>
      </c>
      <c r="G48" s="19">
        <v>21.200697514813299</v>
      </c>
      <c r="H48" s="19">
        <v>5.2139901343490038</v>
      </c>
      <c r="I48" s="19">
        <v>-2.4402235644914896</v>
      </c>
      <c r="J48" s="19">
        <v>0.99734879352743633</v>
      </c>
      <c r="K48" s="19">
        <v>6.7754853017218579</v>
      </c>
      <c r="L48" s="19">
        <v>-0.9857386614879573</v>
      </c>
      <c r="M48" s="19">
        <v>4.3326984640191739</v>
      </c>
      <c r="N48" s="19">
        <v>9.3288374385547996</v>
      </c>
      <c r="O48" s="19">
        <v>-0.24505657508628076</v>
      </c>
      <c r="P48" s="19">
        <v>6.0050180673755733</v>
      </c>
      <c r="Q48" s="19">
        <v>0.15113551378904333</v>
      </c>
      <c r="R48" s="19">
        <v>8.1372758874018558</v>
      </c>
      <c r="S48" s="19">
        <v>3.1305858792362073</v>
      </c>
      <c r="T48" s="19">
        <v>-4.9816310052538881</v>
      </c>
      <c r="U48" s="19">
        <v>-5.3090020809714105</v>
      </c>
      <c r="V48" s="19">
        <v>0.76079360155081588</v>
      </c>
      <c r="W48" s="19">
        <v>-5.3452915275624093</v>
      </c>
      <c r="X48" s="19">
        <v>0.43008826209265294</v>
      </c>
      <c r="Y48" s="19">
        <v>2.1949129236772791</v>
      </c>
      <c r="Z48" s="19">
        <v>2.3505240748609992</v>
      </c>
      <c r="AA48" s="19">
        <v>-0.45767760896157483</v>
      </c>
      <c r="AB48" s="19">
        <v>1.4117036882630174</v>
      </c>
      <c r="AC48" s="19">
        <v>5.5410740219699477</v>
      </c>
      <c r="AD48" s="19">
        <v>0.46785095094605822</v>
      </c>
      <c r="AE48" s="19">
        <v>4.7172096534085171</v>
      </c>
      <c r="AF48" s="19">
        <v>2.67564245126934</v>
      </c>
      <c r="AG48" s="19">
        <v>0.47038133674870153</v>
      </c>
      <c r="AH48" s="19">
        <v>-1.2660506356095453</v>
      </c>
      <c r="AI48" s="19">
        <v>-6.568310694642463</v>
      </c>
      <c r="AJ48" s="19">
        <v>-8.4210514991337675</v>
      </c>
      <c r="AK48" s="19">
        <v>-10.500008564647729</v>
      </c>
      <c r="AL48" s="19">
        <v>-13.469050538127945</v>
      </c>
      <c r="AM48" s="19">
        <v>-3.8999968031238694</v>
      </c>
      <c r="AN48" s="19">
        <v>0.69999882979439576</v>
      </c>
      <c r="AO48" s="19">
        <v>-1.0231726419992242</v>
      </c>
      <c r="AP48" s="19">
        <v>-5.6170465987008811</v>
      </c>
      <c r="AQ48" s="19">
        <v>-1.6241540447898899</v>
      </c>
      <c r="AR48" s="19">
        <v>-4.270140831133503</v>
      </c>
      <c r="AS48" s="19">
        <v>-6.9109273165210112</v>
      </c>
      <c r="AT48" s="19">
        <v>-2.1001730248884627</v>
      </c>
      <c r="AU48" s="19">
        <v>2.9477651835976673</v>
      </c>
      <c r="AV48" s="19">
        <v>5.5778223114442369</v>
      </c>
      <c r="AW48" s="19">
        <v>6.73837393324294</v>
      </c>
      <c r="AX48" s="19">
        <v>6.1351511554897229</v>
      </c>
      <c r="AY48" s="19">
        <v>5.3209795654899779</v>
      </c>
      <c r="AZ48" s="19">
        <v>6.259477764373969</v>
      </c>
      <c r="BA48" s="19">
        <v>6.2258942686919312</v>
      </c>
      <c r="BB48" s="19">
        <v>2.8550640101148446</v>
      </c>
      <c r="BC48" s="19">
        <v>7.1079765758139217</v>
      </c>
      <c r="BD48" s="19">
        <v>6.8746708900163043</v>
      </c>
      <c r="BE48" s="19">
        <v>7.0868989467194154</v>
      </c>
      <c r="BF48" s="19">
        <v>8.4819566360875456</v>
      </c>
      <c r="BG48" s="19">
        <v>9.4702880971408376</v>
      </c>
      <c r="BH48" s="19">
        <v>6.9161671203534496</v>
      </c>
      <c r="BI48" s="19">
        <v>2.3993989141368672</v>
      </c>
      <c r="BJ48" s="19">
        <v>3.7269476533326724</v>
      </c>
      <c r="BK48" s="19">
        <v>5.8211210998933893</v>
      </c>
      <c r="BL48" s="19">
        <v>4.3845288810388183</v>
      </c>
      <c r="BM48" s="19">
        <v>1.7354227636006954</v>
      </c>
      <c r="BN48" s="19">
        <v>6.2001540107594622</v>
      </c>
    </row>
    <row r="49" spans="1:66" x14ac:dyDescent="0.2">
      <c r="A49" s="19" t="s">
        <v>573</v>
      </c>
      <c r="B49" s="19" t="s">
        <v>908</v>
      </c>
      <c r="C49" s="19" t="s">
        <v>863</v>
      </c>
      <c r="D49" s="19" t="s">
        <v>864</v>
      </c>
      <c r="F49" s="19">
        <v>8.3507267242779903</v>
      </c>
      <c r="G49" s="19">
        <v>5.2023087879742747</v>
      </c>
      <c r="H49" s="19">
        <v>-4.0293003979880382</v>
      </c>
      <c r="I49" s="19">
        <v>3.8167962684232606</v>
      </c>
      <c r="J49" s="19">
        <v>3.6764677364912473</v>
      </c>
      <c r="K49" s="19">
        <v>1.3589824623200428</v>
      </c>
      <c r="L49" s="19">
        <v>2.1162720567140809</v>
      </c>
      <c r="M49" s="19">
        <v>7.6313262387509297</v>
      </c>
      <c r="N49" s="19">
        <v>7.5485251946646486</v>
      </c>
      <c r="O49" s="19">
        <v>6.3584701869665849</v>
      </c>
      <c r="P49" s="19">
        <v>7.7530358530852368</v>
      </c>
      <c r="Q49" s="19">
        <v>8.6175508448411762</v>
      </c>
      <c r="R49" s="19">
        <v>8.231188946412999</v>
      </c>
      <c r="S49" s="19">
        <v>7.8855208111349384</v>
      </c>
      <c r="T49" s="19">
        <v>7.7315968336494052</v>
      </c>
      <c r="U49" s="19">
        <v>0.91628675110368363</v>
      </c>
      <c r="V49" s="19">
        <v>-8.953427980381818</v>
      </c>
      <c r="W49" s="19">
        <v>6.3597470112114962</v>
      </c>
      <c r="X49" s="19">
        <v>9.8132247380940214</v>
      </c>
      <c r="Y49" s="19">
        <v>17.63660548276107</v>
      </c>
      <c r="Z49" s="19">
        <v>17.619722470156745</v>
      </c>
      <c r="AA49" s="19">
        <v>23.597699960149171</v>
      </c>
      <c r="AB49" s="19">
        <v>5.85396283993704</v>
      </c>
      <c r="AC49" s="19">
        <v>6.9761310544813995</v>
      </c>
      <c r="AD49" s="19">
        <v>-1.1856608543253344</v>
      </c>
      <c r="AE49" s="19">
        <v>-6.8615264366519284</v>
      </c>
      <c r="AF49" s="19">
        <v>0.18937664036890567</v>
      </c>
      <c r="AG49" s="19">
        <v>1.7662634284723424</v>
      </c>
      <c r="AH49" s="19">
        <v>2.5998765181449102</v>
      </c>
      <c r="AI49" s="19">
        <v>1.0000035662748701</v>
      </c>
      <c r="AJ49" s="19">
        <v>2.3953674525561581</v>
      </c>
      <c r="AK49" s="19">
        <v>2.6119480553387149</v>
      </c>
      <c r="AL49" s="19">
        <v>-0.97968320874477399</v>
      </c>
      <c r="AM49" s="19">
        <v>-5.4930757454140178</v>
      </c>
      <c r="AN49" s="19">
        <v>3.9853243781107039</v>
      </c>
      <c r="AO49" s="19">
        <v>4.2904815587040162</v>
      </c>
      <c r="AP49" s="19">
        <v>-0.6248121522607164</v>
      </c>
      <c r="AQ49" s="19">
        <v>3.7375527698088433</v>
      </c>
      <c r="AR49" s="19">
        <v>-2.5821993581374301</v>
      </c>
      <c r="AS49" s="19">
        <v>7.575980395264196</v>
      </c>
      <c r="AT49" s="19">
        <v>3.8026018991356096</v>
      </c>
      <c r="AU49" s="19">
        <v>4.5818700610888925</v>
      </c>
      <c r="AV49" s="19">
        <v>0.81326407630378128</v>
      </c>
      <c r="AW49" s="19">
        <v>3.4766316211808856</v>
      </c>
      <c r="AX49" s="19">
        <v>7.7557589780664813</v>
      </c>
      <c r="AY49" s="19">
        <v>7.9862383633429062</v>
      </c>
      <c r="AZ49" s="19">
        <v>-6.6139948044100123</v>
      </c>
      <c r="BA49" s="19">
        <v>6.3063759558525874</v>
      </c>
      <c r="BB49" s="19">
        <v>11.637288861575755</v>
      </c>
      <c r="BC49" s="19">
        <v>9.9312654309557757</v>
      </c>
      <c r="BD49" s="19">
        <v>2.2059193628671778</v>
      </c>
      <c r="BE49" s="19">
        <v>9.9471531425756439</v>
      </c>
      <c r="BF49" s="19">
        <v>-0.71243445187644738</v>
      </c>
      <c r="BG49" s="19">
        <v>6.7166793337864732</v>
      </c>
      <c r="BH49" s="19">
        <v>-3.5505817654546803</v>
      </c>
      <c r="BI49" s="19">
        <v>-10.783238268922517</v>
      </c>
      <c r="BJ49" s="19">
        <v>-4.3825309462923343</v>
      </c>
      <c r="BK49" s="19">
        <v>-4.8053515575686561</v>
      </c>
      <c r="BL49" s="19">
        <v>-8.688595788774478E-2</v>
      </c>
      <c r="BM49" s="19">
        <v>-6.2393196319758317</v>
      </c>
      <c r="BN49" s="19">
        <v>-2.2000026063827391</v>
      </c>
    </row>
    <row r="50" spans="1:66" x14ac:dyDescent="0.2">
      <c r="A50" s="19" t="s">
        <v>574</v>
      </c>
      <c r="B50" s="19" t="s">
        <v>909</v>
      </c>
      <c r="C50" s="19" t="s">
        <v>863</v>
      </c>
      <c r="D50" s="19" t="s">
        <v>864</v>
      </c>
      <c r="F50" s="19">
        <v>5.0892169843910722</v>
      </c>
      <c r="G50" s="19">
        <v>5.4118896134204704</v>
      </c>
      <c r="H50" s="19">
        <v>3.2867075540710147</v>
      </c>
      <c r="I50" s="19">
        <v>6.1669413235072312</v>
      </c>
      <c r="J50" s="19">
        <v>3.600011389837718</v>
      </c>
      <c r="K50" s="19">
        <v>5.2367358622945233</v>
      </c>
      <c r="L50" s="19">
        <v>4.1348641657985752</v>
      </c>
      <c r="M50" s="19">
        <v>5.9331179987828904</v>
      </c>
      <c r="N50" s="19">
        <v>6.1025173087333258</v>
      </c>
      <c r="O50" s="19">
        <v>6.2077969612769834</v>
      </c>
      <c r="P50" s="19">
        <v>5.960727946290703</v>
      </c>
      <c r="Q50" s="19">
        <v>7.6691475444009711</v>
      </c>
      <c r="R50" s="19">
        <v>6.7229549691913348</v>
      </c>
      <c r="S50" s="19">
        <v>5.7457571891214059</v>
      </c>
      <c r="T50" s="19">
        <v>2.3232552811579552</v>
      </c>
      <c r="U50" s="19">
        <v>4.7283687345395009</v>
      </c>
      <c r="V50" s="19">
        <v>4.158505453464187</v>
      </c>
      <c r="W50" s="19">
        <v>8.4699008376688028</v>
      </c>
      <c r="X50" s="19">
        <v>5.379118988202066</v>
      </c>
      <c r="Y50" s="19">
        <v>4.0873536755076714</v>
      </c>
      <c r="Z50" s="19">
        <v>2.2768727451217785</v>
      </c>
      <c r="AA50" s="19">
        <v>0.94842078660451534</v>
      </c>
      <c r="AB50" s="19">
        <v>1.57395603843689</v>
      </c>
      <c r="AC50" s="19">
        <v>3.3506837394070601</v>
      </c>
      <c r="AD50" s="19">
        <v>3.1071061957295996</v>
      </c>
      <c r="AE50" s="19">
        <v>5.8240761374586612</v>
      </c>
      <c r="AF50" s="19">
        <v>5.3689321482132328</v>
      </c>
      <c r="AG50" s="19">
        <v>4.0641732449037562</v>
      </c>
      <c r="AH50" s="19">
        <v>3.4140961096659623</v>
      </c>
      <c r="AI50" s="19">
        <v>4.281998330530584</v>
      </c>
      <c r="AJ50" s="19">
        <v>2.0016075968919154</v>
      </c>
      <c r="AK50" s="19">
        <v>4.0449294377407767</v>
      </c>
      <c r="AL50" s="19">
        <v>5.385409938567733</v>
      </c>
      <c r="AM50" s="19">
        <v>5.8146619078781328</v>
      </c>
      <c r="AN50" s="19">
        <v>5.2024375925091988</v>
      </c>
      <c r="AO50" s="19">
        <v>2.0558547121738684</v>
      </c>
      <c r="AP50" s="19">
        <v>3.4302936782762288</v>
      </c>
      <c r="AQ50" s="19">
        <v>0.5697840898662605</v>
      </c>
      <c r="AR50" s="19">
        <v>-4.2040152436992742</v>
      </c>
      <c r="AS50" s="19">
        <v>2.9248614831459179</v>
      </c>
      <c r="AT50" s="19">
        <v>1.6778983076995502</v>
      </c>
      <c r="AU50" s="19">
        <v>2.5039804655068565</v>
      </c>
      <c r="AV50" s="19">
        <v>3.918271903598324</v>
      </c>
      <c r="AW50" s="19">
        <v>5.3330220674523616</v>
      </c>
      <c r="AX50" s="19">
        <v>4.8287611079508537</v>
      </c>
      <c r="AY50" s="19">
        <v>6.7168686984440171</v>
      </c>
      <c r="AZ50" s="19">
        <v>6.7381946909097508</v>
      </c>
      <c r="BA50" s="19">
        <v>3.2834461861654063</v>
      </c>
      <c r="BB50" s="19">
        <v>1.1396486454806194</v>
      </c>
      <c r="BC50" s="19">
        <v>4.4946589707092244</v>
      </c>
      <c r="BD50" s="19">
        <v>6.9478919817355518</v>
      </c>
      <c r="BE50" s="19">
        <v>3.9126357671611487</v>
      </c>
      <c r="BF50" s="19">
        <v>5.1339935199567179</v>
      </c>
      <c r="BG50" s="19">
        <v>4.4990300011097162</v>
      </c>
      <c r="BH50" s="19">
        <v>2.9559013752752321</v>
      </c>
      <c r="BI50" s="19">
        <v>2.0873825016279426</v>
      </c>
      <c r="BJ50" s="19">
        <v>1.3593608678874602</v>
      </c>
      <c r="BK50" s="19">
        <v>2.5643242827770365</v>
      </c>
      <c r="BL50" s="19">
        <v>3.1868553924553282</v>
      </c>
      <c r="BM50" s="19">
        <v>-7.0481512078654305</v>
      </c>
      <c r="BN50" s="19">
        <v>10.677013073826117</v>
      </c>
    </row>
    <row r="51" spans="1:66" x14ac:dyDescent="0.2">
      <c r="A51" s="19" t="s">
        <v>575</v>
      </c>
      <c r="B51" s="19" t="s">
        <v>910</v>
      </c>
      <c r="C51" s="19" t="s">
        <v>863</v>
      </c>
      <c r="D51" s="19" t="s">
        <v>864</v>
      </c>
      <c r="Z51" s="19">
        <v>3.8649289569117542</v>
      </c>
      <c r="AA51" s="19">
        <v>6.3833170098831005</v>
      </c>
      <c r="AB51" s="19">
        <v>4.8214018831265832</v>
      </c>
      <c r="AC51" s="19">
        <v>4.1102999885935816</v>
      </c>
      <c r="AD51" s="19">
        <v>2.2799607772245025</v>
      </c>
      <c r="AE51" s="19">
        <v>1.8676121665265129</v>
      </c>
      <c r="AF51" s="19">
        <v>1.6377841805295503</v>
      </c>
      <c r="AG51" s="19">
        <v>2.6873794041725461</v>
      </c>
      <c r="AH51" s="19">
        <v>-3.1802565161758451</v>
      </c>
      <c r="AI51" s="19">
        <v>5.0912364133969561</v>
      </c>
      <c r="AJ51" s="19">
        <v>-5.3956371486003434</v>
      </c>
      <c r="AK51" s="19">
        <v>8.530981787732884</v>
      </c>
      <c r="AL51" s="19">
        <v>3.0060613074486042</v>
      </c>
      <c r="AM51" s="19">
        <v>-5.2767829974486773</v>
      </c>
      <c r="AN51" s="19">
        <v>3.6102064316531681</v>
      </c>
      <c r="AO51" s="19">
        <v>-1.2916889262001092</v>
      </c>
      <c r="AP51" s="19">
        <v>4.0301536677297918</v>
      </c>
      <c r="AQ51" s="19">
        <v>1.2825157933853575</v>
      </c>
      <c r="AR51" s="19">
        <v>1.9244087121229541</v>
      </c>
      <c r="AS51" s="19">
        <v>10.847878616072038</v>
      </c>
      <c r="AT51" s="19">
        <v>2.332907101828738</v>
      </c>
      <c r="AU51" s="19">
        <v>2.3249448613997998</v>
      </c>
      <c r="AV51" s="19">
        <v>2.1038716355304956</v>
      </c>
      <c r="AW51" s="19">
        <v>1.9196598071227839</v>
      </c>
      <c r="AX51" s="19">
        <v>2.8375478698833234</v>
      </c>
      <c r="AY51" s="19">
        <v>2.6469554759411977</v>
      </c>
      <c r="AZ51" s="19">
        <v>0.80004234895538673</v>
      </c>
      <c r="BA51" s="19">
        <v>3.9646111887181519</v>
      </c>
      <c r="BB51" s="19">
        <v>3.2407407282682925</v>
      </c>
      <c r="BC51" s="19">
        <v>3.7777667498225469</v>
      </c>
      <c r="BD51" s="19">
        <v>4.1435066947590968</v>
      </c>
      <c r="BE51" s="19">
        <v>3.1684098690874833</v>
      </c>
      <c r="BF51" s="19">
        <v>4.4662473147817963</v>
      </c>
      <c r="BG51" s="19">
        <v>2.1066575894247421</v>
      </c>
      <c r="BH51" s="19">
        <v>1.1473507610891431</v>
      </c>
      <c r="BI51" s="19">
        <v>3.3204465624002637</v>
      </c>
      <c r="BJ51" s="19">
        <v>3.8157628768240102</v>
      </c>
      <c r="BK51" s="19">
        <v>3.6424511379731968</v>
      </c>
      <c r="BL51" s="19">
        <v>1.7607802392317637</v>
      </c>
      <c r="BM51" s="19">
        <v>-0.19555682714978673</v>
      </c>
      <c r="BN51" s="19">
        <v>2.1121955769552727</v>
      </c>
    </row>
    <row r="52" spans="1:66" x14ac:dyDescent="0.2">
      <c r="A52" s="19" t="s">
        <v>576</v>
      </c>
      <c r="B52" s="19" t="s">
        <v>911</v>
      </c>
      <c r="C52" s="19" t="s">
        <v>863</v>
      </c>
      <c r="D52" s="19" t="s">
        <v>864</v>
      </c>
      <c r="Z52" s="19">
        <v>8.4515624118241846</v>
      </c>
      <c r="AA52" s="19">
        <v>2.8250300827656503</v>
      </c>
      <c r="AB52" s="19">
        <v>9.5207497525743321</v>
      </c>
      <c r="AC52" s="19">
        <v>3.7832706814032662</v>
      </c>
      <c r="AD52" s="19">
        <v>8.6420866167091077</v>
      </c>
      <c r="AE52" s="19">
        <v>2.8714554245116801</v>
      </c>
      <c r="AF52" s="19">
        <v>4.3090637286519637</v>
      </c>
      <c r="AG52" s="19">
        <v>5.996854915465704</v>
      </c>
      <c r="AH52" s="19">
        <v>5.697949366596049</v>
      </c>
      <c r="AI52" s="19">
        <v>0.69217187434121286</v>
      </c>
      <c r="AJ52" s="19">
        <v>1.404146852470916</v>
      </c>
      <c r="AK52" s="19">
        <v>10.937647242874888</v>
      </c>
      <c r="AL52" s="19">
        <v>8.7083113763189175</v>
      </c>
      <c r="AM52" s="19">
        <v>19.182641817247955</v>
      </c>
      <c r="AN52" s="19">
        <v>14.211636258635238</v>
      </c>
      <c r="AO52" s="19">
        <v>11.346524728534632</v>
      </c>
      <c r="AP52" s="19">
        <v>11.11842603571327</v>
      </c>
      <c r="AQ52" s="19">
        <v>12.517285667710524</v>
      </c>
      <c r="AR52" s="19">
        <v>11.222648532162054</v>
      </c>
      <c r="AS52" s="19">
        <v>14.284868832122498</v>
      </c>
      <c r="AT52" s="19">
        <v>2.2316544928495858</v>
      </c>
      <c r="AU52" s="19">
        <v>5.2508912461355095</v>
      </c>
      <c r="AV52" s="19">
        <v>4.1762593017521112</v>
      </c>
      <c r="AW52" s="19">
        <v>10.197072609143291</v>
      </c>
      <c r="AX52" s="19">
        <v>6.9124579881182342</v>
      </c>
      <c r="AY52" s="19">
        <v>7.9837504470454519</v>
      </c>
      <c r="AZ52" s="19">
        <v>15.170687968540037</v>
      </c>
      <c r="BA52" s="19">
        <v>6.6505205225970059</v>
      </c>
      <c r="BB52" s="19">
        <v>-1.2704259675684142</v>
      </c>
      <c r="BC52" s="19">
        <v>1.4667900970693779</v>
      </c>
      <c r="BD52" s="19">
        <v>3.9688863447198628</v>
      </c>
      <c r="BE52" s="19">
        <v>1.0819182787712691</v>
      </c>
      <c r="BF52" s="19">
        <v>0.80279760057422322</v>
      </c>
      <c r="BG52" s="19">
        <v>0.61121266620787651</v>
      </c>
      <c r="BH52" s="19">
        <v>1.0068637068455928</v>
      </c>
      <c r="BI52" s="19">
        <v>4.7057915092711795</v>
      </c>
      <c r="BJ52" s="19">
        <v>3.702039187765422</v>
      </c>
      <c r="BK52" s="19">
        <v>4.5311616843488878</v>
      </c>
      <c r="BL52" s="19">
        <v>5.6677524603430385</v>
      </c>
      <c r="BM52" s="19">
        <v>-14.783405010114507</v>
      </c>
      <c r="BN52" s="19">
        <v>6.9524486938369989</v>
      </c>
    </row>
    <row r="53" spans="1:66" x14ac:dyDescent="0.2">
      <c r="A53" s="19" t="s">
        <v>577</v>
      </c>
      <c r="B53" s="19" t="s">
        <v>912</v>
      </c>
      <c r="C53" s="19" t="s">
        <v>863</v>
      </c>
      <c r="D53" s="19" t="s">
        <v>864</v>
      </c>
      <c r="F53" s="19">
        <v>1.8792765563641041</v>
      </c>
      <c r="G53" s="19">
        <v>5.4423913752823694</v>
      </c>
      <c r="H53" s="19">
        <v>6.8989234420091776</v>
      </c>
      <c r="I53" s="19">
        <v>3.6590483141401506</v>
      </c>
      <c r="J53" s="19">
        <v>8.1905275942480955</v>
      </c>
      <c r="K53" s="19">
        <v>6.9693190309674264</v>
      </c>
      <c r="L53" s="19">
        <v>5.6501259203840704</v>
      </c>
      <c r="M53" s="19">
        <v>8.4733043469946239</v>
      </c>
      <c r="N53" s="19">
        <v>5.4917999425584014</v>
      </c>
      <c r="O53" s="19">
        <v>7.5031343433506379</v>
      </c>
      <c r="P53" s="19">
        <v>6.7785054264219298</v>
      </c>
      <c r="Q53" s="19">
        <v>8.1780451335151838</v>
      </c>
      <c r="R53" s="19">
        <v>7.7089158119124619</v>
      </c>
      <c r="S53" s="19">
        <v>5.5448999909711176</v>
      </c>
      <c r="T53" s="19">
        <v>2.1000710494849244</v>
      </c>
      <c r="U53" s="19">
        <v>5.5175644029558839</v>
      </c>
      <c r="V53" s="19">
        <v>8.9044744315517335</v>
      </c>
      <c r="W53" s="19">
        <v>6.2676868244255957</v>
      </c>
      <c r="X53" s="19">
        <v>4.9391239549831312</v>
      </c>
      <c r="Y53" s="19">
        <v>0.75189540332631566</v>
      </c>
      <c r="Z53" s="19">
        <v>-2.261655507296652</v>
      </c>
      <c r="AA53" s="19">
        <v>-7.2855688466617892</v>
      </c>
      <c r="AB53" s="19">
        <v>2.8629927023946351</v>
      </c>
      <c r="AC53" s="19">
        <v>8.0241079073032608</v>
      </c>
      <c r="AD53" s="19">
        <v>0.72160172926830057</v>
      </c>
      <c r="AE53" s="19">
        <v>5.5362508431568926</v>
      </c>
      <c r="AF53" s="19">
        <v>4.7645332796949731</v>
      </c>
      <c r="AG53" s="19">
        <v>3.43214737968853</v>
      </c>
      <c r="AH53" s="19">
        <v>5.6659755487129928</v>
      </c>
      <c r="AI53" s="19">
        <v>3.5530633657228492</v>
      </c>
      <c r="AJ53" s="19">
        <v>2.2656549885171415</v>
      </c>
      <c r="AK53" s="19">
        <v>9.201103732325393</v>
      </c>
      <c r="AL53" s="19">
        <v>7.0971912399475627</v>
      </c>
      <c r="AM53" s="19">
        <v>4.5190283768461654</v>
      </c>
      <c r="AN53" s="19">
        <v>4.1539530430527662</v>
      </c>
      <c r="AO53" s="19">
        <v>1.3504595390388516</v>
      </c>
      <c r="AP53" s="19">
        <v>5.4761657740552465</v>
      </c>
      <c r="AQ53" s="19">
        <v>7.1553085770289471</v>
      </c>
      <c r="AR53" s="19">
        <v>4.2148111696470636</v>
      </c>
      <c r="AS53" s="19">
        <v>3.8687180881864265</v>
      </c>
      <c r="AT53" s="19">
        <v>3.4911698727210165</v>
      </c>
      <c r="AU53" s="19">
        <v>3.4168763900338348</v>
      </c>
      <c r="AV53" s="19">
        <v>4.3171798661136904</v>
      </c>
      <c r="AW53" s="19">
        <v>4.4245995972421781</v>
      </c>
      <c r="AX53" s="19">
        <v>3.9766663679290843</v>
      </c>
      <c r="AY53" s="19">
        <v>7.3266954321839819</v>
      </c>
      <c r="AZ53" s="19">
        <v>8.2151319835012515</v>
      </c>
      <c r="BA53" s="19">
        <v>4.7381748779670119</v>
      </c>
      <c r="BB53" s="19">
        <v>-0.87345594279989314</v>
      </c>
      <c r="BC53" s="19">
        <v>5.3603434798584146</v>
      </c>
      <c r="BD53" s="19">
        <v>4.4031592397043084</v>
      </c>
      <c r="BE53" s="19">
        <v>4.8825924102573879</v>
      </c>
      <c r="BF53" s="19">
        <v>2.4947661120995406</v>
      </c>
      <c r="BG53" s="19">
        <v>3.5421098776597688</v>
      </c>
      <c r="BH53" s="19">
        <v>3.6520809680288266</v>
      </c>
      <c r="BI53" s="19">
        <v>4.2043232517589928</v>
      </c>
      <c r="BJ53" s="19">
        <v>4.1576989627609038</v>
      </c>
      <c r="BK53" s="19">
        <v>2.6159044043378969</v>
      </c>
      <c r="BL53" s="19">
        <v>2.417511817625126</v>
      </c>
      <c r="BM53" s="19">
        <v>-4.0509081706727557</v>
      </c>
      <c r="BN53" s="19">
        <v>7.5795652990792206</v>
      </c>
    </row>
    <row r="54" spans="1:66" x14ac:dyDescent="0.2">
      <c r="A54" s="19" t="s">
        <v>578</v>
      </c>
      <c r="B54" s="19" t="s">
        <v>913</v>
      </c>
      <c r="C54" s="19" t="s">
        <v>863</v>
      </c>
      <c r="D54" s="19" t="s">
        <v>864</v>
      </c>
      <c r="F54" s="19">
        <v>10.101352839498816</v>
      </c>
      <c r="G54" s="19">
        <v>4.5994373751826032</v>
      </c>
      <c r="H54" s="19">
        <v>3.7796171823868434</v>
      </c>
      <c r="I54" s="19">
        <v>8.7321969659268461</v>
      </c>
      <c r="J54" s="19">
        <v>6.2420056339733065</v>
      </c>
      <c r="K54" s="19">
        <v>7.4835964300850435</v>
      </c>
      <c r="L54" s="19">
        <v>4.4541950027740853</v>
      </c>
      <c r="M54" s="19">
        <v>5.9187340641143464</v>
      </c>
      <c r="N54" s="19">
        <v>5.6011758542787788</v>
      </c>
      <c r="O54" s="19">
        <v>4.4862173573299202</v>
      </c>
      <c r="P54" s="19">
        <v>2.1638971030108536</v>
      </c>
      <c r="Q54" s="19">
        <v>7.2312934196296652</v>
      </c>
      <c r="R54" s="19">
        <v>-0.5894894590991413</v>
      </c>
      <c r="S54" s="19">
        <v>-3.191335629979946</v>
      </c>
      <c r="T54" s="19">
        <v>-1.2221457109736065</v>
      </c>
      <c r="U54" s="19">
        <v>1.2116059054075663</v>
      </c>
      <c r="V54" s="19">
        <v>3.8368784533144691</v>
      </c>
      <c r="W54" s="19">
        <v>5.7714134962826904</v>
      </c>
      <c r="X54" s="19">
        <v>5.1957324065678279</v>
      </c>
      <c r="Y54" s="19">
        <v>2.4715083827323525</v>
      </c>
      <c r="Z54" s="19">
        <v>0.93577599795531796</v>
      </c>
      <c r="AA54" s="19">
        <v>1.0251087858775634</v>
      </c>
      <c r="AB54" s="19">
        <v>-2.3870595881441545</v>
      </c>
      <c r="AC54" s="19">
        <v>1.01575281838997</v>
      </c>
      <c r="AD54" s="19">
        <v>9.3785599145661536E-2</v>
      </c>
      <c r="AE54" s="19">
        <v>1.3526950770555715</v>
      </c>
      <c r="AF54" s="19">
        <v>1.8898408096423651</v>
      </c>
      <c r="AG54" s="19">
        <v>2.2272057248607666</v>
      </c>
      <c r="AH54" s="19">
        <v>4.1951807132948034</v>
      </c>
      <c r="AI54" s="19">
        <v>0.93848614418851639</v>
      </c>
      <c r="AJ54" s="19">
        <v>1.3621474000927236</v>
      </c>
      <c r="AK54" s="19">
        <v>2.2124804529294551</v>
      </c>
      <c r="AL54" s="19">
        <v>2.9480074330391801</v>
      </c>
      <c r="AM54" s="19">
        <v>2.787060541812366</v>
      </c>
      <c r="AN54" s="19">
        <v>2.9100540202388316</v>
      </c>
      <c r="AO54" s="19">
        <v>3.4665736284579509</v>
      </c>
      <c r="AP54" s="19">
        <v>4.0510465215922125</v>
      </c>
      <c r="AQ54" s="19">
        <v>1.1846571678086946</v>
      </c>
      <c r="AR54" s="19">
        <v>5.0711363151533533</v>
      </c>
      <c r="AS54" s="19">
        <v>3.7664301021609958</v>
      </c>
      <c r="AT54" s="19">
        <v>2.0442740667590868</v>
      </c>
      <c r="AU54" s="19">
        <v>3.5849822440283674</v>
      </c>
      <c r="AV54" s="19">
        <v>5.590020097594774</v>
      </c>
      <c r="AW54" s="19">
        <v>3.9335769243301115</v>
      </c>
      <c r="AX54" s="19">
        <v>3.6074284271644359</v>
      </c>
      <c r="AY54" s="19">
        <v>6.7725934579368783</v>
      </c>
      <c r="AZ54" s="19">
        <v>3.3557910001431139</v>
      </c>
      <c r="BA54" s="19">
        <v>1.1925917990356396</v>
      </c>
      <c r="BB54" s="19">
        <v>-3.5382996216923601</v>
      </c>
      <c r="BC54" s="19">
        <v>1.3162389837252562</v>
      </c>
      <c r="BD54" s="19">
        <v>1.0831369596163682</v>
      </c>
      <c r="BE54" s="19">
        <v>3.1830537774237655</v>
      </c>
      <c r="BF54" s="19">
        <v>1.4195280901126921</v>
      </c>
      <c r="BG54" s="19">
        <v>2.1390372547359391</v>
      </c>
      <c r="BH54" s="19">
        <v>0.23042084571723365</v>
      </c>
      <c r="BI54" s="19">
        <v>-1.8845739479208419</v>
      </c>
      <c r="BJ54" s="19">
        <v>-0.4292257014938059</v>
      </c>
      <c r="BK54" s="19">
        <v>1.3252142645394827</v>
      </c>
      <c r="BL54" s="19">
        <v>1.2651045520820219</v>
      </c>
      <c r="BM54" s="19">
        <v>-9.4283713083216867</v>
      </c>
      <c r="BN54" s="19">
        <v>5.3489230424750076</v>
      </c>
    </row>
    <row r="55" spans="1:66" x14ac:dyDescent="0.2">
      <c r="A55" s="19" t="s">
        <v>579</v>
      </c>
      <c r="B55" s="19" t="s">
        <v>914</v>
      </c>
      <c r="C55" s="19" t="s">
        <v>863</v>
      </c>
      <c r="D55" s="19" t="s">
        <v>864</v>
      </c>
      <c r="P55" s="19">
        <v>8.5838590116362923</v>
      </c>
      <c r="Q55" s="19">
        <v>4.8266858431392734</v>
      </c>
      <c r="R55" s="19">
        <v>3.4344885358243715</v>
      </c>
      <c r="S55" s="19">
        <v>0.98449181576086175</v>
      </c>
      <c r="T55" s="19">
        <v>9.4764260691593449</v>
      </c>
      <c r="U55" s="19">
        <v>5.4279604586731978</v>
      </c>
      <c r="V55" s="19">
        <v>8.7095028615293018</v>
      </c>
      <c r="W55" s="19">
        <v>6.5959985633749341</v>
      </c>
      <c r="X55" s="19">
        <v>1.0881833017315472</v>
      </c>
      <c r="Y55" s="19">
        <v>-4.8494429508855461</v>
      </c>
      <c r="Z55" s="19">
        <v>19.688334333744933</v>
      </c>
      <c r="AA55" s="19">
        <v>8.9182349649307184</v>
      </c>
      <c r="AB55" s="19">
        <v>5.4114707238346966</v>
      </c>
      <c r="AC55" s="19">
        <v>7.9297165151338334</v>
      </c>
      <c r="AD55" s="19">
        <v>1.5966745980786641</v>
      </c>
      <c r="AE55" s="19">
        <v>9.5303385646758443E-2</v>
      </c>
      <c r="AF55" s="19">
        <v>-2.4021725377980374</v>
      </c>
      <c r="AG55" s="19">
        <v>3.7055399090553749</v>
      </c>
      <c r="AH55" s="19">
        <v>0.68008323315407893</v>
      </c>
      <c r="AI55" s="19">
        <v>-2.948564945033894</v>
      </c>
      <c r="AJ55" s="19">
        <v>-10.692697108488431</v>
      </c>
      <c r="AK55" s="19">
        <v>-11.580603081269771</v>
      </c>
      <c r="AL55" s="19">
        <v>-14.878180694759465</v>
      </c>
      <c r="AM55" s="19">
        <v>0.71693031041679944</v>
      </c>
      <c r="AN55" s="19">
        <v>2.4572011724368679</v>
      </c>
      <c r="AO55" s="19">
        <v>7.8387496589914889</v>
      </c>
      <c r="AP55" s="19">
        <v>2.7834250417431434</v>
      </c>
      <c r="AQ55" s="19">
        <v>0.15914605232671875</v>
      </c>
      <c r="AR55" s="19">
        <v>6.1887553035225693</v>
      </c>
      <c r="AS55" s="19">
        <v>5.9147601740485953</v>
      </c>
      <c r="AT55" s="19">
        <v>3.1850299044946127</v>
      </c>
      <c r="AU55" s="19">
        <v>1.4248212614128164</v>
      </c>
      <c r="AV55" s="19">
        <v>3.7927402230433387</v>
      </c>
      <c r="AW55" s="19">
        <v>5.7705380702155935</v>
      </c>
      <c r="AX55" s="19">
        <v>11.201656421909362</v>
      </c>
      <c r="AY55" s="19">
        <v>12.065863112995316</v>
      </c>
      <c r="AZ55" s="19">
        <v>7.2621369664794315</v>
      </c>
      <c r="BA55" s="19">
        <v>4.1168280416468122</v>
      </c>
      <c r="BB55" s="19">
        <v>1.4513054307407032</v>
      </c>
      <c r="BC55" s="19">
        <v>2.3903522965072312</v>
      </c>
      <c r="BD55" s="19">
        <v>2.8023008364762632</v>
      </c>
      <c r="BE55" s="19">
        <v>3.0149002889877181</v>
      </c>
      <c r="BF55" s="19">
        <v>2.7476025625721121</v>
      </c>
      <c r="BG55" s="19">
        <v>1.047576631876538</v>
      </c>
      <c r="BH55" s="19">
        <v>4.4381419592212126</v>
      </c>
      <c r="BI55" s="19">
        <v>0.51376146788990695</v>
      </c>
      <c r="BJ55" s="19">
        <v>1.8090543994158566</v>
      </c>
      <c r="BK55" s="19">
        <v>2.2484803930358055</v>
      </c>
      <c r="BL55" s="19">
        <v>-0.1648399824638318</v>
      </c>
      <c r="BM55" s="19">
        <v>-10.948340974161709</v>
      </c>
      <c r="BN55" s="19">
        <v>1.2540928636238107</v>
      </c>
    </row>
    <row r="56" spans="1:66" x14ac:dyDescent="0.2">
      <c r="A56" s="19" t="s">
        <v>580</v>
      </c>
      <c r="B56" s="19" t="s">
        <v>915</v>
      </c>
      <c r="C56" s="19" t="s">
        <v>863</v>
      </c>
      <c r="D56" s="19" t="s">
        <v>864</v>
      </c>
      <c r="AT56" s="19">
        <v>-0.69575370409805259</v>
      </c>
      <c r="AU56" s="19">
        <v>0.39706521676363593</v>
      </c>
      <c r="AV56" s="19">
        <v>0.28818668165175154</v>
      </c>
      <c r="AW56" s="19">
        <v>0.20846107310936191</v>
      </c>
      <c r="AX56" s="19">
        <v>0.67642534520166464</v>
      </c>
      <c r="AY56" s="19">
        <v>1.6359346898703535</v>
      </c>
      <c r="AZ56" s="19">
        <v>2.4699632283678739</v>
      </c>
      <c r="BA56" s="19">
        <v>2.1880430801916759</v>
      </c>
      <c r="BB56" s="19">
        <v>-0.5313082423381843</v>
      </c>
      <c r="BC56" s="19">
        <v>8.2306608813141224E-2</v>
      </c>
      <c r="BD56" s="19">
        <v>0.61260761843809064</v>
      </c>
      <c r="BE56" s="19">
        <v>-6.5889568215155236E-2</v>
      </c>
      <c r="BF56" s="19">
        <v>-0.811686560479842</v>
      </c>
      <c r="BG56" s="19">
        <v>-1.2013617248063326</v>
      </c>
      <c r="BH56" s="19">
        <v>0.290948721002664</v>
      </c>
      <c r="BI56" s="19">
        <v>-0.87300758358472308</v>
      </c>
      <c r="BJ56" s="19">
        <v>-1.7322256749518203</v>
      </c>
      <c r="BK56" s="19">
        <v>-2.1668814797540676</v>
      </c>
      <c r="BL56" s="19">
        <v>-3.3717991810562609</v>
      </c>
      <c r="BM56" s="19">
        <v>-18.438471849394517</v>
      </c>
      <c r="BN56" s="19">
        <v>4.2324046289715653</v>
      </c>
    </row>
    <row r="57" spans="1:66" x14ac:dyDescent="0.2">
      <c r="A57" s="19" t="s">
        <v>581</v>
      </c>
      <c r="B57" s="19" t="s">
        <v>916</v>
      </c>
      <c r="C57" s="19" t="s">
        <v>863</v>
      </c>
      <c r="D57" s="19" t="s">
        <v>864</v>
      </c>
      <c r="AZ57" s="19">
        <v>3.162625226527993</v>
      </c>
      <c r="BA57" s="19">
        <v>-0.35740120109298346</v>
      </c>
      <c r="BB57" s="19">
        <v>-7.2004824466470581</v>
      </c>
      <c r="BC57" s="19">
        <v>-2.7156352621757662</v>
      </c>
      <c r="BD57" s="19">
        <v>1.1690621983910603</v>
      </c>
      <c r="BE57" s="19">
        <v>1.2297536570114858</v>
      </c>
      <c r="BF57" s="19">
        <v>1.2793310199902095</v>
      </c>
      <c r="BG57" s="19">
        <v>2.6545279845127112</v>
      </c>
      <c r="BH57" s="19">
        <v>2.8331222262960978</v>
      </c>
      <c r="BI57" s="19">
        <v>3.2399743389566851</v>
      </c>
      <c r="BJ57" s="19">
        <v>3.1840459233452236</v>
      </c>
      <c r="BK57" s="19">
        <v>4.2672674524964123</v>
      </c>
      <c r="BL57" s="19">
        <v>3.8730758596679351</v>
      </c>
      <c r="BM57" s="19">
        <v>-5.6839756152708247</v>
      </c>
      <c r="BN57" s="19">
        <v>1.8392563584041852</v>
      </c>
    </row>
    <row r="58" spans="1:66" x14ac:dyDescent="0.2">
      <c r="A58" s="19" t="s">
        <v>582</v>
      </c>
      <c r="B58" s="19" t="s">
        <v>917</v>
      </c>
      <c r="C58" s="19" t="s">
        <v>863</v>
      </c>
      <c r="D58" s="19" t="s">
        <v>864</v>
      </c>
      <c r="U58" s="19">
        <v>20.266292187461261</v>
      </c>
      <c r="V58" s="19">
        <v>16.362000949882358</v>
      </c>
      <c r="W58" s="19">
        <v>7.7774033611972726</v>
      </c>
      <c r="X58" s="19">
        <v>9.9055693822456874</v>
      </c>
      <c r="Y58" s="19">
        <v>5.7532447016821067</v>
      </c>
      <c r="Z58" s="19">
        <v>2.5169984409868249</v>
      </c>
      <c r="AA58" s="19">
        <v>6.0217089851666543</v>
      </c>
      <c r="AB58" s="19">
        <v>5.5821817019592288</v>
      </c>
      <c r="AC58" s="19">
        <v>8.7578943828717826</v>
      </c>
      <c r="AD58" s="19">
        <v>4.8825407728628818</v>
      </c>
      <c r="AE58" s="19">
        <v>3.7039502887879365</v>
      </c>
      <c r="AF58" s="19">
        <v>7.0652508132071716</v>
      </c>
      <c r="AG58" s="19">
        <v>8.6467778444110337</v>
      </c>
      <c r="AH58" s="19">
        <v>7.9474255316861502</v>
      </c>
      <c r="AI58" s="19">
        <v>7.4039995065901252</v>
      </c>
      <c r="AJ58" s="19">
        <v>0.73950120204267478</v>
      </c>
      <c r="AK58" s="19">
        <v>9.3999990163170253</v>
      </c>
      <c r="AL58" s="19">
        <v>0.70000048814537763</v>
      </c>
      <c r="AM58" s="19">
        <v>5.8999987009449342</v>
      </c>
      <c r="AN58" s="19">
        <v>8.3624693046656944</v>
      </c>
      <c r="AO58" s="19">
        <v>1.24858157644654</v>
      </c>
      <c r="AP58" s="19">
        <v>2.640894639521747</v>
      </c>
      <c r="AQ58" s="19">
        <v>6.1108467464256648</v>
      </c>
      <c r="AR58" s="19">
        <v>4.9979604224800482</v>
      </c>
      <c r="AS58" s="19">
        <v>5.9653103148855422</v>
      </c>
      <c r="AT58" s="19">
        <v>3.952560540862919</v>
      </c>
      <c r="AU58" s="19">
        <v>3.7229564988305697</v>
      </c>
      <c r="AV58" s="19">
        <v>2.6232861229859026</v>
      </c>
      <c r="AW58" s="19">
        <v>5.0263439257598748</v>
      </c>
      <c r="AX58" s="19">
        <v>4.8530038383566563</v>
      </c>
      <c r="AY58" s="19">
        <v>4.7138286656310555</v>
      </c>
      <c r="AZ58" s="19">
        <v>5.0980684526118409</v>
      </c>
      <c r="BA58" s="19">
        <v>3.6468119905755998</v>
      </c>
      <c r="BB58" s="19">
        <v>-2.0152623590686716</v>
      </c>
      <c r="BC58" s="19">
        <v>2.2835449970291677</v>
      </c>
      <c r="BD58" s="19">
        <v>0.41671276283227598</v>
      </c>
      <c r="BE58" s="19">
        <v>-3.4473814239361928</v>
      </c>
      <c r="BF58" s="19">
        <v>-6.5874822568309384</v>
      </c>
      <c r="BG58" s="19">
        <v>-1.7760619118771075</v>
      </c>
      <c r="BH58" s="19">
        <v>3.4189231878165316</v>
      </c>
      <c r="BI58" s="19">
        <v>6.5735802018595422</v>
      </c>
      <c r="BJ58" s="19">
        <v>5.7334761391347229</v>
      </c>
      <c r="BK58" s="19">
        <v>5.6478582005091482</v>
      </c>
      <c r="BL58" s="19">
        <v>5.5294285494318842</v>
      </c>
      <c r="BM58" s="19">
        <v>-4.3724741857521536</v>
      </c>
      <c r="BN58" s="19">
        <v>6.63892696813528</v>
      </c>
    </row>
    <row r="59" spans="1:66" x14ac:dyDescent="0.2">
      <c r="A59" s="19" t="s">
        <v>583</v>
      </c>
      <c r="B59" s="19" t="s">
        <v>918</v>
      </c>
      <c r="C59" s="19" t="s">
        <v>863</v>
      </c>
      <c r="D59" s="19" t="s">
        <v>864</v>
      </c>
      <c r="AJ59" s="19">
        <v>-11.614942331477565</v>
      </c>
      <c r="AK59" s="19">
        <v>-0.50654236961551646</v>
      </c>
      <c r="AL59" s="19">
        <v>6.1904268763839809E-2</v>
      </c>
      <c r="AM59" s="19">
        <v>2.9093094332032905</v>
      </c>
      <c r="AN59" s="19">
        <v>6.5008135290987212</v>
      </c>
      <c r="AO59" s="19">
        <v>4.2654166454684628</v>
      </c>
      <c r="AP59" s="19">
        <v>-0.51833104336206759</v>
      </c>
      <c r="AQ59" s="19">
        <v>-0.35656659619451148</v>
      </c>
      <c r="AR59" s="19">
        <v>1.3841489434292384</v>
      </c>
      <c r="AS59" s="19">
        <v>4.0010286350294422</v>
      </c>
      <c r="AT59" s="19">
        <v>3.0429765625704164</v>
      </c>
      <c r="AU59" s="19">
        <v>1.5698553282220189</v>
      </c>
      <c r="AV59" s="19">
        <v>3.5836884588041755</v>
      </c>
      <c r="AW59" s="19">
        <v>4.8142610012695854</v>
      </c>
      <c r="AX59" s="19">
        <v>6.6016175298895092</v>
      </c>
      <c r="AY59" s="19">
        <v>6.7669326812542749</v>
      </c>
      <c r="AZ59" s="19">
        <v>5.5703388592102527</v>
      </c>
      <c r="BA59" s="19">
        <v>2.6864119509276208</v>
      </c>
      <c r="BB59" s="19">
        <v>-4.6573310917175519</v>
      </c>
      <c r="BC59" s="19">
        <v>2.4349021590451798</v>
      </c>
      <c r="BD59" s="19">
        <v>1.7603596244522208</v>
      </c>
      <c r="BE59" s="19">
        <v>-0.78500429900361723</v>
      </c>
      <c r="BF59" s="19">
        <v>-4.5903673551521251E-2</v>
      </c>
      <c r="BG59" s="19">
        <v>2.2621028970807799</v>
      </c>
      <c r="BH59" s="19">
        <v>5.3883808381530685</v>
      </c>
      <c r="BI59" s="19">
        <v>2.5372845203138041</v>
      </c>
      <c r="BJ59" s="19">
        <v>5.1687243041307056</v>
      </c>
      <c r="BK59" s="19">
        <v>3.2200880695510534</v>
      </c>
      <c r="BL59" s="19">
        <v>3.0298786634527914</v>
      </c>
      <c r="BM59" s="19">
        <v>-5.5029679612508886</v>
      </c>
      <c r="BN59" s="19">
        <v>3.5442234426629398</v>
      </c>
    </row>
    <row r="60" spans="1:66" x14ac:dyDescent="0.2">
      <c r="A60" s="19" t="s">
        <v>584</v>
      </c>
      <c r="B60" s="19" t="s">
        <v>919</v>
      </c>
      <c r="C60" s="19" t="s">
        <v>863</v>
      </c>
      <c r="D60" s="19" t="s">
        <v>864</v>
      </c>
      <c r="P60" s="19">
        <v>3.1326997381124784</v>
      </c>
      <c r="Q60" s="19">
        <v>4.3003413342023151</v>
      </c>
      <c r="R60" s="19">
        <v>4.7774868921738545</v>
      </c>
      <c r="S60" s="19">
        <v>0.89006874058721053</v>
      </c>
      <c r="T60" s="19">
        <v>-0.86673889422772277</v>
      </c>
      <c r="U60" s="19">
        <v>4.9492583766545692</v>
      </c>
      <c r="V60" s="19">
        <v>3.3472181200167199</v>
      </c>
      <c r="W60" s="19">
        <v>3.0084928567384566</v>
      </c>
      <c r="X60" s="19">
        <v>4.1503633406673686</v>
      </c>
      <c r="Y60" s="19">
        <v>1.4088286357214486</v>
      </c>
      <c r="Z60" s="19">
        <v>0.52924055653606672</v>
      </c>
      <c r="AA60" s="19">
        <v>-0.39484077479596635</v>
      </c>
      <c r="AB60" s="19">
        <v>1.572410169521163</v>
      </c>
      <c r="AC60" s="19">
        <v>2.8229478099795529</v>
      </c>
      <c r="AD60" s="19">
        <v>2.3279352622636651</v>
      </c>
      <c r="AE60" s="19">
        <v>2.2873392212703578</v>
      </c>
      <c r="AF60" s="19">
        <v>1.402151627420551</v>
      </c>
      <c r="AG60" s="19">
        <v>3.7072356594959075</v>
      </c>
      <c r="AH60" s="19">
        <v>3.8965516921444703</v>
      </c>
      <c r="AI60" s="19">
        <v>5.2550060827801133</v>
      </c>
      <c r="AJ60" s="19">
        <v>5.1082615219021363</v>
      </c>
      <c r="AK60" s="19">
        <v>1.923076559053996</v>
      </c>
      <c r="AL60" s="19">
        <v>-0.97684981816051675</v>
      </c>
      <c r="AM60" s="19">
        <v>2.3918920705133075</v>
      </c>
      <c r="AN60" s="19">
        <v>1.5441464955644477</v>
      </c>
      <c r="AO60" s="19">
        <v>0.80582289149000985</v>
      </c>
      <c r="AP60" s="19">
        <v>1.7921608209459094</v>
      </c>
      <c r="AQ60" s="19">
        <v>2.013932785193262</v>
      </c>
      <c r="AR60" s="19">
        <v>1.8872611539944444</v>
      </c>
      <c r="AS60" s="19">
        <v>2.9125029636670803</v>
      </c>
      <c r="AT60" s="19">
        <v>1.6814684809707927</v>
      </c>
      <c r="AU60" s="19">
        <v>-0.19797383477136066</v>
      </c>
      <c r="AV60" s="19">
        <v>-0.70011668611435596</v>
      </c>
      <c r="AW60" s="19">
        <v>1.1750881316098685</v>
      </c>
      <c r="AX60" s="19">
        <v>0.73170716355419074</v>
      </c>
      <c r="AY60" s="19">
        <v>3.8164419129879974</v>
      </c>
      <c r="AZ60" s="19">
        <v>2.9764551313159728</v>
      </c>
      <c r="BA60" s="19">
        <v>0.95987913356484</v>
      </c>
      <c r="BB60" s="19">
        <v>-5.6938363364028532</v>
      </c>
      <c r="BC60" s="19">
        <v>4.1798824987365748</v>
      </c>
      <c r="BD60" s="19">
        <v>3.9251927046341137</v>
      </c>
      <c r="BE60" s="19">
        <v>0.41849759421759813</v>
      </c>
      <c r="BF60" s="19">
        <v>0.43759130314467143</v>
      </c>
      <c r="BG60" s="19">
        <v>2.2095434313487203</v>
      </c>
      <c r="BH60" s="19">
        <v>1.4919315276077185</v>
      </c>
      <c r="BI60" s="19">
        <v>2.2299998678201547</v>
      </c>
      <c r="BJ60" s="19">
        <v>2.6802311140589126</v>
      </c>
      <c r="BK60" s="19">
        <v>0.98123260600473827</v>
      </c>
      <c r="BL60" s="19">
        <v>1.0566038982828871</v>
      </c>
      <c r="BM60" s="19">
        <v>-3.6967887053804276</v>
      </c>
      <c r="BN60" s="19">
        <v>2.6269872667252372</v>
      </c>
    </row>
    <row r="61" spans="1:66" x14ac:dyDescent="0.2">
      <c r="A61" s="19" t="s">
        <v>585</v>
      </c>
      <c r="B61" s="19" t="s">
        <v>920</v>
      </c>
      <c r="C61" s="19" t="s">
        <v>863</v>
      </c>
      <c r="D61" s="19" t="s">
        <v>864</v>
      </c>
      <c r="BG61" s="19">
        <v>7.0615432423392122</v>
      </c>
      <c r="BH61" s="19">
        <v>7.5261089188101664</v>
      </c>
      <c r="BI61" s="19">
        <v>7.1234323372871984</v>
      </c>
      <c r="BJ61" s="19">
        <v>5.4580915172119973</v>
      </c>
      <c r="BK61" s="19">
        <v>4.7744168883373987</v>
      </c>
      <c r="BL61" s="19">
        <v>5.5451305999467024</v>
      </c>
      <c r="BM61" s="19">
        <v>1.2020220329647486</v>
      </c>
      <c r="BN61" s="19">
        <v>4.8124773829550236</v>
      </c>
    </row>
    <row r="62" spans="1:66" x14ac:dyDescent="0.2">
      <c r="A62" s="19" t="s">
        <v>586</v>
      </c>
      <c r="B62" s="19" t="s">
        <v>921</v>
      </c>
      <c r="C62" s="19" t="s">
        <v>863</v>
      </c>
      <c r="D62" s="19" t="s">
        <v>864</v>
      </c>
      <c r="W62" s="19">
        <v>10.535745803786284</v>
      </c>
      <c r="X62" s="19">
        <v>-18.359285489812549</v>
      </c>
      <c r="Y62" s="19">
        <v>13.383182271604596</v>
      </c>
      <c r="Z62" s="19">
        <v>10.82933099576924</v>
      </c>
      <c r="AA62" s="19">
        <v>4.1276834960978732</v>
      </c>
      <c r="AB62" s="19">
        <v>2.5563180365506781</v>
      </c>
      <c r="AC62" s="19">
        <v>4.1966468298089552</v>
      </c>
      <c r="AD62" s="19">
        <v>1.4209332166532676</v>
      </c>
      <c r="AE62" s="19">
        <v>7.07335649692142</v>
      </c>
      <c r="AF62" s="19">
        <v>6.3075611156848908</v>
      </c>
      <c r="AG62" s="19">
        <v>7.8166230128954055</v>
      </c>
      <c r="AH62" s="19">
        <v>-0.19113650561887141</v>
      </c>
      <c r="AI62" s="19">
        <v>5.4179835664061216</v>
      </c>
      <c r="AJ62" s="19">
        <v>1.3477649997398089</v>
      </c>
      <c r="AK62" s="19">
        <v>2.0294208256315613</v>
      </c>
      <c r="AL62" s="19">
        <v>2.1614141032899425</v>
      </c>
      <c r="AM62" s="19">
        <v>3.4481484674216745E-2</v>
      </c>
      <c r="AN62" s="19">
        <v>3.0308626017160947</v>
      </c>
      <c r="AO62" s="19">
        <v>3.1042022630327466</v>
      </c>
      <c r="AP62" s="19">
        <v>2.185627701614294</v>
      </c>
      <c r="AQ62" s="19">
        <v>3.7742268391984339</v>
      </c>
      <c r="AR62" s="19">
        <v>0.35407901207584302</v>
      </c>
      <c r="AS62" s="19">
        <v>2.3402193206939046</v>
      </c>
      <c r="AT62" s="19">
        <v>-6.3844729617571261E-2</v>
      </c>
      <c r="AU62" s="19">
        <v>-2.8279988926510384</v>
      </c>
      <c r="AV62" s="19">
        <v>6.3531371216935923</v>
      </c>
      <c r="AW62" s="19">
        <v>3.0506902946630987</v>
      </c>
      <c r="AX62" s="19">
        <v>0.65586226892352784</v>
      </c>
      <c r="AY62" s="19">
        <v>4.6594554863573734</v>
      </c>
      <c r="AZ62" s="19">
        <v>6.3529724394502978</v>
      </c>
      <c r="BA62" s="19">
        <v>7.1210579857578864</v>
      </c>
      <c r="BB62" s="19">
        <v>-1.1695906432748586</v>
      </c>
      <c r="BC62" s="19">
        <v>0.67263440044504819</v>
      </c>
      <c r="BD62" s="19">
        <v>-0.22355068823470958</v>
      </c>
      <c r="BE62" s="19">
        <v>-1.0590002433518748</v>
      </c>
      <c r="BF62" s="19">
        <v>-0.99994063117541998</v>
      </c>
      <c r="BG62" s="19">
        <v>4.7537865807689741</v>
      </c>
      <c r="BH62" s="19">
        <v>-2.7315030627182608</v>
      </c>
      <c r="BI62" s="19">
        <v>2.763647981704608</v>
      </c>
      <c r="BJ62" s="19">
        <v>-6.6189946328053395</v>
      </c>
      <c r="BK62" s="19">
        <v>3.54758441831531</v>
      </c>
      <c r="BL62" s="19">
        <v>5.5024834367040967</v>
      </c>
      <c r="BM62" s="19">
        <v>-16.604911537782925</v>
      </c>
      <c r="BN62" s="19">
        <v>6.6819257179127334</v>
      </c>
    </row>
    <row r="63" spans="1:66" x14ac:dyDescent="0.2">
      <c r="A63" s="19" t="s">
        <v>587</v>
      </c>
      <c r="B63" s="19" t="s">
        <v>922</v>
      </c>
      <c r="C63" s="19" t="s">
        <v>863</v>
      </c>
      <c r="D63" s="19" t="s">
        <v>864</v>
      </c>
      <c r="F63" s="19">
        <v>6.3788324755738444</v>
      </c>
      <c r="G63" s="19">
        <v>5.6668221727180708</v>
      </c>
      <c r="H63" s="19">
        <v>0.63702123420235068</v>
      </c>
      <c r="I63" s="19">
        <v>9.2699382145179356</v>
      </c>
      <c r="J63" s="19">
        <v>4.5552548140710627</v>
      </c>
      <c r="K63" s="19">
        <v>2.7409101090323702</v>
      </c>
      <c r="L63" s="19">
        <v>5.530370007520105</v>
      </c>
      <c r="M63" s="19">
        <v>5.5530765763872552</v>
      </c>
      <c r="N63" s="19">
        <v>6.5092483848995073</v>
      </c>
      <c r="O63" s="19">
        <v>1.5968418046351758</v>
      </c>
      <c r="P63" s="19">
        <v>3.0049955742173893</v>
      </c>
      <c r="Q63" s="19">
        <v>3.9293853411606112</v>
      </c>
      <c r="R63" s="19">
        <v>4.0929460920672511</v>
      </c>
      <c r="S63" s="19">
        <v>-1.122394250360756</v>
      </c>
      <c r="T63" s="19">
        <v>-1.4566449360145555</v>
      </c>
      <c r="U63" s="19">
        <v>5.9246061868967388</v>
      </c>
      <c r="V63" s="19">
        <v>1.8702910303357072</v>
      </c>
      <c r="W63" s="19">
        <v>2.2263085404280929</v>
      </c>
      <c r="X63" s="19">
        <v>3.8691114826421114</v>
      </c>
      <c r="Y63" s="19">
        <v>-0.48298633665332602</v>
      </c>
      <c r="Z63" s="19">
        <v>-0.66612415558169857</v>
      </c>
      <c r="AA63" s="19">
        <v>3.6845729676336418</v>
      </c>
      <c r="AB63" s="19">
        <v>2.5960719192376587</v>
      </c>
      <c r="AC63" s="19">
        <v>4.1661379228444417</v>
      </c>
      <c r="AD63" s="19">
        <v>4.0037518151593332</v>
      </c>
      <c r="AE63" s="19">
        <v>4.904178354990421</v>
      </c>
      <c r="AF63" s="19">
        <v>0.25426631463372473</v>
      </c>
      <c r="AG63" s="19">
        <v>-1.3601205280096451E-2</v>
      </c>
      <c r="AH63" s="19">
        <v>0.64518743197663753</v>
      </c>
      <c r="AI63" s="19">
        <v>1.4752442765040996</v>
      </c>
      <c r="AJ63" s="19">
        <v>1.3936339974679299</v>
      </c>
      <c r="AK63" s="19">
        <v>1.9570067118385595</v>
      </c>
      <c r="AL63" s="19">
        <v>1.068763082683688E-2</v>
      </c>
      <c r="AM63" s="19">
        <v>5.3324627115530774</v>
      </c>
      <c r="AN63" s="19">
        <v>3.0275872672532955</v>
      </c>
      <c r="AO63" s="19">
        <v>2.9000997687400627</v>
      </c>
      <c r="AP63" s="19">
        <v>3.2608901577479799</v>
      </c>
      <c r="AQ63" s="19">
        <v>2.2181587422376055</v>
      </c>
      <c r="AR63" s="19">
        <v>2.9480221606390131</v>
      </c>
      <c r="AS63" s="19">
        <v>3.7468625954019785</v>
      </c>
      <c r="AT63" s="19">
        <v>0.82315299801443587</v>
      </c>
      <c r="AU63" s="19">
        <v>0.46634557149423017</v>
      </c>
      <c r="AV63" s="19">
        <v>0.39005855648510135</v>
      </c>
      <c r="AW63" s="19">
        <v>2.6682192674174701</v>
      </c>
      <c r="AX63" s="19">
        <v>2.3366413082194697</v>
      </c>
      <c r="AY63" s="19">
        <v>3.9130079783106027</v>
      </c>
      <c r="AZ63" s="19">
        <v>0.90923892830237207</v>
      </c>
      <c r="BA63" s="19">
        <v>-0.51201674484910598</v>
      </c>
      <c r="BB63" s="19">
        <v>-4.9065477296515496</v>
      </c>
      <c r="BC63" s="19">
        <v>1.8709911471849665</v>
      </c>
      <c r="BD63" s="19">
        <v>1.3367777669032819</v>
      </c>
      <c r="BE63" s="19">
        <v>0.22649979180296498</v>
      </c>
      <c r="BF63" s="19">
        <v>0.93334097237122648</v>
      </c>
      <c r="BG63" s="19">
        <v>1.619393811030335</v>
      </c>
      <c r="BH63" s="19">
        <v>2.3425911075704704</v>
      </c>
      <c r="BI63" s="19">
        <v>3.2459569852439927</v>
      </c>
      <c r="BJ63" s="19">
        <v>2.8217363412902614</v>
      </c>
      <c r="BK63" s="19">
        <v>1.9895373149643234</v>
      </c>
      <c r="BL63" s="19">
        <v>1.4934869585364794</v>
      </c>
      <c r="BM63" s="19">
        <v>-1.9946075685038096</v>
      </c>
      <c r="BN63" s="19">
        <v>4.8557075857023335</v>
      </c>
    </row>
    <row r="64" spans="1:66" x14ac:dyDescent="0.2">
      <c r="A64" s="19" t="s">
        <v>588</v>
      </c>
      <c r="B64" s="19" t="s">
        <v>923</v>
      </c>
      <c r="C64" s="19" t="s">
        <v>863</v>
      </c>
      <c r="D64" s="19" t="s">
        <v>864</v>
      </c>
      <c r="F64" s="19">
        <v>-2.3132487499522512</v>
      </c>
      <c r="G64" s="19">
        <v>17.047240933300074</v>
      </c>
      <c r="H64" s="19">
        <v>6.5029026339736333</v>
      </c>
      <c r="I64" s="19">
        <v>6.7648651164071225</v>
      </c>
      <c r="J64" s="19">
        <v>-12.481833916157697</v>
      </c>
      <c r="K64" s="19">
        <v>13.463344832587083</v>
      </c>
      <c r="L64" s="19">
        <v>3.327542287233058</v>
      </c>
      <c r="M64" s="19">
        <v>0.23886048469610444</v>
      </c>
      <c r="N64" s="19">
        <v>10.891445830779347</v>
      </c>
      <c r="O64" s="19">
        <v>18.226682879650085</v>
      </c>
      <c r="P64" s="19">
        <v>10.871466068182528</v>
      </c>
      <c r="Q64" s="19">
        <v>10.394164076760575</v>
      </c>
      <c r="R64" s="19">
        <v>12.895763725101745</v>
      </c>
      <c r="S64" s="19">
        <v>6.0019029033300626</v>
      </c>
      <c r="T64" s="19">
        <v>5.1932533571604296</v>
      </c>
      <c r="U64" s="19">
        <v>6.7281226419715523</v>
      </c>
      <c r="V64" s="19">
        <v>4.9817839508752968</v>
      </c>
      <c r="W64" s="19">
        <v>2.1406846765277692</v>
      </c>
      <c r="X64" s="19">
        <v>4.5313992167917831</v>
      </c>
      <c r="Y64" s="19">
        <v>7.9687385074419979</v>
      </c>
      <c r="Z64" s="19">
        <v>4.279867479526871</v>
      </c>
      <c r="AA64" s="19">
        <v>1.698708630978345</v>
      </c>
      <c r="AB64" s="19">
        <v>4.6279463484542731</v>
      </c>
      <c r="AC64" s="19">
        <v>1.2528959745247192</v>
      </c>
      <c r="AD64" s="19">
        <v>-2.1225349762371337</v>
      </c>
      <c r="AE64" s="19">
        <v>3.5219931990150286</v>
      </c>
      <c r="AF64" s="19">
        <v>10.117367361747711</v>
      </c>
      <c r="AG64" s="19">
        <v>2.1559633310785102</v>
      </c>
      <c r="AH64" s="19">
        <v>4.400538814910874</v>
      </c>
      <c r="AI64" s="19">
        <v>-5.4543123951125807</v>
      </c>
      <c r="AJ64" s="19">
        <v>0.94413888905656052</v>
      </c>
      <c r="AK64" s="19">
        <v>11.220932739600158</v>
      </c>
      <c r="AL64" s="19">
        <v>7.3645130417130105</v>
      </c>
      <c r="AM64" s="19">
        <v>2.6003542682773144</v>
      </c>
      <c r="AN64" s="19">
        <v>5.6854307369864188</v>
      </c>
      <c r="AO64" s="19">
        <v>5.9778251143426644</v>
      </c>
      <c r="AP64" s="19">
        <v>8.8852690659039268</v>
      </c>
      <c r="AQ64" s="19">
        <v>6.7144777117717638</v>
      </c>
      <c r="AR64" s="19">
        <v>5.9400491362855377</v>
      </c>
      <c r="AS64" s="19">
        <v>4.6617622800145995</v>
      </c>
      <c r="AT64" s="19">
        <v>2.4595163677291794</v>
      </c>
      <c r="AU64" s="19">
        <v>4.4951034029209893</v>
      </c>
      <c r="AV64" s="19">
        <v>-1.3457061850644152</v>
      </c>
      <c r="AW64" s="19">
        <v>2.5701342793019677</v>
      </c>
      <c r="AX64" s="19">
        <v>9.428236946796801</v>
      </c>
      <c r="AY64" s="19">
        <v>9.1743554058407994</v>
      </c>
      <c r="AZ64" s="19">
        <v>7.415951714814554</v>
      </c>
      <c r="BA64" s="19">
        <v>3.2095042615795819</v>
      </c>
      <c r="BB64" s="19">
        <v>0.94615516779062148</v>
      </c>
      <c r="BC64" s="19">
        <v>8.3396510596221844</v>
      </c>
      <c r="BD64" s="19">
        <v>3.1334230032675521</v>
      </c>
      <c r="BE64" s="19">
        <v>2.7173678967056247</v>
      </c>
      <c r="BF64" s="19">
        <v>4.8752050933227054</v>
      </c>
      <c r="BG64" s="19">
        <v>7.0504636896591109</v>
      </c>
      <c r="BH64" s="19">
        <v>6.9270187716221017</v>
      </c>
      <c r="BI64" s="19">
        <v>6.6592002626958191</v>
      </c>
      <c r="BJ64" s="19">
        <v>4.6667046773236649</v>
      </c>
      <c r="BK64" s="19">
        <v>6.9825275845805805</v>
      </c>
      <c r="BL64" s="19">
        <v>5.0521680201625259</v>
      </c>
      <c r="BM64" s="19">
        <v>-6.7202393728340439</v>
      </c>
      <c r="BN64" s="19">
        <v>12.271990226626642</v>
      </c>
    </row>
    <row r="65" spans="1:66" x14ac:dyDescent="0.2">
      <c r="A65" s="19" t="s">
        <v>589</v>
      </c>
      <c r="B65" s="19" t="s">
        <v>924</v>
      </c>
      <c r="C65" s="19" t="s">
        <v>863</v>
      </c>
      <c r="D65" s="19" t="s">
        <v>864</v>
      </c>
      <c r="F65" s="19">
        <v>-13.605441324599269</v>
      </c>
      <c r="G65" s="19">
        <v>-19.685041825638777</v>
      </c>
      <c r="H65" s="19">
        <v>34.313728780288272</v>
      </c>
      <c r="I65" s="19">
        <v>5.8394130077341373</v>
      </c>
      <c r="J65" s="19">
        <v>6.206898211063816</v>
      </c>
      <c r="K65" s="19">
        <v>-4.8049709432612957</v>
      </c>
      <c r="L65" s="19">
        <v>9.4529625627975946</v>
      </c>
      <c r="M65" s="19">
        <v>10.796238571096751</v>
      </c>
      <c r="N65" s="19">
        <v>8.4332802824865354</v>
      </c>
      <c r="O65" s="19">
        <v>8.8626571100820257</v>
      </c>
      <c r="P65" s="19">
        <v>-11.331719168285488</v>
      </c>
      <c r="Q65" s="19">
        <v>27.423969480412765</v>
      </c>
      <c r="R65" s="19">
        <v>3.8131762961115498</v>
      </c>
      <c r="S65" s="19">
        <v>7.4949177045436528</v>
      </c>
      <c r="T65" s="19">
        <v>5.0453416126740649</v>
      </c>
      <c r="U65" s="19">
        <v>8.3867564844160256</v>
      </c>
      <c r="V65" s="19">
        <v>5.2585859864641833</v>
      </c>
      <c r="W65" s="19">
        <v>9.214835700676943</v>
      </c>
      <c r="X65" s="19">
        <v>7.477826551447734</v>
      </c>
      <c r="Y65" s="19">
        <v>0.79060697185160222</v>
      </c>
      <c r="Z65" s="19">
        <v>2.9999960884105974</v>
      </c>
      <c r="AA65" s="19">
        <v>6.4000041148494233</v>
      </c>
      <c r="AB65" s="19">
        <v>5.400003024509445</v>
      </c>
      <c r="AC65" s="19">
        <v>5.5999965293887186</v>
      </c>
      <c r="AD65" s="19">
        <v>3.6999972548848774</v>
      </c>
      <c r="AE65" s="19">
        <v>0.40000100279462458</v>
      </c>
      <c r="AF65" s="19">
        <v>-0.69999752621751554</v>
      </c>
      <c r="AG65" s="19">
        <v>-1.0000054906621756</v>
      </c>
      <c r="AH65" s="19">
        <v>4.4000021605999251</v>
      </c>
      <c r="AI65" s="19">
        <v>0.80000058017206754</v>
      </c>
      <c r="AJ65" s="19">
        <v>-1.2000005855168183</v>
      </c>
      <c r="AK65" s="19">
        <v>1.8000023031884638</v>
      </c>
      <c r="AL65" s="19">
        <v>-2.1000007578754492</v>
      </c>
      <c r="AM65" s="19">
        <v>-0.89999655247224553</v>
      </c>
      <c r="AN65" s="19">
        <v>3.7999947898408521</v>
      </c>
      <c r="AO65" s="19">
        <v>4.0999984699482184</v>
      </c>
      <c r="AP65" s="19">
        <v>1.099999939308077</v>
      </c>
      <c r="AQ65" s="19">
        <v>5.1000036090421759</v>
      </c>
      <c r="AR65" s="19">
        <v>3.2000015516532727</v>
      </c>
      <c r="AS65" s="19">
        <v>3.799999999697647</v>
      </c>
      <c r="AT65" s="19">
        <v>3.0000000002107896</v>
      </c>
      <c r="AU65" s="19">
        <v>5.6000000000074408</v>
      </c>
      <c r="AV65" s="19">
        <v>7.2000000004651241</v>
      </c>
      <c r="AW65" s="19">
        <v>4.2999999997699092</v>
      </c>
      <c r="AX65" s="19">
        <v>5.8999999996691059</v>
      </c>
      <c r="AY65" s="19">
        <v>1.7000000004977238</v>
      </c>
      <c r="AZ65" s="19">
        <v>3.3999999995581618</v>
      </c>
      <c r="BA65" s="19">
        <v>2.4000000000848871</v>
      </c>
      <c r="BB65" s="19">
        <v>1.6000000003758572</v>
      </c>
      <c r="BC65" s="19">
        <v>3.6000000000353509</v>
      </c>
      <c r="BD65" s="19">
        <v>2.8999999994630627</v>
      </c>
      <c r="BE65" s="19">
        <v>3.4000000002959894</v>
      </c>
      <c r="BF65" s="19">
        <v>2.8</v>
      </c>
      <c r="BG65" s="19">
        <v>3.8000000001680405</v>
      </c>
      <c r="BH65" s="19">
        <v>3.6999999995889254</v>
      </c>
      <c r="BI65" s="19">
        <v>3.2000000000669075</v>
      </c>
      <c r="BJ65" s="19">
        <v>1.2999999999184269</v>
      </c>
      <c r="BK65" s="19">
        <v>1.2000000004906326</v>
      </c>
      <c r="BL65" s="19">
        <v>0.99999999974178877</v>
      </c>
      <c r="BM65" s="19">
        <v>-5.1000000001867818</v>
      </c>
      <c r="BN65" s="19">
        <v>3.5000000004975789</v>
      </c>
    </row>
    <row r="66" spans="1:66" x14ac:dyDescent="0.2">
      <c r="A66" s="19" t="s">
        <v>590</v>
      </c>
      <c r="B66" s="19" t="s">
        <v>925</v>
      </c>
      <c r="C66" s="19" t="s">
        <v>863</v>
      </c>
      <c r="D66" s="19" t="s">
        <v>864</v>
      </c>
      <c r="F66" s="19">
        <v>-13.471078492884487</v>
      </c>
      <c r="G66" s="19">
        <v>-0.65691587394023543</v>
      </c>
      <c r="H66" s="19">
        <v>6.3865050610138354</v>
      </c>
      <c r="I66" s="19">
        <v>10.89683989767633</v>
      </c>
      <c r="J66" s="19">
        <v>10.668826306958863</v>
      </c>
      <c r="K66" s="19">
        <v>8.079929727174104</v>
      </c>
      <c r="L66" s="19">
        <v>-1.421724781733829</v>
      </c>
      <c r="M66" s="19">
        <v>1.6878638542059434</v>
      </c>
      <c r="N66" s="19">
        <v>11.424277384741984</v>
      </c>
      <c r="O66" s="19">
        <v>13.422793646664473</v>
      </c>
      <c r="P66" s="19">
        <v>6.7714015048583605</v>
      </c>
      <c r="Q66" s="19">
        <v>4.9137336817154562</v>
      </c>
      <c r="R66" s="19">
        <v>8.2661726403120213</v>
      </c>
      <c r="S66" s="19">
        <v>3.8406064074478081</v>
      </c>
      <c r="T66" s="19">
        <v>6.8433526707054568</v>
      </c>
      <c r="U66" s="19">
        <v>2.8402400210702865</v>
      </c>
      <c r="V66" s="19">
        <v>7.5724504000838238</v>
      </c>
      <c r="W66" s="19">
        <v>9.2556744914861184</v>
      </c>
      <c r="X66" s="19">
        <v>7.1056348535748697</v>
      </c>
      <c r="Y66" s="19">
        <v>7.5552273339242362</v>
      </c>
      <c r="Z66" s="19">
        <v>5.605393628985226</v>
      </c>
      <c r="AA66" s="19">
        <v>6.4403318180404057</v>
      </c>
      <c r="AB66" s="19">
        <v>7.7390429616445999</v>
      </c>
      <c r="AC66" s="19">
        <v>9.9489381930364402</v>
      </c>
      <c r="AD66" s="19">
        <v>7.90262502701367</v>
      </c>
      <c r="AE66" s="19">
        <v>7.1404041573573238</v>
      </c>
      <c r="AF66" s="19">
        <v>9.1442946901271398</v>
      </c>
      <c r="AG66" s="19">
        <v>9.7363109206288385</v>
      </c>
      <c r="AH66" s="19">
        <v>5.7155420247350719</v>
      </c>
      <c r="AI66" s="19">
        <v>5.1646291611496196</v>
      </c>
      <c r="AJ66" s="19">
        <v>8.0076073740013243</v>
      </c>
      <c r="AK66" s="19">
        <v>11.169812235472094</v>
      </c>
      <c r="AL66" s="19">
        <v>11.291592823530223</v>
      </c>
      <c r="AM66" s="19">
        <v>10.932434443432768</v>
      </c>
      <c r="AN66" s="19">
        <v>9.8747656049362718</v>
      </c>
      <c r="AO66" s="19">
        <v>9.0633824199140633</v>
      </c>
      <c r="AP66" s="19">
        <v>7.3443427662615903</v>
      </c>
      <c r="AQ66" s="19">
        <v>2.8957366992561759</v>
      </c>
      <c r="AR66" s="19">
        <v>6.3820636491388427</v>
      </c>
      <c r="AS66" s="19">
        <v>7.6359098032690014</v>
      </c>
      <c r="AT66" s="19">
        <v>6.9848414683871596</v>
      </c>
      <c r="AU66" s="19">
        <v>8.0598576625401819</v>
      </c>
      <c r="AV66" s="19">
        <v>8.9407705867898102</v>
      </c>
      <c r="AW66" s="19">
        <v>9.1215542183162199</v>
      </c>
      <c r="AX66" s="19">
        <v>9.9763291524468372</v>
      </c>
      <c r="AY66" s="19">
        <v>11.07752953758127</v>
      </c>
      <c r="AZ66" s="19">
        <v>12.487273674131671</v>
      </c>
      <c r="BA66" s="19">
        <v>8.6184324399243053</v>
      </c>
      <c r="BB66" s="19">
        <v>7.983704633381322</v>
      </c>
      <c r="BC66" s="19">
        <v>9.9223861749729423</v>
      </c>
      <c r="BD66" s="19">
        <v>8.6504805158810001</v>
      </c>
      <c r="BE66" s="19">
        <v>7.5751048170699988</v>
      </c>
      <c r="BF66" s="19">
        <v>7.295800671227056</v>
      </c>
      <c r="BG66" s="19">
        <v>6.9846484418881971</v>
      </c>
      <c r="BH66" s="19">
        <v>6.6889024034545912</v>
      </c>
      <c r="BI66" s="19">
        <v>6.5858857044775334</v>
      </c>
      <c r="BJ66" s="19">
        <v>6.7046923636884515</v>
      </c>
      <c r="BK66" s="19">
        <v>6.5252828338363287</v>
      </c>
      <c r="BL66" s="19">
        <v>5.7837024374381798</v>
      </c>
      <c r="BM66" s="19">
        <v>1.2974309382671692</v>
      </c>
      <c r="BN66" s="19">
        <v>7.2630893728411223</v>
      </c>
    </row>
    <row r="67" spans="1:66" x14ac:dyDescent="0.2">
      <c r="A67" s="19" t="s">
        <v>591</v>
      </c>
      <c r="B67" s="19" t="s">
        <v>926</v>
      </c>
      <c r="C67" s="19" t="s">
        <v>863</v>
      </c>
      <c r="D67" s="19" t="s">
        <v>864</v>
      </c>
      <c r="F67" s="19">
        <v>4.3969799934237273</v>
      </c>
      <c r="G67" s="19">
        <v>3.4334694577430724</v>
      </c>
      <c r="H67" s="19">
        <v>4.7044774205723172</v>
      </c>
      <c r="I67" s="19">
        <v>8.053255843293357</v>
      </c>
      <c r="J67" s="19">
        <v>5.4756755043403444</v>
      </c>
      <c r="K67" s="19">
        <v>4.0478646431473635</v>
      </c>
      <c r="L67" s="19">
        <v>5.449817653617913</v>
      </c>
      <c r="M67" s="19">
        <v>6.5003644148416555</v>
      </c>
      <c r="N67" s="19">
        <v>6.5275434603900777</v>
      </c>
      <c r="O67" s="19">
        <v>8.6181436472301414</v>
      </c>
      <c r="P67" s="19">
        <v>5.9447312035947277</v>
      </c>
      <c r="Q67" s="19">
        <v>6.9024431794539822</v>
      </c>
      <c r="R67" s="19">
        <v>7.369356165472368</v>
      </c>
      <c r="S67" s="19">
        <v>6.7081844793546423</v>
      </c>
      <c r="T67" s="19">
        <v>2.432321939917486</v>
      </c>
      <c r="U67" s="19">
        <v>7.1804419979991394</v>
      </c>
      <c r="V67" s="19">
        <v>4.0954399243816368</v>
      </c>
      <c r="W67" s="19">
        <v>1.2584099796291639</v>
      </c>
      <c r="X67" s="19">
        <v>4.019844221049425</v>
      </c>
      <c r="Y67" s="19">
        <v>3.5193752787187123</v>
      </c>
      <c r="Z67" s="19">
        <v>3.8335031593907729</v>
      </c>
      <c r="AA67" s="19">
        <v>-0.24832294218217044</v>
      </c>
      <c r="AB67" s="19">
        <v>0.43526469699951065</v>
      </c>
      <c r="AC67" s="19">
        <v>2.1891062297564758</v>
      </c>
      <c r="AD67" s="19">
        <v>0.75621836185500513</v>
      </c>
      <c r="AE67" s="19">
        <v>2.9559076989379491</v>
      </c>
      <c r="AF67" s="19">
        <v>2.7118742204440593</v>
      </c>
      <c r="AG67" s="19">
        <v>3.5600250296353266</v>
      </c>
      <c r="AH67" s="19">
        <v>2.334673527947956</v>
      </c>
      <c r="AI67" s="19">
        <v>5.4232890027845002</v>
      </c>
      <c r="AJ67" s="19">
        <v>4.6205340748453523</v>
      </c>
      <c r="AK67" s="19">
        <v>4.0154583203810148</v>
      </c>
      <c r="AL67" s="19">
        <v>3.367263472710988</v>
      </c>
      <c r="AM67" s="19">
        <v>3.4025688208499787</v>
      </c>
      <c r="AN67" s="19">
        <v>2.401647788538682</v>
      </c>
      <c r="AO67" s="19">
        <v>5.8852706664380747</v>
      </c>
      <c r="AP67" s="19">
        <v>4.7495324715433043</v>
      </c>
      <c r="AQ67" s="19">
        <v>2.3212344640274125</v>
      </c>
      <c r="AR67" s="19">
        <v>2.086620921136344</v>
      </c>
      <c r="AS67" s="19">
        <v>4.4036118638478854</v>
      </c>
      <c r="AT67" s="19">
        <v>1.0490621154482795</v>
      </c>
      <c r="AU67" s="19">
        <v>1.8184952183003276</v>
      </c>
      <c r="AV67" s="19">
        <v>5.4280616690295886</v>
      </c>
      <c r="AW67" s="19">
        <v>6.2361971249498254</v>
      </c>
      <c r="AX67" s="19">
        <v>5.9084272985667354</v>
      </c>
      <c r="AY67" s="19">
        <v>5.9795790236610458</v>
      </c>
      <c r="AZ67" s="19">
        <v>5.7757943002555692</v>
      </c>
      <c r="BA67" s="19">
        <v>3.4939035198880362</v>
      </c>
      <c r="BB67" s="19">
        <v>0.81453633117926927</v>
      </c>
      <c r="BC67" s="19">
        <v>6.5452773290699326</v>
      </c>
      <c r="BD67" s="19">
        <v>4.908513264905551</v>
      </c>
      <c r="BE67" s="19">
        <v>4.2315528745771473</v>
      </c>
      <c r="BF67" s="19">
        <v>4.1380751733111794</v>
      </c>
      <c r="BG67" s="19">
        <v>4.1673290086052361</v>
      </c>
      <c r="BH67" s="19">
        <v>4.4685129208900349</v>
      </c>
      <c r="BI67" s="19">
        <v>4.5003292287362484</v>
      </c>
      <c r="BJ67" s="19">
        <v>4.5396120672450735</v>
      </c>
      <c r="BK67" s="19">
        <v>3.8030315133403008</v>
      </c>
      <c r="BL67" s="19">
        <v>2.3283329673738535</v>
      </c>
      <c r="BM67" s="19">
        <v>-4.2844313064379662</v>
      </c>
      <c r="BN67" s="19">
        <v>6.7876194306648756</v>
      </c>
    </row>
    <row r="68" spans="1:66" x14ac:dyDescent="0.2">
      <c r="A68" s="19" t="s">
        <v>592</v>
      </c>
      <c r="B68" s="19" t="s">
        <v>927</v>
      </c>
      <c r="C68" s="19" t="s">
        <v>863</v>
      </c>
      <c r="D68" s="19" t="s">
        <v>864</v>
      </c>
      <c r="F68" s="19">
        <v>3.7763572322809864</v>
      </c>
      <c r="G68" s="19">
        <v>5.4918670629292166</v>
      </c>
      <c r="H68" s="19">
        <v>7.8051421227393689</v>
      </c>
      <c r="I68" s="19">
        <v>10.556851735551206</v>
      </c>
      <c r="J68" s="19">
        <v>6.9930577880966638</v>
      </c>
      <c r="K68" s="19">
        <v>8.6773992069641963</v>
      </c>
      <c r="L68" s="19">
        <v>7.6962009531708446</v>
      </c>
      <c r="M68" s="19">
        <v>9.5419823524731839</v>
      </c>
      <c r="N68" s="19">
        <v>11.500594695801311</v>
      </c>
      <c r="O68" s="19">
        <v>5.3882738465297848</v>
      </c>
      <c r="P68" s="19">
        <v>5.3172955416755912</v>
      </c>
      <c r="Q68" s="19">
        <v>7.2131134915655224</v>
      </c>
      <c r="R68" s="19">
        <v>7.6611568130680894</v>
      </c>
      <c r="S68" s="19">
        <v>0.87955773208020105</v>
      </c>
      <c r="T68" s="19">
        <v>3.7048857951957075</v>
      </c>
      <c r="U68" s="19">
        <v>4.2575440271499474</v>
      </c>
      <c r="V68" s="19">
        <v>5.4228123187186839</v>
      </c>
      <c r="W68" s="19">
        <v>5.7980194109013894</v>
      </c>
      <c r="X68" s="19">
        <v>5.9149446674374246</v>
      </c>
      <c r="Y68" s="19">
        <v>3.7865614225881927</v>
      </c>
      <c r="Z68" s="19">
        <v>4.6738169266202334</v>
      </c>
      <c r="AA68" s="19">
        <v>4.1528119186546348</v>
      </c>
      <c r="AB68" s="19">
        <v>4.4272760846845216</v>
      </c>
      <c r="AC68" s="19">
        <v>6.16005098968499</v>
      </c>
      <c r="AD68" s="19">
        <v>5.7002521366265455</v>
      </c>
      <c r="AE68" s="19">
        <v>4.9247749971330563</v>
      </c>
      <c r="AF68" s="19">
        <v>6.2549768048394156</v>
      </c>
      <c r="AG68" s="19">
        <v>7.5998186888615891</v>
      </c>
      <c r="AH68" s="19">
        <v>5.1512572109655821</v>
      </c>
      <c r="AI68" s="19">
        <v>5.0697060146839306</v>
      </c>
      <c r="AJ68" s="19">
        <v>4.8525620954252418</v>
      </c>
      <c r="AK68" s="19">
        <v>4.2359307771343992</v>
      </c>
      <c r="AL68" s="19">
        <v>4.2008203682665481</v>
      </c>
      <c r="AM68" s="19">
        <v>5.2370135290008335</v>
      </c>
      <c r="AN68" s="19">
        <v>5.6687280232559374</v>
      </c>
      <c r="AO68" s="19">
        <v>5.6195886477242425</v>
      </c>
      <c r="AP68" s="19">
        <v>4.0544847087214038</v>
      </c>
      <c r="AQ68" s="19">
        <v>0.44784303002596459</v>
      </c>
      <c r="AR68" s="19">
        <v>3.7336497278031686</v>
      </c>
      <c r="AS68" s="19">
        <v>5.3910523126346988</v>
      </c>
      <c r="AT68" s="19">
        <v>3.3031047253176666</v>
      </c>
      <c r="AU68" s="19">
        <v>4.3781181051898841</v>
      </c>
      <c r="AV68" s="19">
        <v>4.9466185877876256</v>
      </c>
      <c r="AW68" s="19">
        <v>5.8670891054733545</v>
      </c>
      <c r="AX68" s="19">
        <v>5.8994364034538904</v>
      </c>
      <c r="AY68" s="19">
        <v>6.4531768825403191</v>
      </c>
      <c r="AZ68" s="19">
        <v>7.467287787060755</v>
      </c>
      <c r="BA68" s="19">
        <v>4.3860552263011385</v>
      </c>
      <c r="BB68" s="19">
        <v>2.5599635354201808</v>
      </c>
      <c r="BC68" s="19">
        <v>7.6093026607671135</v>
      </c>
      <c r="BD68" s="19">
        <v>5.4650006084009846</v>
      </c>
      <c r="BE68" s="19">
        <v>5.1794452555968604</v>
      </c>
      <c r="BF68" s="19">
        <v>5.2421217811146334</v>
      </c>
      <c r="BG68" s="19">
        <v>4.7585089377338647</v>
      </c>
      <c r="BH68" s="19">
        <v>4.7156321104815646</v>
      </c>
      <c r="BI68" s="19">
        <v>4.6696786419643672</v>
      </c>
      <c r="BJ68" s="19">
        <v>5.0535617374219726</v>
      </c>
      <c r="BK68" s="19">
        <v>4.7488798848776241</v>
      </c>
      <c r="BL68" s="19">
        <v>3.9866162071627116</v>
      </c>
      <c r="BM68" s="19">
        <v>-0.16893444067025598</v>
      </c>
      <c r="BN68" s="19">
        <v>5.8077412597204727</v>
      </c>
    </row>
    <row r="69" spans="1:66" x14ac:dyDescent="0.2">
      <c r="A69" s="19" t="s">
        <v>593</v>
      </c>
      <c r="B69" s="19" t="s">
        <v>928</v>
      </c>
      <c r="C69" s="19" t="s">
        <v>863</v>
      </c>
      <c r="D69" s="19" t="s">
        <v>864</v>
      </c>
      <c r="AI69" s="19">
        <v>-1.4568327811049215</v>
      </c>
      <c r="AJ69" s="19">
        <v>-4.9100286119002021</v>
      </c>
      <c r="AK69" s="19">
        <v>-10.667886535363962</v>
      </c>
      <c r="AL69" s="19">
        <v>-5.9317527913336505</v>
      </c>
      <c r="AM69" s="19">
        <v>-11.16711668316897</v>
      </c>
      <c r="AN69" s="19">
        <v>-1.8587486010544012</v>
      </c>
      <c r="AO69" s="19">
        <v>-0.11210395712586774</v>
      </c>
      <c r="AP69" s="19">
        <v>2.8590355772548008</v>
      </c>
      <c r="AQ69" s="19">
        <v>-1.5629326502145062</v>
      </c>
      <c r="AR69" s="19">
        <v>2.3564643421002671</v>
      </c>
      <c r="AS69" s="19">
        <v>8.4236219321741572</v>
      </c>
      <c r="AT69" s="19">
        <v>2.649242651875312</v>
      </c>
      <c r="AU69" s="19">
        <v>5.4884540913929527</v>
      </c>
      <c r="AV69" s="19">
        <v>6.9402875106139277</v>
      </c>
      <c r="AW69" s="19">
        <v>8.2892410728593831</v>
      </c>
      <c r="AX69" s="19">
        <v>7.3583984257667368</v>
      </c>
      <c r="AY69" s="19">
        <v>8.1858041158197921</v>
      </c>
      <c r="AZ69" s="19">
        <v>7.8034315231576556</v>
      </c>
      <c r="BA69" s="19">
        <v>4.2331355377206279</v>
      </c>
      <c r="BB69" s="19">
        <v>-5.7278133191299503</v>
      </c>
      <c r="BC69" s="19">
        <v>5.6410866638836268</v>
      </c>
      <c r="BD69" s="19">
        <v>6.2863576993556336</v>
      </c>
      <c r="BE69" s="19">
        <v>3.975446450718394</v>
      </c>
      <c r="BF69" s="19">
        <v>4.0464394358995719</v>
      </c>
      <c r="BG69" s="19">
        <v>2.0500263475191787</v>
      </c>
      <c r="BH69" s="19">
        <v>0.905341751812756</v>
      </c>
      <c r="BI69" s="19">
        <v>1.5761197868185945</v>
      </c>
      <c r="BJ69" s="19">
        <v>3.9277018642057016</v>
      </c>
      <c r="BK69" s="19">
        <v>3.1472595374137882</v>
      </c>
      <c r="BL69" s="19">
        <v>2.2327198275221321</v>
      </c>
      <c r="BM69" s="19">
        <v>-1.1831826228249582</v>
      </c>
      <c r="BN69" s="19">
        <v>7.0682997085722121</v>
      </c>
    </row>
    <row r="70" spans="1:66" x14ac:dyDescent="0.2">
      <c r="A70" s="19" t="s">
        <v>594</v>
      </c>
      <c r="B70" s="19" t="s">
        <v>929</v>
      </c>
      <c r="C70" s="19" t="s">
        <v>863</v>
      </c>
      <c r="D70" s="19" t="s">
        <v>864</v>
      </c>
      <c r="P70" s="19">
        <v>3.6826643625148705</v>
      </c>
      <c r="Q70" s="19">
        <v>4.7398971698216883</v>
      </c>
      <c r="R70" s="19">
        <v>6.0225818394029602</v>
      </c>
      <c r="S70" s="19">
        <v>2.1592688600500622</v>
      </c>
      <c r="T70" s="19">
        <v>-0.53568897940135685</v>
      </c>
      <c r="U70" s="19">
        <v>4.6910760274254244</v>
      </c>
      <c r="V70" s="19">
        <v>2.8470969391658514</v>
      </c>
      <c r="W70" s="19">
        <v>3.2300143503850336</v>
      </c>
      <c r="X70" s="19">
        <v>3.7638804310564495</v>
      </c>
      <c r="Y70" s="19">
        <v>1.336216361982963</v>
      </c>
      <c r="Z70" s="19">
        <v>0.475548398481763</v>
      </c>
      <c r="AA70" s="19">
        <v>0.95009067739741226</v>
      </c>
      <c r="AB70" s="19">
        <v>1.9734441332684725</v>
      </c>
      <c r="AC70" s="19">
        <v>2.6457182865909772</v>
      </c>
      <c r="AD70" s="19">
        <v>2.8039977963418892</v>
      </c>
      <c r="AE70" s="19">
        <v>2.7565464877606729</v>
      </c>
      <c r="AF70" s="19">
        <v>3.0877208191897267</v>
      </c>
      <c r="AG70" s="19">
        <v>4.2495559295932424</v>
      </c>
      <c r="AH70" s="19">
        <v>3.5341040035114162</v>
      </c>
      <c r="AI70" s="19">
        <v>2.3255107744744663</v>
      </c>
      <c r="AJ70" s="19">
        <v>0.43281470912053521</v>
      </c>
      <c r="AK70" s="19">
        <v>-0.51738723273162179</v>
      </c>
      <c r="AL70" s="19">
        <v>-0.73174174222627641</v>
      </c>
      <c r="AM70" s="19">
        <v>1.2338885341741701</v>
      </c>
      <c r="AN70" s="19">
        <v>2.138638505906215</v>
      </c>
      <c r="AO70" s="19">
        <v>1.6948350329684132</v>
      </c>
      <c r="AP70" s="19">
        <v>2.9995585141497685</v>
      </c>
      <c r="AQ70" s="19">
        <v>2.5910471880403492</v>
      </c>
      <c r="AR70" s="19">
        <v>2.8699363870615713</v>
      </c>
      <c r="AS70" s="19">
        <v>4.3247365888000218</v>
      </c>
      <c r="AT70" s="19">
        <v>2.1976794210509638</v>
      </c>
      <c r="AU70" s="19">
        <v>1.58256622809634</v>
      </c>
      <c r="AV70" s="19">
        <v>1.7913160331787452</v>
      </c>
      <c r="AW70" s="19">
        <v>3.1777291478703376</v>
      </c>
      <c r="AX70" s="19">
        <v>2.6603880115723086</v>
      </c>
      <c r="AY70" s="19">
        <v>3.8303619204566672</v>
      </c>
      <c r="AZ70" s="19">
        <v>3.6450557704820454</v>
      </c>
      <c r="BA70" s="19">
        <v>1.0266198240614983</v>
      </c>
      <c r="BB70" s="19">
        <v>-4.4394075478430466</v>
      </c>
      <c r="BC70" s="19">
        <v>2.6851162321994906</v>
      </c>
      <c r="BD70" s="19">
        <v>2.3287543910257114</v>
      </c>
      <c r="BE70" s="19">
        <v>0.35118629618007446</v>
      </c>
      <c r="BF70" s="19">
        <v>0.84961603245356798</v>
      </c>
      <c r="BG70" s="19">
        <v>1.9235184110630854</v>
      </c>
      <c r="BH70" s="19">
        <v>2.0823600563090423</v>
      </c>
      <c r="BI70" s="19">
        <v>1.9359581798932481</v>
      </c>
      <c r="BJ70" s="19">
        <v>2.8716994867103267</v>
      </c>
      <c r="BK70" s="19">
        <v>2.1781419667827038</v>
      </c>
      <c r="BL70" s="19">
        <v>1.7901836983807158</v>
      </c>
      <c r="BM70" s="19">
        <v>-5.5983925283674409</v>
      </c>
      <c r="BN70" s="19">
        <v>5.8573982796359871</v>
      </c>
    </row>
    <row r="71" spans="1:66" x14ac:dyDescent="0.2">
      <c r="A71" s="19" t="s">
        <v>595</v>
      </c>
      <c r="B71" s="19" t="s">
        <v>930</v>
      </c>
      <c r="C71" s="19" t="s">
        <v>863</v>
      </c>
      <c r="D71" s="19" t="s">
        <v>864</v>
      </c>
      <c r="F71" s="19">
        <v>5.1244148794123703</v>
      </c>
      <c r="G71" s="19">
        <v>4.9191469416503679</v>
      </c>
      <c r="H71" s="19">
        <v>2.1063682468113569</v>
      </c>
      <c r="I71" s="19">
        <v>7.4072453615161322</v>
      </c>
      <c r="J71" s="19">
        <v>3.2750824883219281</v>
      </c>
      <c r="K71" s="19">
        <v>-0.33952563935771707</v>
      </c>
      <c r="L71" s="19">
        <v>4.6210739407043633</v>
      </c>
      <c r="M71" s="19">
        <v>1.9094383992128883</v>
      </c>
      <c r="N71" s="19">
        <v>4.6692379803251214</v>
      </c>
      <c r="O71" s="19">
        <v>6.8719293298600945</v>
      </c>
      <c r="P71" s="19">
        <v>6.2926061962832307</v>
      </c>
      <c r="Q71" s="19">
        <v>5.0176407036024244</v>
      </c>
      <c r="R71" s="19">
        <v>13.950682132182465</v>
      </c>
      <c r="S71" s="19">
        <v>11.208509627647672</v>
      </c>
      <c r="T71" s="19">
        <v>10.972154001573259</v>
      </c>
      <c r="U71" s="19">
        <v>7.3971876193067203</v>
      </c>
      <c r="V71" s="19">
        <v>1.6048421117815366</v>
      </c>
      <c r="W71" s="19">
        <v>5.7068249445792105</v>
      </c>
      <c r="X71" s="19">
        <v>3.7340484012231059</v>
      </c>
      <c r="Y71" s="19">
        <v>3.7086829688621776</v>
      </c>
      <c r="Z71" s="19">
        <v>5.612864119590327</v>
      </c>
      <c r="AA71" s="19">
        <v>0.61484535364787973</v>
      </c>
      <c r="AB71" s="19">
        <v>-0.33686877098632806</v>
      </c>
      <c r="AC71" s="19">
        <v>2.625273268288737</v>
      </c>
      <c r="AD71" s="19">
        <v>3.9350014115187264</v>
      </c>
      <c r="AE71" s="19">
        <v>3.4647825158386212</v>
      </c>
      <c r="AF71" s="19">
        <v>-0.25909870835040749</v>
      </c>
      <c r="AG71" s="19">
        <v>5.8904672900015953</v>
      </c>
      <c r="AH71" s="19">
        <v>1.0057779461983216</v>
      </c>
      <c r="AI71" s="19">
        <v>3.6799140527841843</v>
      </c>
      <c r="AJ71" s="19">
        <v>4.2913423980209586</v>
      </c>
      <c r="AK71" s="19">
        <v>2.1143106751279959</v>
      </c>
      <c r="AL71" s="19">
        <v>1.9732180787518416</v>
      </c>
      <c r="AM71" s="19">
        <v>4.258250468212438</v>
      </c>
      <c r="AN71" s="19">
        <v>2.2525487742371553</v>
      </c>
      <c r="AO71" s="19">
        <v>1.7317475144795367</v>
      </c>
      <c r="AP71" s="19">
        <v>4.3278647643223138</v>
      </c>
      <c r="AQ71" s="19">
        <v>3.2665294037466595</v>
      </c>
      <c r="AR71" s="19">
        <v>-4.7393857908558772</v>
      </c>
      <c r="AS71" s="19">
        <v>1.0918015643575956</v>
      </c>
      <c r="AT71" s="19">
        <v>4.0156298995849227</v>
      </c>
      <c r="AU71" s="19">
        <v>4.096776658853571</v>
      </c>
      <c r="AV71" s="19">
        <v>2.7228773369547383</v>
      </c>
      <c r="AW71" s="19">
        <v>8.2110209173403774</v>
      </c>
      <c r="AX71" s="19">
        <v>5.2913082669940223</v>
      </c>
      <c r="AY71" s="19">
        <v>4.4035264338318569</v>
      </c>
      <c r="AZ71" s="19">
        <v>2.1900639722453974</v>
      </c>
      <c r="BA71" s="19">
        <v>6.3571305999083165</v>
      </c>
      <c r="BB71" s="19">
        <v>0.56649159210009259</v>
      </c>
      <c r="BC71" s="19">
        <v>3.5252986689402661</v>
      </c>
      <c r="BD71" s="19">
        <v>7.8681409191099618</v>
      </c>
      <c r="BE71" s="19">
        <v>5.6419620667119972</v>
      </c>
      <c r="BF71" s="19">
        <v>4.9465112669062563</v>
      </c>
      <c r="BG71" s="19">
        <v>3.7888685492083312</v>
      </c>
      <c r="BH71" s="19">
        <v>9.8872608346269431E-2</v>
      </c>
      <c r="BI71" s="19">
        <v>-1.2263839846387867</v>
      </c>
      <c r="BJ71" s="19">
        <v>2.3683865263365078</v>
      </c>
      <c r="BK71" s="19">
        <v>1.2892919329050159</v>
      </c>
      <c r="BL71" s="19">
        <v>1.2105102847655758E-2</v>
      </c>
      <c r="BM71" s="19">
        <v>-7.7876070909342161</v>
      </c>
      <c r="BN71" s="19">
        <v>4.2352512417257202</v>
      </c>
    </row>
    <row r="72" spans="1:66" x14ac:dyDescent="0.2">
      <c r="A72" s="19" t="s">
        <v>596</v>
      </c>
      <c r="B72" s="19" t="s">
        <v>931</v>
      </c>
      <c r="C72" s="19" t="s">
        <v>863</v>
      </c>
      <c r="D72" s="19" t="s">
        <v>864</v>
      </c>
      <c r="F72" s="19">
        <v>5.1611141431879588</v>
      </c>
      <c r="G72" s="19">
        <v>3.8756167236634553</v>
      </c>
      <c r="H72" s="19">
        <v>10.518092617528495</v>
      </c>
      <c r="I72" s="19">
        <v>11.50757747409061</v>
      </c>
      <c r="J72" s="19">
        <v>4.9140422921347238</v>
      </c>
      <c r="K72" s="19">
        <v>5.0464037125934595</v>
      </c>
      <c r="L72" s="19">
        <v>0.80526412695753891</v>
      </c>
      <c r="M72" s="19">
        <v>-1.6067923495359935</v>
      </c>
      <c r="N72" s="19">
        <v>5.2795175135730972</v>
      </c>
      <c r="O72" s="19">
        <v>5.5985150384952931</v>
      </c>
      <c r="P72" s="19">
        <v>4.0573463265853036</v>
      </c>
      <c r="Q72" s="19">
        <v>3.0556806251247508</v>
      </c>
      <c r="R72" s="19">
        <v>3.5068301624594227</v>
      </c>
      <c r="S72" s="19">
        <v>1.5589385716767481</v>
      </c>
      <c r="T72" s="19">
        <v>8.9391471589507603</v>
      </c>
      <c r="U72" s="19">
        <v>13.27968944305853</v>
      </c>
      <c r="V72" s="19">
        <v>9.0030442666979127</v>
      </c>
      <c r="W72" s="19">
        <v>8.6287676449290558</v>
      </c>
      <c r="X72" s="19">
        <v>4.5476896284558137</v>
      </c>
      <c r="Y72" s="19">
        <v>10.011329037958674</v>
      </c>
      <c r="Z72" s="19">
        <v>7.3485538963139874</v>
      </c>
      <c r="AA72" s="19">
        <v>9.9071711339919375</v>
      </c>
      <c r="AB72" s="19">
        <v>5.0944068404394471</v>
      </c>
      <c r="AC72" s="19">
        <v>9.7457627117354804</v>
      </c>
      <c r="AD72" s="19">
        <v>5.7915057914359949</v>
      </c>
      <c r="AE72" s="19">
        <v>4.7445255473911914</v>
      </c>
      <c r="AF72" s="19">
        <v>3.8327526131987355</v>
      </c>
      <c r="AG72" s="19">
        <v>5.4613204955269481</v>
      </c>
      <c r="AH72" s="19">
        <v>4.9208686038543732</v>
      </c>
      <c r="AI72" s="19">
        <v>5.6670291571585523</v>
      </c>
      <c r="AJ72" s="19">
        <v>1.1254045927516927</v>
      </c>
      <c r="AK72" s="19">
        <v>4.4728591893983065</v>
      </c>
      <c r="AL72" s="19">
        <v>2.9007907935330479</v>
      </c>
      <c r="AM72" s="19">
        <v>3.973172185374068</v>
      </c>
      <c r="AN72" s="19">
        <v>4.6424587701841062</v>
      </c>
      <c r="AO72" s="19">
        <v>4.9887305698547095</v>
      </c>
      <c r="AP72" s="19">
        <v>5.4923547401132282</v>
      </c>
      <c r="AQ72" s="19">
        <v>5.5754974611595713</v>
      </c>
      <c r="AR72" s="19">
        <v>6.053438782601873</v>
      </c>
      <c r="AS72" s="19">
        <v>6.3700038342316248</v>
      </c>
      <c r="AT72" s="19">
        <v>3.535251969317855</v>
      </c>
      <c r="AU72" s="19">
        <v>2.3902040278461385</v>
      </c>
      <c r="AV72" s="19">
        <v>3.1934547389789572</v>
      </c>
      <c r="AW72" s="19">
        <v>4.0920716120453022</v>
      </c>
      <c r="AX72" s="19">
        <v>4.4717444686046264</v>
      </c>
      <c r="AY72" s="19">
        <v>6.843838196989239</v>
      </c>
      <c r="AZ72" s="19">
        <v>7.08782742739524</v>
      </c>
      <c r="BA72" s="19">
        <v>7.1562835635168796</v>
      </c>
      <c r="BB72" s="19">
        <v>4.6735998004054267</v>
      </c>
      <c r="BC72" s="19">
        <v>5.1472348587329435</v>
      </c>
      <c r="BD72" s="19">
        <v>1.7645719492580128</v>
      </c>
      <c r="BE72" s="19">
        <v>2.2261997966213727</v>
      </c>
      <c r="BF72" s="19">
        <v>2.1854660547122648</v>
      </c>
      <c r="BG72" s="19">
        <v>2.9159118788358569</v>
      </c>
      <c r="BH72" s="19">
        <v>4.37201907940117</v>
      </c>
      <c r="BI72" s="19">
        <v>4.3466434533781211</v>
      </c>
      <c r="BJ72" s="19">
        <v>4.1812210009101847</v>
      </c>
      <c r="BK72" s="19">
        <v>5.3141210374639769</v>
      </c>
      <c r="BL72" s="19">
        <v>5.5576838879159283</v>
      </c>
      <c r="BM72" s="19">
        <v>3.5696694750485989</v>
      </c>
      <c r="BN72" s="19">
        <v>3.3267420905086027</v>
      </c>
    </row>
    <row r="73" spans="1:66" x14ac:dyDescent="0.2">
      <c r="A73" s="19" t="s">
        <v>597</v>
      </c>
      <c r="B73" s="19" t="s">
        <v>932</v>
      </c>
      <c r="C73" s="19" t="s">
        <v>863</v>
      </c>
      <c r="D73" s="19" t="s">
        <v>864</v>
      </c>
      <c r="P73" s="19">
        <v>3.7728897811306581</v>
      </c>
      <c r="Q73" s="19">
        <v>4.8912762602163014</v>
      </c>
      <c r="R73" s="19">
        <v>6.1516069938680147</v>
      </c>
      <c r="S73" s="19">
        <v>3.2137278482606604</v>
      </c>
      <c r="T73" s="19">
        <v>-0.77240181720080159</v>
      </c>
      <c r="U73" s="19">
        <v>5.0270267517367131</v>
      </c>
      <c r="V73" s="19">
        <v>3.0857826991839801</v>
      </c>
      <c r="W73" s="19">
        <v>3.1236846597586947</v>
      </c>
      <c r="X73" s="19">
        <v>3.8734540645994713</v>
      </c>
      <c r="Y73" s="19">
        <v>2.1593480640512865</v>
      </c>
      <c r="Z73" s="19">
        <v>0.5239586113510768</v>
      </c>
      <c r="AA73" s="19">
        <v>0.71275269565728649</v>
      </c>
      <c r="AB73" s="19">
        <v>1.3901479525076752</v>
      </c>
      <c r="AC73" s="19">
        <v>2.3787407389088742</v>
      </c>
      <c r="AD73" s="19">
        <v>2.3128861479788014</v>
      </c>
      <c r="AE73" s="19">
        <v>2.5075144118705879</v>
      </c>
      <c r="AF73" s="19">
        <v>2.5335701275845679</v>
      </c>
      <c r="AG73" s="19">
        <v>4.3059185189841003</v>
      </c>
      <c r="AH73" s="19">
        <v>4.099593232556515</v>
      </c>
      <c r="AI73" s="19">
        <v>3.603853522978099</v>
      </c>
      <c r="AJ73" s="19">
        <v>2.6773777619970787</v>
      </c>
      <c r="AK73" s="19">
        <v>1.4176833625552945</v>
      </c>
      <c r="AL73" s="19">
        <v>-0.66143727056953594</v>
      </c>
      <c r="AM73" s="19">
        <v>2.4602012993125726</v>
      </c>
      <c r="AN73" s="19">
        <v>2.4203529269986035</v>
      </c>
      <c r="AO73" s="19">
        <v>1.6904393371430757</v>
      </c>
      <c r="AP73" s="19">
        <v>2.7078228838716996</v>
      </c>
      <c r="AQ73" s="19">
        <v>3.0363567581378987</v>
      </c>
      <c r="AR73" s="19">
        <v>2.9649268154950903</v>
      </c>
      <c r="AS73" s="19">
        <v>3.8651626404686823</v>
      </c>
      <c r="AT73" s="19">
        <v>2.1957622314492795</v>
      </c>
      <c r="AU73" s="19">
        <v>0.94035153487904211</v>
      </c>
      <c r="AV73" s="19">
        <v>0.68220999245586711</v>
      </c>
      <c r="AW73" s="19">
        <v>2.2939324802378422</v>
      </c>
      <c r="AX73" s="19">
        <v>1.6814917040236139</v>
      </c>
      <c r="AY73" s="19">
        <v>3.2308554293692708</v>
      </c>
      <c r="AZ73" s="19">
        <v>3.0016468732035833</v>
      </c>
      <c r="BA73" s="19">
        <v>0.41667174283330155</v>
      </c>
      <c r="BB73" s="19">
        <v>-4.521139456959304</v>
      </c>
      <c r="BC73" s="19">
        <v>2.1806787775682608</v>
      </c>
      <c r="BD73" s="19">
        <v>1.7142289411430625</v>
      </c>
      <c r="BE73" s="19">
        <v>-0.84183247482296508</v>
      </c>
      <c r="BF73" s="19">
        <v>-0.21968232336260485</v>
      </c>
      <c r="BG73" s="19">
        <v>1.4026054348123438</v>
      </c>
      <c r="BH73" s="19">
        <v>2.0495684690150995</v>
      </c>
      <c r="BI73" s="19">
        <v>1.8640242699291321</v>
      </c>
      <c r="BJ73" s="19">
        <v>2.6177934306086854</v>
      </c>
      <c r="BK73" s="19">
        <v>1.7833786056683749</v>
      </c>
      <c r="BL73" s="19">
        <v>1.5820683520470453</v>
      </c>
      <c r="BM73" s="19">
        <v>-6.1385313960769139</v>
      </c>
      <c r="BN73" s="19">
        <v>5.3250571024247222</v>
      </c>
    </row>
    <row r="74" spans="1:66" x14ac:dyDescent="0.2">
      <c r="A74" s="19" t="s">
        <v>598</v>
      </c>
      <c r="B74" s="19" t="s">
        <v>933</v>
      </c>
      <c r="C74" s="19" t="s">
        <v>863</v>
      </c>
      <c r="D74" s="19" t="s">
        <v>864</v>
      </c>
      <c r="AL74" s="19">
        <v>13.454762500710203</v>
      </c>
      <c r="AM74" s="19">
        <v>21.221411187681355</v>
      </c>
      <c r="AN74" s="19">
        <v>2.8583790589486995</v>
      </c>
      <c r="AO74" s="19">
        <v>9.2588385634083181</v>
      </c>
      <c r="AP74" s="19">
        <v>7.9086845779407895</v>
      </c>
      <c r="AQ74" s="19">
        <v>1.7725830910031846</v>
      </c>
      <c r="AR74" s="19">
        <v>1.3480095910807677E-2</v>
      </c>
      <c r="AS74" s="19">
        <v>-3.1419859025163817</v>
      </c>
      <c r="AT74" s="19">
        <v>8.7554355281632468</v>
      </c>
      <c r="AU74" s="19">
        <v>3.0054291917378038</v>
      </c>
      <c r="AV74" s="19">
        <v>-2.6555159248755444</v>
      </c>
      <c r="AW74" s="19">
        <v>1.4517355659550617</v>
      </c>
      <c r="AX74" s="19">
        <v>2.5744495512484633</v>
      </c>
      <c r="AY74" s="19">
        <v>-0.96921711071135519</v>
      </c>
      <c r="AZ74" s="19">
        <v>1.4268222112032305</v>
      </c>
      <c r="BA74" s="19">
        <v>-9.7830300178245579</v>
      </c>
      <c r="BB74" s="19">
        <v>3.8765015275421035</v>
      </c>
      <c r="BC74" s="19">
        <v>2.1941903488808236</v>
      </c>
      <c r="BD74" s="19">
        <v>8.6798001013804935</v>
      </c>
    </row>
    <row r="75" spans="1:66" x14ac:dyDescent="0.2">
      <c r="A75" s="19" t="s">
        <v>599</v>
      </c>
      <c r="B75" s="19" t="s">
        <v>934</v>
      </c>
      <c r="C75" s="19" t="s">
        <v>863</v>
      </c>
      <c r="D75" s="19" t="s">
        <v>864</v>
      </c>
      <c r="F75" s="19">
        <v>11.838674194833203</v>
      </c>
      <c r="G75" s="19">
        <v>9.9534381030179446</v>
      </c>
      <c r="H75" s="19">
        <v>9.5964988741976072</v>
      </c>
      <c r="I75" s="19">
        <v>5.3085102455715116</v>
      </c>
      <c r="J75" s="19">
        <v>6.253134898984996</v>
      </c>
      <c r="K75" s="19">
        <v>7.246060309507854</v>
      </c>
      <c r="L75" s="19">
        <v>4.3403384170748893</v>
      </c>
      <c r="M75" s="19">
        <v>6.5970201375831152</v>
      </c>
      <c r="N75" s="19">
        <v>8.9070155552709593</v>
      </c>
      <c r="O75" s="19">
        <v>4.289182956775889</v>
      </c>
      <c r="P75" s="19">
        <v>4.6494736874632423</v>
      </c>
      <c r="Q75" s="19">
        <v>8.1497458095246316</v>
      </c>
      <c r="R75" s="19">
        <v>7.7884653578951912</v>
      </c>
      <c r="S75" s="19">
        <v>5.61878571735528</v>
      </c>
      <c r="T75" s="19">
        <v>0.54220321435749952</v>
      </c>
      <c r="U75" s="19">
        <v>3.3037915722368751</v>
      </c>
      <c r="V75" s="19">
        <v>2.8385743338570393</v>
      </c>
      <c r="W75" s="19">
        <v>1.4630032360058607</v>
      </c>
      <c r="X75" s="19">
        <v>4.1546514629359876E-2</v>
      </c>
      <c r="Y75" s="19">
        <v>2.2087281072924725</v>
      </c>
      <c r="Z75" s="19">
        <v>-0.13246845198897006</v>
      </c>
      <c r="AA75" s="19">
        <v>1.2464616056333142</v>
      </c>
      <c r="AB75" s="19">
        <v>1.7701157399855987</v>
      </c>
      <c r="AC75" s="19">
        <v>1.7846875068689485</v>
      </c>
      <c r="AD75" s="19">
        <v>2.3214359458680462</v>
      </c>
      <c r="AE75" s="19">
        <v>3.2533217057731036</v>
      </c>
      <c r="AF75" s="19">
        <v>5.5471226194434564</v>
      </c>
      <c r="AG75" s="19">
        <v>5.0943242039635805</v>
      </c>
      <c r="AH75" s="19">
        <v>4.8270302706883825</v>
      </c>
      <c r="AI75" s="19">
        <v>3.7813935550846196</v>
      </c>
      <c r="AJ75" s="19">
        <v>2.546000584728219</v>
      </c>
      <c r="AK75" s="19">
        <v>0.92921531605381347</v>
      </c>
      <c r="AL75" s="19">
        <v>-1.0314917289191072</v>
      </c>
      <c r="AM75" s="19">
        <v>2.3831953263955228</v>
      </c>
      <c r="AN75" s="19">
        <v>2.7574940459830373</v>
      </c>
      <c r="AO75" s="19">
        <v>2.6605616042964471</v>
      </c>
      <c r="AP75" s="19">
        <v>3.7024946271661463</v>
      </c>
      <c r="AQ75" s="19">
        <v>4.3931007345225765</v>
      </c>
      <c r="AR75" s="19">
        <v>4.4905533784064033</v>
      </c>
      <c r="AS75" s="19">
        <v>5.2459438237780347</v>
      </c>
      <c r="AT75" s="19">
        <v>3.9330027648927199</v>
      </c>
      <c r="AU75" s="19">
        <v>2.7309483293099532</v>
      </c>
      <c r="AV75" s="19">
        <v>2.9819363164467205</v>
      </c>
      <c r="AW75" s="19">
        <v>3.1227335166262407</v>
      </c>
      <c r="AX75" s="19">
        <v>3.6520841919014373</v>
      </c>
      <c r="AY75" s="19">
        <v>4.1026857407270541</v>
      </c>
      <c r="AZ75" s="19">
        <v>3.6047384619981813</v>
      </c>
      <c r="BA75" s="19">
        <v>0.88706704557641558</v>
      </c>
      <c r="BB75" s="19">
        <v>-3.7631070424473023</v>
      </c>
      <c r="BC75" s="19">
        <v>0.16291951775822611</v>
      </c>
      <c r="BD75" s="19">
        <v>-0.81438477664892162</v>
      </c>
      <c r="BE75" s="19">
        <v>-2.9589221323002448</v>
      </c>
      <c r="BF75" s="19">
        <v>-1.4033418679063772</v>
      </c>
      <c r="BG75" s="19">
        <v>1.3957753672797537</v>
      </c>
      <c r="BH75" s="19">
        <v>3.8385188766748399</v>
      </c>
      <c r="BI75" s="19">
        <v>3.037774141724455</v>
      </c>
      <c r="BJ75" s="19">
        <v>2.9757607292486341</v>
      </c>
      <c r="BK75" s="19">
        <v>2.2844694194762241</v>
      </c>
      <c r="BL75" s="19">
        <v>1.9839662230883022</v>
      </c>
      <c r="BM75" s="19">
        <v>-11.325438322286402</v>
      </c>
      <c r="BN75" s="19">
        <v>5.5195949732681981</v>
      </c>
    </row>
    <row r="76" spans="1:66" x14ac:dyDescent="0.2">
      <c r="A76" s="19" t="s">
        <v>600</v>
      </c>
      <c r="B76" s="19" t="s">
        <v>935</v>
      </c>
      <c r="C76" s="19" t="s">
        <v>863</v>
      </c>
      <c r="D76" s="19" t="s">
        <v>864</v>
      </c>
      <c r="AO76" s="19">
        <v>4.9430144912670215</v>
      </c>
      <c r="AP76" s="19">
        <v>13.050014744183258</v>
      </c>
      <c r="AQ76" s="19">
        <v>4.3398255102615053</v>
      </c>
      <c r="AR76" s="19">
        <v>-0.42502515676211772</v>
      </c>
      <c r="AS76" s="19">
        <v>10.087634440695112</v>
      </c>
      <c r="AT76" s="19">
        <v>6.0036742510657319</v>
      </c>
      <c r="AU76" s="19">
        <v>6.7713679304361989</v>
      </c>
      <c r="AV76" s="19">
        <v>7.6002651850870677</v>
      </c>
      <c r="AW76" s="19">
        <v>6.8040077705013573</v>
      </c>
      <c r="AX76" s="19">
        <v>9.5264269716208787</v>
      </c>
      <c r="AY76" s="19">
        <v>9.7655833699770795</v>
      </c>
      <c r="AZ76" s="19">
        <v>7.5791405204676465</v>
      </c>
      <c r="BA76" s="19">
        <v>-5.132000957685193</v>
      </c>
      <c r="BB76" s="19">
        <v>-14.629055032422272</v>
      </c>
      <c r="BC76" s="19">
        <v>2.4442651179978441</v>
      </c>
      <c r="BD76" s="19">
        <v>7.2630845812869467</v>
      </c>
      <c r="BE76" s="19">
        <v>3.2282004935898101</v>
      </c>
      <c r="BF76" s="19">
        <v>1.4584286361599226</v>
      </c>
      <c r="BG76" s="19">
        <v>3.0113665865145549</v>
      </c>
      <c r="BH76" s="19">
        <v>1.8530200462934232</v>
      </c>
      <c r="BI76" s="19">
        <v>3.1555648143830837</v>
      </c>
      <c r="BJ76" s="19">
        <v>5.7920446746649361</v>
      </c>
      <c r="BK76" s="19">
        <v>3.7842008495282613</v>
      </c>
      <c r="BL76" s="19">
        <v>3.7397066816164539</v>
      </c>
      <c r="BM76" s="19">
        <v>-0.55100125774715991</v>
      </c>
      <c r="BN76" s="19">
        <v>8.0134629240084223</v>
      </c>
    </row>
    <row r="77" spans="1:66" x14ac:dyDescent="0.2">
      <c r="A77" s="19" t="s">
        <v>601</v>
      </c>
      <c r="B77" s="19" t="s">
        <v>936</v>
      </c>
      <c r="C77" s="19" t="s">
        <v>863</v>
      </c>
      <c r="D77" s="19" t="s">
        <v>864</v>
      </c>
      <c r="AA77" s="19">
        <v>0.91601385673818925</v>
      </c>
      <c r="AB77" s="19">
        <v>8.2350057191368649</v>
      </c>
      <c r="AC77" s="19">
        <v>-2.8480214522147236</v>
      </c>
      <c r="AD77" s="19">
        <v>-11.144352977926459</v>
      </c>
      <c r="AE77" s="19">
        <v>9.6616123612220974</v>
      </c>
      <c r="AF77" s="19">
        <v>13.859330394974606</v>
      </c>
      <c r="AG77" s="19">
        <v>0.50367487929776189</v>
      </c>
      <c r="AH77" s="19">
        <v>-0.36104417975226966</v>
      </c>
      <c r="AI77" s="19">
        <v>2.7264517827265848</v>
      </c>
      <c r="AJ77" s="19">
        <v>-7.1374797002742838</v>
      </c>
      <c r="AK77" s="19">
        <v>-8.6724801478884217</v>
      </c>
      <c r="AL77" s="19">
        <v>13.142833976515362</v>
      </c>
      <c r="AM77" s="19">
        <v>3.1899645821796128</v>
      </c>
      <c r="AN77" s="19">
        <v>6.1275114137654469</v>
      </c>
      <c r="AO77" s="19">
        <v>12.426173777464555</v>
      </c>
      <c r="AP77" s="19">
        <v>3.1339068508759311</v>
      </c>
      <c r="AQ77" s="19">
        <v>-3.4581391337174239</v>
      </c>
      <c r="AR77" s="19">
        <v>5.162145821055347</v>
      </c>
      <c r="AS77" s="19">
        <v>6.0732174795795686</v>
      </c>
      <c r="AT77" s="19">
        <v>8.3013063205232811</v>
      </c>
      <c r="AU77" s="19">
        <v>1.5147257063110118</v>
      </c>
      <c r="AV77" s="19">
        <v>-2.1613597220579805</v>
      </c>
      <c r="AW77" s="19">
        <v>13.572603136869475</v>
      </c>
      <c r="AX77" s="19">
        <v>11.818765946649407</v>
      </c>
      <c r="AY77" s="19">
        <v>10.834727065876976</v>
      </c>
      <c r="AZ77" s="19">
        <v>11.456167000023612</v>
      </c>
      <c r="BA77" s="19">
        <v>10.788521685372515</v>
      </c>
      <c r="BB77" s="19">
        <v>8.8025531978256595</v>
      </c>
      <c r="BC77" s="19">
        <v>12.550538345930761</v>
      </c>
      <c r="BD77" s="19">
        <v>11.178296227164125</v>
      </c>
      <c r="BE77" s="19">
        <v>8.647811633374161</v>
      </c>
      <c r="BF77" s="19">
        <v>10.582270048267219</v>
      </c>
      <c r="BG77" s="19">
        <v>10.257492961005127</v>
      </c>
      <c r="BH77" s="19">
        <v>10.392463020233407</v>
      </c>
      <c r="BI77" s="19">
        <v>9.4334826578440243</v>
      </c>
      <c r="BJ77" s="19">
        <v>9.564189642956066</v>
      </c>
      <c r="BK77" s="19">
        <v>6.8161477968170345</v>
      </c>
      <c r="BL77" s="19">
        <v>8.364085699078899</v>
      </c>
      <c r="BM77" s="19">
        <v>6.0595308864336914</v>
      </c>
      <c r="BN77" s="19">
        <v>5.6373030081922479</v>
      </c>
    </row>
    <row r="78" spans="1:66" x14ac:dyDescent="0.2">
      <c r="A78" s="19" t="s">
        <v>602</v>
      </c>
      <c r="B78" s="19" t="s">
        <v>937</v>
      </c>
      <c r="C78" s="19" t="s">
        <v>863</v>
      </c>
      <c r="D78" s="19" t="s">
        <v>864</v>
      </c>
      <c r="P78" s="19">
        <v>3.6345439091229679</v>
      </c>
      <c r="Q78" s="19">
        <v>4.7597879575273367</v>
      </c>
      <c r="R78" s="19">
        <v>6.0090265675824241</v>
      </c>
      <c r="S78" s="19">
        <v>3.095738649007103</v>
      </c>
      <c r="T78" s="19">
        <v>-0.66186727588321048</v>
      </c>
      <c r="U78" s="19">
        <v>4.8921293534797741</v>
      </c>
      <c r="V78" s="19">
        <v>2.8746040419512155</v>
      </c>
      <c r="W78" s="19">
        <v>3.0502425784154354</v>
      </c>
      <c r="X78" s="19">
        <v>3.8721313925916121</v>
      </c>
      <c r="Y78" s="19">
        <v>2.0752370685816572</v>
      </c>
      <c r="Z78" s="19">
        <v>0.51203529058525987</v>
      </c>
      <c r="AA78" s="19">
        <v>0.81252976683596501</v>
      </c>
      <c r="AB78" s="19">
        <v>1.4488315987704965</v>
      </c>
      <c r="AC78" s="19">
        <v>2.4963300680385316</v>
      </c>
      <c r="AD78" s="19">
        <v>2.3528950977986796</v>
      </c>
      <c r="AE78" s="19">
        <v>2.5858338048123386</v>
      </c>
      <c r="AF78" s="19">
        <v>2.5203482351518147</v>
      </c>
      <c r="AG78" s="19">
        <v>4.1624340851543309</v>
      </c>
      <c r="AH78" s="19">
        <v>3.9181729298509111</v>
      </c>
      <c r="AI78" s="19">
        <v>3.3826375333045462</v>
      </c>
      <c r="AJ78" s="19">
        <v>1.8589308518605066</v>
      </c>
      <c r="AK78" s="19">
        <v>1.160143164985584</v>
      </c>
      <c r="AL78" s="19">
        <v>-0.5736807290559085</v>
      </c>
      <c r="AM78" s="19">
        <v>2.6523582629849329</v>
      </c>
      <c r="AN78" s="19">
        <v>2.6630913532219296</v>
      </c>
      <c r="AO78" s="19">
        <v>1.8821424717690292</v>
      </c>
      <c r="AP78" s="19">
        <v>2.6535238206903955</v>
      </c>
      <c r="AQ78" s="19">
        <v>3.0113924860996235</v>
      </c>
      <c r="AR78" s="19">
        <v>2.9496342908277455</v>
      </c>
      <c r="AS78" s="19">
        <v>3.9005295642563453</v>
      </c>
      <c r="AT78" s="19">
        <v>2.1759014879800844</v>
      </c>
      <c r="AU78" s="19">
        <v>1.110687224504602</v>
      </c>
      <c r="AV78" s="19">
        <v>0.90808573512030932</v>
      </c>
      <c r="AW78" s="19">
        <v>2.5926097980721181</v>
      </c>
      <c r="AX78" s="19">
        <v>1.9247201083260705</v>
      </c>
      <c r="AY78" s="19">
        <v>3.4937153907483491</v>
      </c>
      <c r="AZ78" s="19">
        <v>3.1558705845390733</v>
      </c>
      <c r="BA78" s="19">
        <v>0.64072474466155427</v>
      </c>
      <c r="BB78" s="19">
        <v>-4.3485093084026545</v>
      </c>
      <c r="BC78" s="19">
        <v>2.2252059010107246</v>
      </c>
      <c r="BD78" s="19">
        <v>1.8936009039395714</v>
      </c>
      <c r="BE78" s="19">
        <v>-0.69988340580552233</v>
      </c>
      <c r="BF78" s="19">
        <v>-8.3821656384770904E-2</v>
      </c>
      <c r="BG78" s="19">
        <v>1.5975742571908</v>
      </c>
      <c r="BH78" s="19">
        <v>2.3070570104627706</v>
      </c>
      <c r="BI78" s="19">
        <v>1.9771259863288151</v>
      </c>
      <c r="BJ78" s="19">
        <v>2.8384812727148017</v>
      </c>
      <c r="BK78" s="19">
        <v>2.0659529999266226</v>
      </c>
      <c r="BL78" s="19">
        <v>1.8051070548930568</v>
      </c>
      <c r="BM78" s="19">
        <v>-5.6775806625654468</v>
      </c>
      <c r="BN78" s="19">
        <v>5.3925210252157854</v>
      </c>
    </row>
    <row r="79" spans="1:66" x14ac:dyDescent="0.2">
      <c r="A79" s="19" t="s">
        <v>603</v>
      </c>
      <c r="B79" s="19" t="s">
        <v>938</v>
      </c>
      <c r="C79" s="19" t="s">
        <v>863</v>
      </c>
      <c r="D79" s="19" t="s">
        <v>864</v>
      </c>
      <c r="N79" s="19">
        <v>13.287383725660945</v>
      </c>
      <c r="O79" s="19">
        <v>13.587764634772356</v>
      </c>
      <c r="P79" s="19">
        <v>9.552236582142541</v>
      </c>
      <c r="Q79" s="19">
        <v>2.7163769504543893</v>
      </c>
      <c r="R79" s="19">
        <v>4.167793242486411</v>
      </c>
      <c r="S79" s="19">
        <v>9.696150480042661</v>
      </c>
      <c r="T79" s="19">
        <v>-0.37444087722911945</v>
      </c>
      <c r="U79" s="19">
        <v>7.4380580246679102</v>
      </c>
      <c r="V79" s="19">
        <v>4.3513367294174969</v>
      </c>
      <c r="W79" s="19">
        <v>-1.1968930434813103</v>
      </c>
      <c r="X79" s="19">
        <v>5.7257103258190511</v>
      </c>
      <c r="Y79" s="19">
        <v>6.1200451342449611</v>
      </c>
      <c r="Z79" s="19">
        <v>-4.0535538365974162</v>
      </c>
      <c r="AA79" s="19">
        <v>-1.1575856956728217</v>
      </c>
      <c r="AB79" s="19">
        <v>-4.756837945790295</v>
      </c>
      <c r="AC79" s="19">
        <v>-0.65225310369700651</v>
      </c>
      <c r="AD79" s="19">
        <v>3.1950476302537112</v>
      </c>
      <c r="AE79" s="19">
        <v>2.0652972898774777</v>
      </c>
      <c r="AF79" s="19">
        <v>4.3131014120607603</v>
      </c>
      <c r="AG79" s="19">
        <v>3.2306083532927232</v>
      </c>
      <c r="AH79" s="19">
        <v>0.59689459959938063</v>
      </c>
      <c r="AI79" s="19">
        <v>5.0369182478910943</v>
      </c>
      <c r="AJ79" s="19">
        <v>-7.5357464099124059</v>
      </c>
      <c r="AK79" s="19">
        <v>0.63651326004132613</v>
      </c>
      <c r="AL79" s="19">
        <v>-1.5541917796408455</v>
      </c>
      <c r="AM79" s="19">
        <v>-3.8016765339826719</v>
      </c>
      <c r="AN79" s="19">
        <v>6.7646836901147367E-2</v>
      </c>
      <c r="AO79" s="19">
        <v>3.6159067154465987</v>
      </c>
      <c r="AP79" s="19">
        <v>4.9519682589866107</v>
      </c>
      <c r="AQ79" s="19">
        <v>5.7501024869762318</v>
      </c>
      <c r="AR79" s="19">
        <v>3.3184657269003566</v>
      </c>
      <c r="AS79" s="19">
        <v>5.4414156899789532</v>
      </c>
      <c r="AT79" s="19">
        <v>4.3254579759511671</v>
      </c>
      <c r="AU79" s="19">
        <v>4.6433849765003004</v>
      </c>
      <c r="AV79" s="19">
        <v>1.2321816553988469</v>
      </c>
      <c r="AW79" s="19">
        <v>11.063511977254976</v>
      </c>
      <c r="AX79" s="19">
        <v>5.8398122367560887</v>
      </c>
      <c r="AY79" s="19">
        <v>5.8600889729255812</v>
      </c>
      <c r="AZ79" s="19">
        <v>6.0104889229295964</v>
      </c>
      <c r="BA79" s="19">
        <v>5.0355853172424929</v>
      </c>
      <c r="BB79" s="19">
        <v>2.8824720454708341</v>
      </c>
      <c r="BC79" s="19">
        <v>6.9452922376873829</v>
      </c>
      <c r="BD79" s="19">
        <v>3.9707493466636379E-3</v>
      </c>
      <c r="BE79" s="19">
        <v>4.8655523981221904</v>
      </c>
      <c r="BF79" s="19">
        <v>3.4776112394608276</v>
      </c>
      <c r="BG79" s="19">
        <v>2.1578778860792625</v>
      </c>
      <c r="BH79" s="19">
        <v>0.92225179174938887</v>
      </c>
      <c r="BI79" s="19">
        <v>2.3959841185464654</v>
      </c>
      <c r="BJ79" s="19">
        <v>2.4821982732726013</v>
      </c>
      <c r="BK79" s="19">
        <v>2.6202069274933848</v>
      </c>
      <c r="BL79" s="19">
        <v>2.2063240545316916</v>
      </c>
      <c r="BM79" s="19">
        <v>-4.0832327963127852</v>
      </c>
      <c r="BN79" s="19">
        <v>2.1558225610578177</v>
      </c>
    </row>
    <row r="80" spans="1:66" x14ac:dyDescent="0.2">
      <c r="A80" s="19" t="s">
        <v>604</v>
      </c>
      <c r="B80" s="19" t="s">
        <v>939</v>
      </c>
      <c r="C80" s="19" t="s">
        <v>863</v>
      </c>
      <c r="D80" s="19" t="s">
        <v>864</v>
      </c>
      <c r="F80" s="19">
        <v>7.6046704792442625</v>
      </c>
      <c r="G80" s="19">
        <v>2.9819455361032539</v>
      </c>
      <c r="H80" s="19">
        <v>3.2850996357034035</v>
      </c>
      <c r="I80" s="19">
        <v>5.2386865978934622</v>
      </c>
      <c r="J80" s="19">
        <v>5.302857802282773</v>
      </c>
      <c r="K80" s="19">
        <v>2.3728230152816963</v>
      </c>
      <c r="L80" s="19">
        <v>2.1688288828741946</v>
      </c>
      <c r="M80" s="19">
        <v>2.3032899835567378</v>
      </c>
      <c r="N80" s="19">
        <v>9.5932877848003528</v>
      </c>
      <c r="O80" s="19">
        <v>4.813736796010943</v>
      </c>
      <c r="P80" s="19">
        <v>2.356921357599532</v>
      </c>
      <c r="Q80" s="19">
        <v>7.7354855019503788</v>
      </c>
      <c r="R80" s="19">
        <v>6.9838278447512465</v>
      </c>
      <c r="S80" s="19">
        <v>3.236533040285309</v>
      </c>
      <c r="T80" s="19">
        <v>1.8048982772672417</v>
      </c>
      <c r="U80" s="19">
        <v>0.34438248547492378</v>
      </c>
      <c r="V80" s="19">
        <v>0.23951082931115764</v>
      </c>
      <c r="W80" s="19">
        <v>2.9197074119354056</v>
      </c>
      <c r="X80" s="19">
        <v>7.1219263714912273</v>
      </c>
      <c r="Y80" s="19">
        <v>5.3890478802277784</v>
      </c>
      <c r="Z80" s="19">
        <v>1.3158788537491972</v>
      </c>
      <c r="AA80" s="19">
        <v>3.1080886930702718</v>
      </c>
      <c r="AB80" s="19">
        <v>3.1165815141662705</v>
      </c>
      <c r="AC80" s="19">
        <v>3.2376919958560393</v>
      </c>
      <c r="AD80" s="19">
        <v>3.54889658723026</v>
      </c>
      <c r="AE80" s="19">
        <v>2.7556334586149376</v>
      </c>
      <c r="AF80" s="19">
        <v>3.5748261383020719</v>
      </c>
      <c r="AG80" s="19">
        <v>5.2171503226572611</v>
      </c>
      <c r="AH80" s="19">
        <v>5.0871436741819878</v>
      </c>
      <c r="AI80" s="19">
        <v>0.67027584428976184</v>
      </c>
      <c r="AJ80" s="19">
        <v>-5.8863280694266678</v>
      </c>
      <c r="AK80" s="19">
        <v>-3.2946600657571423</v>
      </c>
      <c r="AL80" s="19">
        <v>-0.66199803041908467</v>
      </c>
      <c r="AM80" s="19">
        <v>3.9630524237012139</v>
      </c>
      <c r="AN80" s="19">
        <v>4.2168674698795314</v>
      </c>
      <c r="AO80" s="19">
        <v>3.6671798297847715</v>
      </c>
      <c r="AP80" s="19">
        <v>6.3337956541839873</v>
      </c>
      <c r="AQ80" s="19">
        <v>5.457180500658751</v>
      </c>
      <c r="AR80" s="19">
        <v>4.3795757227455709</v>
      </c>
      <c r="AS80" s="19">
        <v>5.7733624584816994</v>
      </c>
      <c r="AT80" s="19">
        <v>2.6100191239207362</v>
      </c>
      <c r="AU80" s="19">
        <v>1.7071489619806499</v>
      </c>
      <c r="AV80" s="19">
        <v>2.0037842028506105</v>
      </c>
      <c r="AW80" s="19">
        <v>3.9920912903208716</v>
      </c>
      <c r="AX80" s="19">
        <v>2.7798505555612252</v>
      </c>
      <c r="AY80" s="19">
        <v>4.0274096580257321</v>
      </c>
      <c r="AZ80" s="19">
        <v>5.2993365073902083</v>
      </c>
      <c r="BA80" s="19">
        <v>0.78399506087652071</v>
      </c>
      <c r="BB80" s="19">
        <v>-8.0744474323113025</v>
      </c>
      <c r="BC80" s="19">
        <v>3.1859586540770266</v>
      </c>
      <c r="BD80" s="19">
        <v>2.5476648384262717</v>
      </c>
      <c r="BE80" s="19">
        <v>-1.3975457281778176</v>
      </c>
      <c r="BF80" s="19">
        <v>-0.90169631619484392</v>
      </c>
      <c r="BG80" s="19">
        <v>-0.36490815688206624</v>
      </c>
      <c r="BH80" s="19">
        <v>0.54365921176548682</v>
      </c>
      <c r="BI80" s="19">
        <v>2.8114577666343337</v>
      </c>
      <c r="BJ80" s="19">
        <v>3.192409629684164</v>
      </c>
      <c r="BK80" s="19">
        <v>1.1397180134304961</v>
      </c>
      <c r="BL80" s="19">
        <v>1.2247489220622327</v>
      </c>
      <c r="BM80" s="19">
        <v>-2.2051393728223019</v>
      </c>
      <c r="BN80" s="19">
        <v>2.9732293564089503</v>
      </c>
    </row>
    <row r="81" spans="1:66" x14ac:dyDescent="0.2">
      <c r="A81" s="19" t="s">
        <v>605</v>
      </c>
      <c r="B81" s="19" t="s">
        <v>940</v>
      </c>
      <c r="C81" s="19" t="s">
        <v>863</v>
      </c>
      <c r="D81" s="19" t="s">
        <v>864</v>
      </c>
      <c r="F81" s="19">
        <v>3.5175820027896236</v>
      </c>
      <c r="G81" s="19">
        <v>3.6061021458595235</v>
      </c>
      <c r="H81" s="19">
        <v>6.3587719682761019</v>
      </c>
      <c r="I81" s="19">
        <v>4.8772807333479875</v>
      </c>
      <c r="J81" s="19">
        <v>-2.7002669588781174</v>
      </c>
      <c r="K81" s="19">
        <v>0</v>
      </c>
      <c r="L81" s="19">
        <v>13.351828321404241</v>
      </c>
      <c r="M81" s="19">
        <v>7.9162215587623024</v>
      </c>
      <c r="N81" s="19">
        <v>2.596410512711401</v>
      </c>
      <c r="O81" s="19">
        <v>12.702711127905062</v>
      </c>
      <c r="P81" s="19">
        <v>6.8889866648806759</v>
      </c>
      <c r="Q81" s="19">
        <v>7.485276673390203</v>
      </c>
      <c r="R81" s="19">
        <v>11.612868505689036</v>
      </c>
      <c r="S81" s="19">
        <v>2.6011499097748896</v>
      </c>
      <c r="T81" s="19">
        <v>0.53021118912421628</v>
      </c>
      <c r="U81" s="19">
        <v>2.7361632474302269</v>
      </c>
      <c r="V81" s="19">
        <v>5.9040118422699805</v>
      </c>
      <c r="W81" s="19">
        <v>1.8634014508879488</v>
      </c>
      <c r="X81" s="19">
        <v>12.224819769670532</v>
      </c>
      <c r="Y81" s="19">
        <v>-1.6034569351729147</v>
      </c>
      <c r="Z81" s="19">
        <v>6.3299905489136847</v>
      </c>
      <c r="AA81" s="19">
        <v>-5.9784862003210009</v>
      </c>
      <c r="AB81" s="19">
        <v>-3.9601230102399683</v>
      </c>
      <c r="AC81" s="19">
        <v>8.3930244723568563</v>
      </c>
      <c r="AD81" s="19">
        <v>-4.6134748681464544</v>
      </c>
      <c r="AE81" s="19">
        <v>7.7499079670327831</v>
      </c>
      <c r="AF81" s="19">
        <v>-6.6150199951141957</v>
      </c>
      <c r="AG81" s="19">
        <v>0.95575487281516303</v>
      </c>
      <c r="AH81" s="19">
        <v>7.4386324348911614</v>
      </c>
      <c r="AI81" s="19">
        <v>5.8000027198299051</v>
      </c>
      <c r="AJ81" s="19">
        <v>-2.7000037291636971</v>
      </c>
      <c r="AK81" s="19">
        <v>6.1000019098767808</v>
      </c>
      <c r="AL81" s="19">
        <v>2.1300324213827366</v>
      </c>
      <c r="AM81" s="19">
        <v>5.0999996085217418</v>
      </c>
      <c r="AN81" s="19">
        <v>2.4999985384687164</v>
      </c>
      <c r="AO81" s="19">
        <v>4.8000004302096215</v>
      </c>
      <c r="AP81" s="19">
        <v>-2.1999993686925023</v>
      </c>
      <c r="AQ81" s="19">
        <v>1.3000004515381107</v>
      </c>
      <c r="AR81" s="19">
        <v>8.799998719272395</v>
      </c>
      <c r="AS81" s="19">
        <v>-1.6999984160551094</v>
      </c>
      <c r="AT81" s="19">
        <v>2.0000001467520576</v>
      </c>
      <c r="AU81" s="19">
        <v>3.1999991137326731</v>
      </c>
      <c r="AV81" s="19">
        <v>0.99999934475729901</v>
      </c>
      <c r="AW81" s="19">
        <v>5.2999997046093483</v>
      </c>
      <c r="AX81" s="19">
        <v>0.70000040243243689</v>
      </c>
      <c r="AY81" s="19">
        <v>1.8524838719948633</v>
      </c>
      <c r="AZ81" s="19">
        <v>-0.85065431004582592</v>
      </c>
      <c r="BA81" s="19">
        <v>1.0327942202596745</v>
      </c>
      <c r="BB81" s="19">
        <v>-1.3860377076358077</v>
      </c>
      <c r="BC81" s="19">
        <v>2.9546724221224139</v>
      </c>
      <c r="BD81" s="19">
        <v>2.7051430290104861</v>
      </c>
      <c r="BE81" s="19">
        <v>1.4113143817796754</v>
      </c>
      <c r="BF81" s="19">
        <v>4.7342194895653193</v>
      </c>
      <c r="BG81" s="19">
        <v>5.6035148874531018</v>
      </c>
      <c r="BH81" s="19">
        <v>4.5011993922279316</v>
      </c>
      <c r="BI81" s="19">
        <v>2.4456520076996782</v>
      </c>
      <c r="BJ81" s="19">
        <v>5.3533649370696565</v>
      </c>
      <c r="BK81" s="19">
        <v>3.8123509704722096</v>
      </c>
      <c r="BL81" s="19">
        <v>-0.58194637101209423</v>
      </c>
      <c r="BM81" s="19">
        <v>-17.000235019774095</v>
      </c>
      <c r="BN81" s="19">
        <v>-5.1116073932128501</v>
      </c>
    </row>
    <row r="82" spans="1:66" x14ac:dyDescent="0.2">
      <c r="A82" s="19" t="s">
        <v>606</v>
      </c>
      <c r="B82" s="19" t="s">
        <v>941</v>
      </c>
      <c r="C82" s="19" t="s">
        <v>863</v>
      </c>
      <c r="D82" s="19" t="s">
        <v>864</v>
      </c>
      <c r="F82" s="19">
        <v>4.980111849138396</v>
      </c>
      <c r="G82" s="19">
        <v>6.8434699852358563</v>
      </c>
      <c r="H82" s="19">
        <v>6.2336799520917907</v>
      </c>
      <c r="I82" s="19">
        <v>6.6520995076007239</v>
      </c>
      <c r="J82" s="19">
        <v>4.861507695806381</v>
      </c>
      <c r="K82" s="19">
        <v>5.2518370456608636</v>
      </c>
      <c r="L82" s="19">
        <v>4.9211489152846326</v>
      </c>
      <c r="M82" s="19">
        <v>4.4913088857900618</v>
      </c>
      <c r="N82" s="19">
        <v>7.1094753448523562</v>
      </c>
      <c r="O82" s="19">
        <v>6.1086798128515198</v>
      </c>
      <c r="P82" s="19">
        <v>5.3167158968814903</v>
      </c>
      <c r="Q82" s="19">
        <v>4.5113740186173885</v>
      </c>
      <c r="R82" s="19">
        <v>6.3445806746978946</v>
      </c>
      <c r="S82" s="19">
        <v>4.3009191430828366</v>
      </c>
      <c r="T82" s="19">
        <v>-0.95988474622309639</v>
      </c>
      <c r="U82" s="19">
        <v>4.3567589027683624</v>
      </c>
      <c r="V82" s="19">
        <v>3.4643120042878763</v>
      </c>
      <c r="W82" s="19">
        <v>3.9785437223583813</v>
      </c>
      <c r="X82" s="19">
        <v>3.5499891566924191</v>
      </c>
      <c r="Y82" s="19">
        <v>1.578745259905844</v>
      </c>
      <c r="Z82" s="19">
        <v>1.0690198385372724</v>
      </c>
      <c r="AA82" s="19">
        <v>2.5053966163757906</v>
      </c>
      <c r="AB82" s="19">
        <v>1.2408648621155862</v>
      </c>
      <c r="AC82" s="19">
        <v>1.5137216034431589</v>
      </c>
      <c r="AD82" s="19">
        <v>1.6227813671579412</v>
      </c>
      <c r="AE82" s="19">
        <v>2.3372763497996942</v>
      </c>
      <c r="AF82" s="19">
        <v>2.561900334501189</v>
      </c>
      <c r="AG82" s="19">
        <v>4.7431421935648359</v>
      </c>
      <c r="AH82" s="19">
        <v>4.343861062676126</v>
      </c>
      <c r="AI82" s="19">
        <v>2.9239350812307379</v>
      </c>
      <c r="AJ82" s="19">
        <v>1.0481758470443481</v>
      </c>
      <c r="AK82" s="19">
        <v>1.5993426768712737</v>
      </c>
      <c r="AL82" s="19">
        <v>-0.62866635190543718</v>
      </c>
      <c r="AM82" s="19">
        <v>2.3583421811189851</v>
      </c>
      <c r="AN82" s="19">
        <v>2.106695253259744</v>
      </c>
      <c r="AO82" s="19">
        <v>1.4129936725000221</v>
      </c>
      <c r="AP82" s="19">
        <v>2.3362965293794389</v>
      </c>
      <c r="AQ82" s="19">
        <v>3.5886594253542654</v>
      </c>
      <c r="AR82" s="19">
        <v>3.421373798824547</v>
      </c>
      <c r="AS82" s="19">
        <v>3.9236692270406337</v>
      </c>
      <c r="AT82" s="19">
        <v>1.9837214186329248</v>
      </c>
      <c r="AU82" s="19">
        <v>1.135531482146007</v>
      </c>
      <c r="AV82" s="19">
        <v>0.8231607566841177</v>
      </c>
      <c r="AW82" s="19">
        <v>2.8297529286989089</v>
      </c>
      <c r="AX82" s="19">
        <v>1.663219980300795</v>
      </c>
      <c r="AY82" s="19">
        <v>2.4493236011188486</v>
      </c>
      <c r="AZ82" s="19">
        <v>2.4247362433730473</v>
      </c>
      <c r="BA82" s="19">
        <v>0.2549459601240045</v>
      </c>
      <c r="BB82" s="19">
        <v>-2.8733138284963076</v>
      </c>
      <c r="BC82" s="19">
        <v>1.9494376231266273</v>
      </c>
      <c r="BD82" s="19">
        <v>2.1927006326665435</v>
      </c>
      <c r="BE82" s="19">
        <v>0.31313475107717181</v>
      </c>
      <c r="BF82" s="19">
        <v>0.57632667477179211</v>
      </c>
      <c r="BG82" s="19">
        <v>0.9561830523715571</v>
      </c>
      <c r="BH82" s="19">
        <v>1.1129123405746952</v>
      </c>
      <c r="BI82" s="19">
        <v>1.0954644037204844</v>
      </c>
      <c r="BJ82" s="19">
        <v>2.2914199941702122</v>
      </c>
      <c r="BK82" s="19">
        <v>1.8650660708199922</v>
      </c>
      <c r="BL82" s="19">
        <v>1.8429718144589629</v>
      </c>
      <c r="BM82" s="19">
        <v>-7.7845864916787093</v>
      </c>
      <c r="BN82" s="19">
        <v>6.8165891364987345</v>
      </c>
    </row>
    <row r="83" spans="1:66" x14ac:dyDescent="0.2">
      <c r="A83" s="19" t="s">
        <v>607</v>
      </c>
      <c r="B83" s="19" t="s">
        <v>942</v>
      </c>
      <c r="C83" s="19" t="s">
        <v>863</v>
      </c>
      <c r="D83" s="19" t="s">
        <v>864</v>
      </c>
    </row>
    <row r="84" spans="1:66" x14ac:dyDescent="0.2">
      <c r="A84" s="19" t="s">
        <v>608</v>
      </c>
      <c r="B84" s="19" t="s">
        <v>943</v>
      </c>
      <c r="C84" s="19" t="s">
        <v>863</v>
      </c>
      <c r="D84" s="19" t="s">
        <v>864</v>
      </c>
      <c r="AF84" s="19">
        <v>1.1997600479904094</v>
      </c>
      <c r="AG84" s="19">
        <v>2.5489033787788884</v>
      </c>
      <c r="AH84" s="19">
        <v>3.5260115606936324</v>
      </c>
      <c r="AI84" s="19">
        <v>3.7409268565047569</v>
      </c>
      <c r="AJ84" s="19">
        <v>7.427341227125936</v>
      </c>
      <c r="AK84" s="19">
        <v>4.008016032064134</v>
      </c>
      <c r="AL84" s="19">
        <v>8.1406551059730106</v>
      </c>
      <c r="AM84" s="19">
        <v>-0.53452115812918066</v>
      </c>
      <c r="AN84" s="19">
        <v>7.0144648454993188</v>
      </c>
      <c r="AO84" s="19">
        <v>-3.182371518973838</v>
      </c>
      <c r="AP84" s="19">
        <v>-6.0609374365162978</v>
      </c>
      <c r="AQ84" s="19">
        <v>2.8505158599975005</v>
      </c>
      <c r="AR84" s="19">
        <v>1.3744383896125498</v>
      </c>
      <c r="AS84" s="19">
        <v>4.8339037861711063</v>
      </c>
      <c r="AT84" s="19">
        <v>2.1676024405049077</v>
      </c>
      <c r="AU84" s="19">
        <v>0.54699767249934439</v>
      </c>
      <c r="AV84" s="19">
        <v>1.5721150674310849</v>
      </c>
      <c r="AW84" s="19">
        <v>-3.0801530474747381</v>
      </c>
      <c r="AX84" s="19">
        <v>2.0418671639554447</v>
      </c>
      <c r="AY84" s="19">
        <v>-8.105529341648321E-2</v>
      </c>
      <c r="AZ84" s="19">
        <v>-1.8361852940239771</v>
      </c>
      <c r="BA84" s="19">
        <v>-2.40849258666222</v>
      </c>
      <c r="BB84" s="19">
        <v>1.0930992410524567</v>
      </c>
      <c r="BC84" s="19">
        <v>2.2593899558593193</v>
      </c>
      <c r="BD84" s="19">
        <v>3.1885747547392782</v>
      </c>
      <c r="BE84" s="19">
        <v>-1.8668197547554399</v>
      </c>
      <c r="BF84" s="19">
        <v>-3.6797677907348287</v>
      </c>
      <c r="BG84" s="19">
        <v>-2.3057757452932464</v>
      </c>
      <c r="BH84" s="19">
        <v>4.6218840040493916</v>
      </c>
      <c r="BI84" s="19">
        <v>0.90018041651693181</v>
      </c>
      <c r="BJ84" s="19">
        <v>2.6821859444555116</v>
      </c>
      <c r="BK84" s="19">
        <v>0.21165360012676615</v>
      </c>
      <c r="BL84" s="19">
        <v>1.1747992282974593</v>
      </c>
      <c r="BM84" s="19">
        <v>-1.7654151522511654</v>
      </c>
      <c r="BN84" s="19">
        <v>-3.1881871974007225</v>
      </c>
    </row>
    <row r="85" spans="1:66" x14ac:dyDescent="0.2">
      <c r="A85" s="19" t="s">
        <v>609</v>
      </c>
      <c r="B85" s="19" t="s">
        <v>944</v>
      </c>
      <c r="C85" s="19" t="s">
        <v>863</v>
      </c>
      <c r="D85" s="19" t="s">
        <v>864</v>
      </c>
      <c r="F85" s="19">
        <v>14.766843186833214</v>
      </c>
      <c r="G85" s="19">
        <v>7.4492115968867125</v>
      </c>
      <c r="H85" s="19">
        <v>6.0924352840359859</v>
      </c>
      <c r="I85" s="19">
        <v>4.5544536344038562</v>
      </c>
      <c r="J85" s="19">
        <v>8.3333356604117057</v>
      </c>
      <c r="K85" s="19">
        <v>4.5080045667000377</v>
      </c>
      <c r="L85" s="19">
        <v>4.1151528542629308</v>
      </c>
      <c r="M85" s="19">
        <v>2.5088008805875575</v>
      </c>
      <c r="N85" s="19">
        <v>8.0829104338171476</v>
      </c>
      <c r="O85" s="19">
        <v>8.6793421755607056</v>
      </c>
      <c r="P85" s="19">
        <v>10.258730911689852</v>
      </c>
      <c r="Q85" s="19">
        <v>11.336970683066184</v>
      </c>
      <c r="R85" s="19">
        <v>10.1824336186273</v>
      </c>
      <c r="S85" s="19">
        <v>39.487095178844839</v>
      </c>
      <c r="T85" s="19">
        <v>19.190114910001682</v>
      </c>
      <c r="U85" s="19">
        <v>35.625337969777462</v>
      </c>
      <c r="V85" s="19">
        <v>-12.582091168196015</v>
      </c>
      <c r="W85" s="19">
        <v>-24.049206070007315</v>
      </c>
      <c r="X85" s="19">
        <v>0.47440527972284485</v>
      </c>
      <c r="Y85" s="19">
        <v>2.5529371576521669</v>
      </c>
      <c r="Z85" s="19">
        <v>5.0953292789578626</v>
      </c>
      <c r="AA85" s="19">
        <v>-3.0975203978053401</v>
      </c>
      <c r="AB85" s="19">
        <v>5.6082406792530293</v>
      </c>
      <c r="AC85" s="19">
        <v>7.5089023083957755</v>
      </c>
      <c r="AD85" s="19">
        <v>-2.3329493326941559</v>
      </c>
      <c r="AE85" s="19">
        <v>-0.80359773390293299</v>
      </c>
      <c r="AF85" s="19">
        <v>-17.146042214897562</v>
      </c>
      <c r="AG85" s="19">
        <v>12.845353248086738</v>
      </c>
      <c r="AH85" s="19">
        <v>8.545309989825455</v>
      </c>
      <c r="AI85" s="19">
        <v>5.1922372765239828</v>
      </c>
      <c r="AJ85" s="19">
        <v>6.1125034830117784</v>
      </c>
      <c r="AK85" s="19">
        <v>-3.0901456515439349</v>
      </c>
      <c r="AL85" s="19">
        <v>3.9465550079024183</v>
      </c>
      <c r="AM85" s="19">
        <v>3.7127548410896622</v>
      </c>
      <c r="AN85" s="19">
        <v>4.9738477633510314</v>
      </c>
      <c r="AO85" s="19">
        <v>3.6250490202798744</v>
      </c>
      <c r="AP85" s="19">
        <v>5.7383673948384342</v>
      </c>
      <c r="AQ85" s="19">
        <v>3.4778335871890107</v>
      </c>
      <c r="AR85" s="19">
        <v>-8.9326228023010543</v>
      </c>
      <c r="AS85" s="19">
        <v>-1.8829663976089677</v>
      </c>
      <c r="AT85" s="19">
        <v>2.1352334219742346</v>
      </c>
      <c r="AU85" s="19">
        <v>-0.24903316854343416</v>
      </c>
      <c r="AV85" s="19">
        <v>2.2473300115045021</v>
      </c>
      <c r="AW85" s="19">
        <v>0.68954305846484942</v>
      </c>
      <c r="AX85" s="19">
        <v>2.6762033331092567</v>
      </c>
      <c r="AY85" s="19">
        <v>-2.8065783556905188</v>
      </c>
      <c r="AZ85" s="19">
        <v>6.0081080248766767</v>
      </c>
      <c r="BA85" s="19">
        <v>-3.3084306487875068</v>
      </c>
      <c r="BB85" s="19">
        <v>0.13033111981661705</v>
      </c>
      <c r="BC85" s="19">
        <v>7.0898873145512624</v>
      </c>
      <c r="BD85" s="19">
        <v>7.0917533425865429</v>
      </c>
      <c r="BE85" s="19">
        <v>5.251076917504065</v>
      </c>
      <c r="BF85" s="19">
        <v>5.6386990033869608</v>
      </c>
      <c r="BG85" s="19">
        <v>4.314964441074693</v>
      </c>
      <c r="BH85" s="19">
        <v>3.8788993950789035</v>
      </c>
      <c r="BI85" s="19">
        <v>2.0914422082956179</v>
      </c>
      <c r="BJ85" s="19">
        <v>0.47264203091114609</v>
      </c>
      <c r="BK85" s="19">
        <v>0.83791658082157028</v>
      </c>
      <c r="BL85" s="19">
        <v>3.9208087945283125</v>
      </c>
      <c r="BM85" s="19">
        <v>-1.8377610635094044</v>
      </c>
      <c r="BN85" s="19">
        <v>1.4622865101020039</v>
      </c>
    </row>
    <row r="86" spans="1:66" x14ac:dyDescent="0.2">
      <c r="A86" s="19" t="s">
        <v>610</v>
      </c>
      <c r="B86" s="19" t="s">
        <v>945</v>
      </c>
      <c r="C86" s="19" t="s">
        <v>863</v>
      </c>
      <c r="D86" s="19" t="s">
        <v>864</v>
      </c>
      <c r="F86" s="19">
        <v>2.6771189434537206</v>
      </c>
      <c r="G86" s="19">
        <v>1.1029096492187023</v>
      </c>
      <c r="H86" s="19">
        <v>4.8743839976477972</v>
      </c>
      <c r="I86" s="19">
        <v>5.5336593860234871</v>
      </c>
      <c r="J86" s="19">
        <v>2.1421765435456877</v>
      </c>
      <c r="K86" s="19">
        <v>1.5731004140522344</v>
      </c>
      <c r="L86" s="19">
        <v>2.7864746416750705</v>
      </c>
      <c r="M86" s="19">
        <v>5.441083437661149</v>
      </c>
      <c r="N86" s="19">
        <v>1.9240968346989433</v>
      </c>
      <c r="O86" s="19">
        <v>6.8409136511873356</v>
      </c>
      <c r="P86" s="19">
        <v>3.5047174413017359</v>
      </c>
      <c r="Q86" s="19">
        <v>4.3216675637751933</v>
      </c>
      <c r="R86" s="19">
        <v>6.523848526750669</v>
      </c>
      <c r="S86" s="19">
        <v>-2.4844040663604687</v>
      </c>
      <c r="T86" s="19">
        <v>-1.4736495003407839</v>
      </c>
      <c r="U86" s="19">
        <v>2.91026624061044</v>
      </c>
      <c r="V86" s="19">
        <v>2.457750493230165</v>
      </c>
      <c r="W86" s="19">
        <v>4.2042605109881634</v>
      </c>
      <c r="X86" s="19">
        <v>3.7490165398636179</v>
      </c>
      <c r="Y86" s="19">
        <v>-2.0313677495444722</v>
      </c>
      <c r="Z86" s="19">
        <v>-0.78774385857072104</v>
      </c>
      <c r="AA86" s="19">
        <v>1.9948912132198302</v>
      </c>
      <c r="AB86" s="19">
        <v>4.2218563558393214</v>
      </c>
      <c r="AC86" s="19">
        <v>2.2691052210610536</v>
      </c>
      <c r="AD86" s="19">
        <v>4.1474149893305565</v>
      </c>
      <c r="AE86" s="19">
        <v>3.1503405138210354</v>
      </c>
      <c r="AF86" s="19">
        <v>5.392738322974381</v>
      </c>
      <c r="AG86" s="19">
        <v>5.7324136975072832</v>
      </c>
      <c r="AH86" s="19">
        <v>2.5776026881443386</v>
      </c>
      <c r="AI86" s="19">
        <v>0.73375550307721937</v>
      </c>
      <c r="AJ86" s="19">
        <v>-1.1031215610864678</v>
      </c>
      <c r="AK86" s="19">
        <v>0.40108198437822296</v>
      </c>
      <c r="AL86" s="19">
        <v>2.4898309651207029</v>
      </c>
      <c r="AM86" s="19">
        <v>3.8460092251483786</v>
      </c>
      <c r="AN86" s="19">
        <v>2.5316699644224911</v>
      </c>
      <c r="AO86" s="19">
        <v>1.9078071010523416</v>
      </c>
      <c r="AP86" s="19">
        <v>4.3665810742652127</v>
      </c>
      <c r="AQ86" s="19">
        <v>3.1572873386309936</v>
      </c>
      <c r="AR86" s="19">
        <v>3.0140704762541048</v>
      </c>
      <c r="AS86" s="19">
        <v>4.0926534775365155</v>
      </c>
      <c r="AT86" s="19">
        <v>2.1574281778483169</v>
      </c>
      <c r="AU86" s="19">
        <v>1.7707652987726874</v>
      </c>
      <c r="AV86" s="19">
        <v>3.1230533125868902</v>
      </c>
      <c r="AW86" s="19">
        <v>2.3449714816166107</v>
      </c>
      <c r="AX86" s="19">
        <v>2.66833765676094</v>
      </c>
      <c r="AY86" s="19">
        <v>2.1604053205911242</v>
      </c>
      <c r="AZ86" s="19">
        <v>2.5634604605010907</v>
      </c>
      <c r="BA86" s="19">
        <v>-0.15434431470650622</v>
      </c>
      <c r="BB86" s="19">
        <v>-4.5104856001178462</v>
      </c>
      <c r="BC86" s="19">
        <v>2.4300728950270383</v>
      </c>
      <c r="BD86" s="19">
        <v>1.0676109140365782</v>
      </c>
      <c r="BE86" s="19">
        <v>1.4484567568850508</v>
      </c>
      <c r="BF86" s="19">
        <v>1.8198633746836776</v>
      </c>
      <c r="BG86" s="19">
        <v>3.1997026261480102</v>
      </c>
      <c r="BH86" s="19">
        <v>2.3931031839859997</v>
      </c>
      <c r="BI86" s="19">
        <v>2.1652062105218306</v>
      </c>
      <c r="BJ86" s="19">
        <v>2.4435704698798588</v>
      </c>
      <c r="BK86" s="19">
        <v>1.705021022329035</v>
      </c>
      <c r="BL86" s="19">
        <v>1.6043086478739923</v>
      </c>
      <c r="BM86" s="19">
        <v>-11.030858455197944</v>
      </c>
      <c r="BN86" s="19">
        <v>7.5249103736768603</v>
      </c>
    </row>
    <row r="87" spans="1:66" x14ac:dyDescent="0.2">
      <c r="A87" s="19" t="s">
        <v>611</v>
      </c>
      <c r="B87" s="19" t="s">
        <v>946</v>
      </c>
      <c r="C87" s="19" t="s">
        <v>863</v>
      </c>
      <c r="D87" s="19" t="s">
        <v>864</v>
      </c>
      <c r="K87" s="19">
        <v>7.5356312935316794</v>
      </c>
      <c r="L87" s="19">
        <v>6.2499995422267745</v>
      </c>
      <c r="M87" s="19">
        <v>4.4563348133172269</v>
      </c>
      <c r="N87" s="19">
        <v>4.778149722892806</v>
      </c>
      <c r="O87" s="19">
        <v>12.052116246489604</v>
      </c>
      <c r="P87" s="19">
        <v>2.4709361270037107</v>
      </c>
      <c r="Q87" s="19">
        <v>2.8368738079910258</v>
      </c>
      <c r="R87" s="19">
        <v>6.482761547015258</v>
      </c>
      <c r="S87" s="19">
        <v>8.8082934096107408</v>
      </c>
      <c r="T87" s="19">
        <v>7.3809453009056654</v>
      </c>
      <c r="U87" s="19">
        <v>6.0975642334440323</v>
      </c>
      <c r="V87" s="19">
        <v>6.8965501591246294</v>
      </c>
      <c r="W87" s="19">
        <v>7.429127694022398</v>
      </c>
      <c r="X87" s="19">
        <v>7.3703460693994174</v>
      </c>
      <c r="Y87" s="19">
        <v>4.576266276400446</v>
      </c>
      <c r="Z87" s="19">
        <v>5.2674236555569962</v>
      </c>
      <c r="AA87" s="19">
        <v>2.0015385416908487</v>
      </c>
      <c r="AB87" s="19">
        <v>4.3018868446915945</v>
      </c>
      <c r="AC87" s="19">
        <v>5.4269229686346137</v>
      </c>
      <c r="AD87" s="19">
        <v>4.9416554201326335</v>
      </c>
      <c r="AE87" s="19">
        <v>-8.1752758913186483</v>
      </c>
      <c r="AF87" s="19">
        <v>1.2820428463811595</v>
      </c>
      <c r="AG87" s="19">
        <v>5.5555580797822586</v>
      </c>
      <c r="AH87" s="19">
        <v>-7.1952018949027234</v>
      </c>
      <c r="AI87" s="19">
        <v>-14.788225900517631</v>
      </c>
      <c r="AJ87" s="19">
        <v>-21.100000727839827</v>
      </c>
      <c r="AK87" s="19">
        <v>-44.899999456532782</v>
      </c>
      <c r="AL87" s="19">
        <v>-29.300001972657768</v>
      </c>
      <c r="AM87" s="19">
        <v>-10.399993971727653</v>
      </c>
      <c r="AN87" s="19">
        <v>2.5999967243372168</v>
      </c>
      <c r="AO87" s="19">
        <v>11.200002007543702</v>
      </c>
      <c r="AP87" s="19">
        <v>10.519041221783709</v>
      </c>
      <c r="AQ87" s="19">
        <v>3.1049027177783302</v>
      </c>
      <c r="AR87" s="19">
        <v>2.8692570442772052</v>
      </c>
      <c r="AS87" s="19">
        <v>1.8383410661422062</v>
      </c>
      <c r="AT87" s="19">
        <v>4.8054532725550132</v>
      </c>
      <c r="AU87" s="19">
        <v>5.4738368011959295</v>
      </c>
      <c r="AV87" s="19">
        <v>11.058723193664605</v>
      </c>
      <c r="AW87" s="19">
        <v>5.794496345698505</v>
      </c>
      <c r="AX87" s="19">
        <v>9.58957406160836</v>
      </c>
      <c r="AY87" s="19">
        <v>9.4197706475973604</v>
      </c>
      <c r="AZ87" s="19">
        <v>12.578953430897343</v>
      </c>
      <c r="BA87" s="19">
        <v>2.4185716590417172</v>
      </c>
      <c r="BB87" s="19">
        <v>-3.6505136306939363</v>
      </c>
      <c r="BC87" s="19">
        <v>6.2494877678718694</v>
      </c>
      <c r="BD87" s="19">
        <v>7.3999998671419007</v>
      </c>
      <c r="BE87" s="19">
        <v>6.3690083063385998</v>
      </c>
      <c r="BF87" s="19">
        <v>3.6213053519627607</v>
      </c>
      <c r="BG87" s="19">
        <v>4.4319248230907817</v>
      </c>
      <c r="BH87" s="19">
        <v>3.0222073801970311</v>
      </c>
      <c r="BI87" s="19">
        <v>2.9064387800206362</v>
      </c>
      <c r="BJ87" s="19">
        <v>4.8426032249658562</v>
      </c>
      <c r="BK87" s="19">
        <v>4.8429198850662658</v>
      </c>
      <c r="BL87" s="19">
        <v>4.9823504751110619</v>
      </c>
      <c r="BM87" s="19">
        <v>-6.760439817055186</v>
      </c>
      <c r="BN87" s="19">
        <v>10.465537292388589</v>
      </c>
    </row>
    <row r="88" spans="1:66" x14ac:dyDescent="0.2">
      <c r="A88" s="19" t="s">
        <v>612</v>
      </c>
      <c r="B88" s="19" t="s">
        <v>947</v>
      </c>
      <c r="C88" s="19" t="s">
        <v>863</v>
      </c>
      <c r="D88" s="19" t="s">
        <v>864</v>
      </c>
      <c r="F88" s="19">
        <v>3.4296740146287448</v>
      </c>
      <c r="G88" s="19">
        <v>4.1091586062577363</v>
      </c>
      <c r="H88" s="19">
        <v>4.4059741994364714</v>
      </c>
      <c r="I88" s="19">
        <v>2.2093275018463885</v>
      </c>
      <c r="J88" s="19">
        <v>1.368998869709543</v>
      </c>
      <c r="K88" s="19">
        <v>-4.258290369720072</v>
      </c>
      <c r="L88" s="19">
        <v>3.0753640500780932</v>
      </c>
      <c r="M88" s="19">
        <v>0.36886032865963614</v>
      </c>
      <c r="N88" s="19">
        <v>6.0061749662476842</v>
      </c>
      <c r="O88" s="19">
        <v>9.7234725870862775</v>
      </c>
      <c r="P88" s="19">
        <v>5.2161245570605956</v>
      </c>
      <c r="Q88" s="19">
        <v>-2.4876554021492865</v>
      </c>
      <c r="R88" s="19">
        <v>2.8845841948016044</v>
      </c>
      <c r="S88" s="19">
        <v>6.8525168322058505</v>
      </c>
      <c r="T88" s="19">
        <v>-12.431629021459727</v>
      </c>
      <c r="U88" s="19">
        <v>-3.5301828062753629</v>
      </c>
      <c r="V88" s="19">
        <v>2.2741072416995678</v>
      </c>
      <c r="W88" s="19">
        <v>8.4759356023217123</v>
      </c>
      <c r="X88" s="19">
        <v>-2.5149414195930149</v>
      </c>
      <c r="Y88" s="19">
        <v>0.47169594317210795</v>
      </c>
      <c r="Z88" s="19">
        <v>-3.5030669469670528</v>
      </c>
      <c r="AA88" s="19">
        <v>-6.9236504105538899</v>
      </c>
      <c r="AB88" s="19">
        <v>-4.5637375045894544</v>
      </c>
      <c r="AC88" s="19">
        <v>8.6475694567159707</v>
      </c>
      <c r="AD88" s="19">
        <v>5.0916172720113764</v>
      </c>
      <c r="AE88" s="19">
        <v>5.1991606797487719</v>
      </c>
      <c r="AF88" s="19">
        <v>4.7948988794078105</v>
      </c>
      <c r="AG88" s="19">
        <v>5.628168763594573</v>
      </c>
      <c r="AH88" s="19">
        <v>5.0858727001384239</v>
      </c>
      <c r="AI88" s="19">
        <v>3.32881788321653</v>
      </c>
      <c r="AJ88" s="19">
        <v>5.2818263983442932</v>
      </c>
      <c r="AK88" s="19">
        <v>3.8794190803751718</v>
      </c>
      <c r="AL88" s="19">
        <v>4.8500005537941178</v>
      </c>
      <c r="AM88" s="19">
        <v>3.2999997394774709</v>
      </c>
      <c r="AN88" s="19">
        <v>4.1124189716286139</v>
      </c>
      <c r="AO88" s="19">
        <v>4.6024611556462673</v>
      </c>
      <c r="AP88" s="19">
        <v>4.1963574401957118</v>
      </c>
      <c r="AQ88" s="19">
        <v>4.7003907842791079</v>
      </c>
      <c r="AR88" s="19">
        <v>4.3999968254529591</v>
      </c>
      <c r="AS88" s="19">
        <v>3.7000000816440775</v>
      </c>
      <c r="AT88" s="19">
        <v>4.0000001280791935</v>
      </c>
      <c r="AU88" s="19">
        <v>4.4999995590033137</v>
      </c>
      <c r="AV88" s="19">
        <v>5.2000001331009997</v>
      </c>
      <c r="AW88" s="19">
        <v>5.5999999907744495</v>
      </c>
      <c r="AX88" s="19">
        <v>5.9000038185510704</v>
      </c>
      <c r="AY88" s="19">
        <v>6.3999126061803366</v>
      </c>
      <c r="AZ88" s="19">
        <v>4.3468191044007938</v>
      </c>
      <c r="BA88" s="19">
        <v>9.1497989383181704</v>
      </c>
      <c r="BB88" s="19">
        <v>4.844487051750761</v>
      </c>
      <c r="BC88" s="19">
        <v>7.8997119405162124</v>
      </c>
      <c r="BD88" s="19">
        <v>14.047123580314903</v>
      </c>
      <c r="BE88" s="19">
        <v>9.2927894063004999</v>
      </c>
      <c r="BF88" s="19">
        <v>7.3125250167814499</v>
      </c>
      <c r="BG88" s="19">
        <v>2.8562401633088257</v>
      </c>
      <c r="BH88" s="19">
        <v>2.1207593381733432</v>
      </c>
      <c r="BI88" s="19">
        <v>3.3734657496693643</v>
      </c>
      <c r="BJ88" s="19">
        <v>8.1288948810095576</v>
      </c>
      <c r="BK88" s="19">
        <v>6.2000776812728446</v>
      </c>
      <c r="BL88" s="19">
        <v>6.5077747939152033</v>
      </c>
      <c r="BM88" s="19">
        <v>0.51394164832065314</v>
      </c>
      <c r="BN88" s="19">
        <v>5.3564778969957842</v>
      </c>
    </row>
    <row r="89" spans="1:66" x14ac:dyDescent="0.2">
      <c r="A89" s="19" t="s">
        <v>613</v>
      </c>
      <c r="B89" s="19" t="s">
        <v>948</v>
      </c>
      <c r="C89" s="19" t="s">
        <v>863</v>
      </c>
      <c r="D89" s="19" t="s">
        <v>864</v>
      </c>
    </row>
    <row r="90" spans="1:66" x14ac:dyDescent="0.2">
      <c r="A90" s="19" t="s">
        <v>614</v>
      </c>
      <c r="B90" s="19" t="s">
        <v>949</v>
      </c>
      <c r="C90" s="19" t="s">
        <v>863</v>
      </c>
      <c r="D90" s="19" t="s">
        <v>864</v>
      </c>
      <c r="AF90" s="19">
        <v>3.2999388428000458</v>
      </c>
      <c r="AG90" s="19">
        <v>6.3081167019752371</v>
      </c>
      <c r="AH90" s="19">
        <v>4.0034760101484039</v>
      </c>
      <c r="AI90" s="19">
        <v>4.3240627548313029</v>
      </c>
      <c r="AJ90" s="19">
        <v>2.6134230035890624</v>
      </c>
      <c r="AK90" s="19">
        <v>3.2709473006040923</v>
      </c>
      <c r="AL90" s="19">
        <v>5.0441445417922921</v>
      </c>
      <c r="AM90" s="19">
        <v>3.9700991059549438</v>
      </c>
      <c r="AN90" s="19">
        <v>4.6076732020757731</v>
      </c>
      <c r="AO90" s="19">
        <v>4.4615750852507858</v>
      </c>
      <c r="AP90" s="19">
        <v>5.1816034586230586</v>
      </c>
      <c r="AQ90" s="19">
        <v>3.6441212424690832</v>
      </c>
      <c r="AR90" s="19">
        <v>3.8120040345900179</v>
      </c>
      <c r="AS90" s="19">
        <v>2.5030605615604173</v>
      </c>
      <c r="AT90" s="19">
        <v>3.6583464707044442</v>
      </c>
      <c r="AU90" s="19">
        <v>5.1646094655974082</v>
      </c>
      <c r="AV90" s="19">
        <v>1.2486012601965939</v>
      </c>
      <c r="AW90" s="19">
        <v>2.3401173125667185</v>
      </c>
      <c r="AX90" s="19">
        <v>2.9972725615335918</v>
      </c>
      <c r="AY90" s="19">
        <v>1.1896021172437941</v>
      </c>
      <c r="AZ90" s="19">
        <v>6.817471112525368</v>
      </c>
      <c r="BA90" s="19">
        <v>4.1330161587992365</v>
      </c>
      <c r="BB90" s="19">
        <v>-1.1226420484868669</v>
      </c>
      <c r="BC90" s="19">
        <v>4.8133601696755335</v>
      </c>
      <c r="BD90" s="19">
        <v>5.6121117743097528</v>
      </c>
      <c r="BE90" s="19">
        <v>5.9152862613332218</v>
      </c>
      <c r="BF90" s="19">
        <v>3.9456870862405253</v>
      </c>
      <c r="BG90" s="19">
        <v>3.6965531166408567</v>
      </c>
      <c r="BH90" s="19">
        <v>3.8259105694943543</v>
      </c>
      <c r="BI90" s="19">
        <v>10.82062719659001</v>
      </c>
      <c r="BJ90" s="19">
        <v>10.300005342735517</v>
      </c>
      <c r="BK90" s="19">
        <v>6.3584919273671545</v>
      </c>
      <c r="BL90" s="19">
        <v>5.6169144688987558</v>
      </c>
      <c r="BM90" s="19">
        <v>4.9202663724335025</v>
      </c>
      <c r="BN90" s="19">
        <v>3.8999999999057593</v>
      </c>
    </row>
    <row r="91" spans="1:66" x14ac:dyDescent="0.2">
      <c r="A91" s="19" t="s">
        <v>615</v>
      </c>
      <c r="B91" s="19" t="s">
        <v>950</v>
      </c>
      <c r="C91" s="19" t="s">
        <v>863</v>
      </c>
      <c r="D91" s="19" t="s">
        <v>864</v>
      </c>
      <c r="L91" s="19">
        <v>0</v>
      </c>
      <c r="M91" s="19">
        <v>9.5761434687649398</v>
      </c>
      <c r="N91" s="19">
        <v>2.4355228811132577</v>
      </c>
      <c r="O91" s="19">
        <v>6.1538465726228537</v>
      </c>
      <c r="P91" s="19">
        <v>-6.5877039405094706E-2</v>
      </c>
      <c r="Q91" s="19">
        <v>0.24170478501123682</v>
      </c>
      <c r="R91" s="19">
        <v>9.2503292534554618</v>
      </c>
      <c r="S91" s="19">
        <v>5.8787936102978335</v>
      </c>
      <c r="T91" s="19">
        <v>12.393429090692322</v>
      </c>
      <c r="U91" s="19">
        <v>7.3512257324752142</v>
      </c>
      <c r="V91" s="19">
        <v>3.4395760595896832</v>
      </c>
      <c r="W91" s="19">
        <v>6.3164463097617869</v>
      </c>
      <c r="X91" s="19">
        <v>-1.328183161649747</v>
      </c>
      <c r="Y91" s="19">
        <v>6.2700796055635379</v>
      </c>
      <c r="Z91" s="19">
        <v>3.3218940106494159</v>
      </c>
      <c r="AA91" s="19">
        <v>-0.76458263715004193</v>
      </c>
      <c r="AB91" s="19">
        <v>10.883227767559191</v>
      </c>
      <c r="AC91" s="19">
        <v>3.5352573016993745</v>
      </c>
      <c r="AD91" s="19">
        <v>-0.81226466056230606</v>
      </c>
      <c r="AE91" s="19">
        <v>4.091070740996912</v>
      </c>
      <c r="AF91" s="19">
        <v>2.4543325967863154</v>
      </c>
      <c r="AG91" s="19">
        <v>4.4768269207635711</v>
      </c>
      <c r="AH91" s="19">
        <v>5.895721872647357</v>
      </c>
      <c r="AI91" s="19">
        <v>3.5588793675698298</v>
      </c>
      <c r="AJ91" s="19">
        <v>3.1070392238558071</v>
      </c>
      <c r="AK91" s="19">
        <v>3.3786887912181243</v>
      </c>
      <c r="AL91" s="19">
        <v>3.0121013743749927</v>
      </c>
      <c r="AM91" s="19">
        <v>0.15434595984513066</v>
      </c>
      <c r="AN91" s="19">
        <v>0.88184824075467816</v>
      </c>
      <c r="AO91" s="19">
        <v>2.2235456383862697</v>
      </c>
      <c r="AP91" s="19">
        <v>4.8999991099968128</v>
      </c>
      <c r="AQ91" s="19">
        <v>3.4999987020530625</v>
      </c>
      <c r="AR91" s="19">
        <v>6.3999990500930153</v>
      </c>
      <c r="AS91" s="19">
        <v>5.5000002163295534</v>
      </c>
      <c r="AT91" s="19">
        <v>5.8000002432337681</v>
      </c>
      <c r="AU91" s="19">
        <v>-3.2500001497020605</v>
      </c>
      <c r="AV91" s="19">
        <v>6.8699996217384154</v>
      </c>
      <c r="AW91" s="19">
        <v>7.0500000006463495</v>
      </c>
      <c r="AX91" s="19">
        <v>-2.3517293617601922</v>
      </c>
      <c r="AY91" s="19">
        <v>-0.555580977246521</v>
      </c>
      <c r="AZ91" s="19">
        <v>3.0432495082973929</v>
      </c>
      <c r="BA91" s="19">
        <v>6.2559055339428653</v>
      </c>
      <c r="BB91" s="19">
        <v>6.6657243078366974</v>
      </c>
      <c r="BC91" s="19">
        <v>5.9083358096828817</v>
      </c>
      <c r="BD91" s="19">
        <v>-8.1304442231565872</v>
      </c>
      <c r="BE91" s="19">
        <v>5.2415692463074066</v>
      </c>
      <c r="BF91" s="19">
        <v>2.8727687903270009</v>
      </c>
      <c r="BG91" s="19">
        <v>-1.4073824951095446</v>
      </c>
      <c r="BH91" s="19">
        <v>4.0580738039996049</v>
      </c>
      <c r="BI91" s="19">
        <v>1.9433596547877556</v>
      </c>
      <c r="BJ91" s="19">
        <v>4.8226112492756954</v>
      </c>
      <c r="BK91" s="19">
        <v>7.2348903325857918</v>
      </c>
      <c r="BL91" s="19">
        <v>6.2220531599485867</v>
      </c>
      <c r="BM91" s="19">
        <v>0.59148728787397431</v>
      </c>
      <c r="BN91" s="19">
        <v>4.2654921615856267</v>
      </c>
    </row>
    <row r="92" spans="1:66" x14ac:dyDescent="0.2">
      <c r="A92" s="19" t="s">
        <v>616</v>
      </c>
      <c r="B92" s="19" t="s">
        <v>951</v>
      </c>
      <c r="C92" s="19" t="s">
        <v>863</v>
      </c>
      <c r="D92" s="19" t="s">
        <v>864</v>
      </c>
      <c r="P92" s="19">
        <v>-3.9109674582126672</v>
      </c>
      <c r="Q92" s="19">
        <v>6.374860893573171</v>
      </c>
      <c r="R92" s="19">
        <v>1.1098927901000053</v>
      </c>
      <c r="S92" s="19">
        <v>4.5592410484833295</v>
      </c>
      <c r="T92" s="19">
        <v>7.8455843197444466</v>
      </c>
      <c r="U92" s="19">
        <v>4.9434553050193841</v>
      </c>
      <c r="V92" s="19">
        <v>-7.1700699710659137</v>
      </c>
      <c r="W92" s="19">
        <v>13.126043380621908</v>
      </c>
      <c r="X92" s="19">
        <v>1.994144362536133</v>
      </c>
      <c r="Y92" s="19">
        <v>-15.952651498529761</v>
      </c>
      <c r="Z92" s="19">
        <v>18.167528152638496</v>
      </c>
      <c r="AA92" s="19">
        <v>4.2000821347952382</v>
      </c>
      <c r="AB92" s="19">
        <v>-3.3982874292349976</v>
      </c>
      <c r="AC92" s="19">
        <v>9.1092229864351708</v>
      </c>
      <c r="AD92" s="19">
        <v>4.1664928969836268</v>
      </c>
      <c r="AE92" s="19">
        <v>-0.79384762618845173</v>
      </c>
      <c r="AF92" s="19">
        <v>2.9000000074466783</v>
      </c>
      <c r="AG92" s="19">
        <v>4.5999999883504756</v>
      </c>
      <c r="AH92" s="19">
        <v>6.10000002147288</v>
      </c>
      <c r="AI92" s="19">
        <v>6.0999999864017411</v>
      </c>
      <c r="AJ92" s="19">
        <v>5.1000000227847835</v>
      </c>
      <c r="AK92" s="19">
        <v>1.0999999711895185</v>
      </c>
      <c r="AL92" s="19">
        <v>2.0999999996825807</v>
      </c>
      <c r="AM92" s="19">
        <v>3.2000000204495507</v>
      </c>
      <c r="AN92" s="19">
        <v>4.4000000080332882</v>
      </c>
      <c r="AO92" s="19">
        <v>11.599999996280872</v>
      </c>
      <c r="AP92" s="19">
        <v>6.5</v>
      </c>
      <c r="AQ92" s="19">
        <v>-28.099979729357514</v>
      </c>
      <c r="AR92" s="19">
        <v>1.0255374085929674</v>
      </c>
      <c r="AS92" s="19">
        <v>5.4269873668677064</v>
      </c>
      <c r="AT92" s="19">
        <v>2.188906814707309</v>
      </c>
      <c r="AU92" s="19">
        <v>-0.98517752499138567</v>
      </c>
      <c r="AV92" s="19">
        <v>0.56851017608845211</v>
      </c>
      <c r="AW92" s="19">
        <v>2.7614019904803229</v>
      </c>
      <c r="AX92" s="19">
        <v>4.2660989314540672</v>
      </c>
      <c r="AY92" s="19">
        <v>2.3093579976479361</v>
      </c>
      <c r="AZ92" s="19">
        <v>3.2629554560829064</v>
      </c>
      <c r="BA92" s="19">
        <v>3.2035673069329675</v>
      </c>
      <c r="BB92" s="19">
        <v>3.3689749577318366</v>
      </c>
      <c r="BC92" s="19">
        <v>4.6109709001031831</v>
      </c>
      <c r="BD92" s="19">
        <v>8.0847797339871619</v>
      </c>
      <c r="BE92" s="19">
        <v>-1.7126830118107392</v>
      </c>
      <c r="BF92" s="19">
        <v>3.2559042651769516</v>
      </c>
      <c r="BG92" s="19">
        <v>0.96456075098132033</v>
      </c>
      <c r="BH92" s="19">
        <v>6.1340829411329167</v>
      </c>
      <c r="BI92" s="19">
        <v>6.2628056378046324</v>
      </c>
      <c r="BJ92" s="19">
        <v>5.919176625860473</v>
      </c>
      <c r="BK92" s="19">
        <v>1.2837367030946467</v>
      </c>
      <c r="BL92" s="19">
        <v>4.4999999915131639</v>
      </c>
      <c r="BM92" s="19">
        <v>-2.399999999217215</v>
      </c>
      <c r="BN92" s="19">
        <v>3.800002426566067</v>
      </c>
    </row>
    <row r="93" spans="1:66" x14ac:dyDescent="0.2">
      <c r="A93" s="19" t="s">
        <v>617</v>
      </c>
      <c r="B93" s="19" t="s">
        <v>952</v>
      </c>
      <c r="C93" s="19" t="s">
        <v>863</v>
      </c>
      <c r="D93" s="19" t="s">
        <v>864</v>
      </c>
      <c r="Z93" s="19">
        <v>5.7694205030195462</v>
      </c>
      <c r="AA93" s="19">
        <v>2.2016759463672173</v>
      </c>
      <c r="AB93" s="19">
        <v>5.0043871958266806</v>
      </c>
      <c r="AC93" s="19">
        <v>1.0113816704000271</v>
      </c>
      <c r="AD93" s="19">
        <v>12.905178868482096</v>
      </c>
      <c r="AE93" s="19">
        <v>-2.33055635744239</v>
      </c>
      <c r="AF93" s="19">
        <v>4.4367373624436084</v>
      </c>
      <c r="AG93" s="19">
        <v>2.6552621825882028</v>
      </c>
      <c r="AH93" s="19">
        <v>-1.2291780794983396</v>
      </c>
      <c r="AI93" s="19">
        <v>-1.7585640849644335</v>
      </c>
      <c r="AJ93" s="19">
        <v>-1.022238877102879</v>
      </c>
      <c r="AK93" s="19">
        <v>34.745320029065226</v>
      </c>
      <c r="AL93" s="19">
        <v>11.033213037527673</v>
      </c>
      <c r="AM93" s="19">
        <v>16.668835541841645</v>
      </c>
      <c r="AN93" s="19">
        <v>17.486263732393809</v>
      </c>
      <c r="AO93" s="19">
        <v>66.57999722158965</v>
      </c>
      <c r="AP93" s="19">
        <v>149.97296348796513</v>
      </c>
      <c r="AQ93" s="19">
        <v>23.774482329960662</v>
      </c>
      <c r="AR93" s="19">
        <v>25.664015441041826</v>
      </c>
      <c r="AS93" s="19">
        <v>18.213779956967429</v>
      </c>
      <c r="AT93" s="19">
        <v>63.37987542506022</v>
      </c>
      <c r="AU93" s="19">
        <v>19.462834035925098</v>
      </c>
      <c r="AV93" s="19">
        <v>13.955250316382489</v>
      </c>
      <c r="AW93" s="19">
        <v>37.998726855642303</v>
      </c>
      <c r="AX93" s="19">
        <v>16.748700605354088</v>
      </c>
      <c r="AY93" s="19">
        <v>7.7049176065876708</v>
      </c>
      <c r="AZ93" s="19">
        <v>15.282113919485724</v>
      </c>
      <c r="BA93" s="19">
        <v>17.799109133381137</v>
      </c>
      <c r="BB93" s="19">
        <v>1.3433562880609458</v>
      </c>
      <c r="BC93" s="19">
        <v>-8.9241758885180644</v>
      </c>
      <c r="BD93" s="19">
        <v>6.5239236298987322</v>
      </c>
      <c r="BE93" s="19">
        <v>8.31287184445641</v>
      </c>
      <c r="BF93" s="19">
        <v>-4.1331985013158317</v>
      </c>
      <c r="BG93" s="19">
        <v>0.41506630159686608</v>
      </c>
      <c r="BH93" s="19">
        <v>-9.1100411488153696</v>
      </c>
      <c r="BI93" s="19">
        <v>-8.8164172321975656</v>
      </c>
      <c r="BJ93" s="19">
        <v>-5.6675085048668592</v>
      </c>
      <c r="BK93" s="19">
        <v>-6.2365440673457471</v>
      </c>
      <c r="BL93" s="19">
        <v>-5.4818253789344453</v>
      </c>
      <c r="BM93" s="19">
        <v>-4.2414813213165985</v>
      </c>
      <c r="BN93" s="19">
        <v>-0.94538291651707596</v>
      </c>
    </row>
    <row r="94" spans="1:66" x14ac:dyDescent="0.2">
      <c r="A94" s="19" t="s">
        <v>618</v>
      </c>
      <c r="B94" s="19" t="s">
        <v>953</v>
      </c>
      <c r="C94" s="19" t="s">
        <v>863</v>
      </c>
      <c r="D94" s="19" t="s">
        <v>864</v>
      </c>
      <c r="F94" s="19">
        <v>13.20384119344267</v>
      </c>
      <c r="G94" s="19">
        <v>0.36481053821671594</v>
      </c>
      <c r="H94" s="19">
        <v>11.844867674036209</v>
      </c>
      <c r="I94" s="19">
        <v>9.4096766382928223</v>
      </c>
      <c r="J94" s="19">
        <v>10.7680105057905</v>
      </c>
      <c r="K94" s="19">
        <v>6.4945023470754677</v>
      </c>
      <c r="L94" s="19">
        <v>5.6694854667158552</v>
      </c>
      <c r="M94" s="19">
        <v>7.2037189004718698</v>
      </c>
      <c r="N94" s="19">
        <v>11.563667290728446</v>
      </c>
      <c r="O94" s="19">
        <v>8.565247515576786</v>
      </c>
      <c r="P94" s="19">
        <v>7.8411772035921254</v>
      </c>
      <c r="Q94" s="19">
        <v>10.160151679309436</v>
      </c>
      <c r="R94" s="19">
        <v>8.0923789785539668</v>
      </c>
      <c r="S94" s="19">
        <v>-6.4382407788325793</v>
      </c>
      <c r="T94" s="19">
        <v>6.3668086422313337</v>
      </c>
      <c r="U94" s="19">
        <v>6.8518976982563373</v>
      </c>
      <c r="V94" s="19">
        <v>2.9410017674901212</v>
      </c>
      <c r="W94" s="19">
        <v>7.246863492675331</v>
      </c>
      <c r="X94" s="19">
        <v>3.2820800730266342</v>
      </c>
      <c r="Y94" s="19">
        <v>0.67713081672935971</v>
      </c>
      <c r="Z94" s="19">
        <v>-1.553720956185586</v>
      </c>
      <c r="AA94" s="19">
        <v>-1.1326474469205721</v>
      </c>
      <c r="AB94" s="19">
        <v>-1.0786226687986584</v>
      </c>
      <c r="AC94" s="19">
        <v>2.0105802364632268</v>
      </c>
      <c r="AD94" s="19">
        <v>2.5095571036191586</v>
      </c>
      <c r="AE94" s="19">
        <v>0.51765959801343797</v>
      </c>
      <c r="AF94" s="19">
        <v>-2.258863416491522</v>
      </c>
      <c r="AG94" s="19">
        <v>4.2878617042153309</v>
      </c>
      <c r="AH94" s="19">
        <v>3.8000005339579417</v>
      </c>
      <c r="AI94" s="19">
        <v>0</v>
      </c>
      <c r="AJ94" s="19">
        <v>3.0999994113014964</v>
      </c>
      <c r="AK94" s="19">
        <v>0.70000020936578267</v>
      </c>
      <c r="AL94" s="19">
        <v>-1.6000001836091826</v>
      </c>
      <c r="AM94" s="19">
        <v>2.000000260683791</v>
      </c>
      <c r="AN94" s="19">
        <v>2.0997197373622924</v>
      </c>
      <c r="AO94" s="19">
        <v>2.8621288020375317</v>
      </c>
      <c r="AP94" s="19">
        <v>4.4841990200432917</v>
      </c>
      <c r="AQ94" s="19">
        <v>3.8949050282964635</v>
      </c>
      <c r="AR94" s="19">
        <v>3.0725966909124907</v>
      </c>
      <c r="AS94" s="19">
        <v>3.9197707172895093</v>
      </c>
      <c r="AT94" s="19">
        <v>4.1316122529571686</v>
      </c>
      <c r="AU94" s="19">
        <v>3.9228716529135852</v>
      </c>
      <c r="AV94" s="19">
        <v>5.7945314727465984</v>
      </c>
      <c r="AW94" s="19">
        <v>5.0609922039810584</v>
      </c>
      <c r="AX94" s="19">
        <v>0.5991421886050432</v>
      </c>
      <c r="AY94" s="19">
        <v>5.6524336216914719</v>
      </c>
      <c r="AZ94" s="19">
        <v>3.2737469042110661</v>
      </c>
      <c r="BA94" s="19">
        <v>-0.33517234180581568</v>
      </c>
      <c r="BB94" s="19">
        <v>-4.3007336726914218</v>
      </c>
      <c r="BC94" s="19">
        <v>-5.478217742379627</v>
      </c>
      <c r="BD94" s="19">
        <v>-10.149314829868501</v>
      </c>
      <c r="BE94" s="19">
        <v>-7.0866967863802444</v>
      </c>
      <c r="BF94" s="19">
        <v>-2.5159972218965123</v>
      </c>
      <c r="BG94" s="19">
        <v>0.47569594713704078</v>
      </c>
      <c r="BH94" s="19">
        <v>-0.19608762972413274</v>
      </c>
      <c r="BI94" s="19">
        <v>-0.48717329430195377</v>
      </c>
      <c r="BJ94" s="19">
        <v>1.0921491201728344</v>
      </c>
      <c r="BK94" s="19">
        <v>1.6684286360251406</v>
      </c>
      <c r="BL94" s="19">
        <v>1.8843417847951969</v>
      </c>
      <c r="BM94" s="19">
        <v>-9.0040436420214576</v>
      </c>
      <c r="BN94" s="19">
        <v>8.4344255016738146</v>
      </c>
    </row>
    <row r="95" spans="1:66" x14ac:dyDescent="0.2">
      <c r="A95" s="19" t="s">
        <v>619</v>
      </c>
      <c r="B95" s="19" t="s">
        <v>954</v>
      </c>
      <c r="C95" s="19" t="s">
        <v>863</v>
      </c>
      <c r="D95" s="19" t="s">
        <v>864</v>
      </c>
      <c r="W95" s="19">
        <v>5.341402126014998</v>
      </c>
      <c r="X95" s="19">
        <v>5.6020835295277749</v>
      </c>
      <c r="Y95" s="19">
        <v>-0.53478404804744173</v>
      </c>
      <c r="Z95" s="19">
        <v>1.5341874984789854</v>
      </c>
      <c r="AA95" s="19">
        <v>4.1242616477411502</v>
      </c>
      <c r="AB95" s="19">
        <v>3.6325748762523915</v>
      </c>
      <c r="AC95" s="19">
        <v>3.5684652405338397</v>
      </c>
      <c r="AD95" s="19">
        <v>5.9797081652030357</v>
      </c>
      <c r="AE95" s="19">
        <v>7.1942738124073173</v>
      </c>
      <c r="AF95" s="19">
        <v>9.0974250421601823</v>
      </c>
      <c r="AG95" s="19">
        <v>2.9667917056046065</v>
      </c>
      <c r="AH95" s="19">
        <v>3.7677307847603316</v>
      </c>
      <c r="AI95" s="19">
        <v>4.012611897778001</v>
      </c>
      <c r="AJ95" s="19">
        <v>1.3855458142136143</v>
      </c>
      <c r="AK95" s="19">
        <v>-0.85114875639139598</v>
      </c>
      <c r="AL95" s="19">
        <v>-1.958815581437463</v>
      </c>
      <c r="AM95" s="19">
        <v>1.69355604419043</v>
      </c>
      <c r="AN95" s="19">
        <v>2.1294751495985764</v>
      </c>
      <c r="AO95" s="19">
        <v>4.4382347160335769</v>
      </c>
      <c r="AP95" s="19">
        <v>5.0154946093674511</v>
      </c>
      <c r="AQ95" s="19">
        <v>11.753502991919177</v>
      </c>
      <c r="AR95" s="19">
        <v>6.8983624336867706</v>
      </c>
      <c r="AS95" s="19">
        <v>4.8879521365056178</v>
      </c>
      <c r="AT95" s="19">
        <v>-2.0239000407205765</v>
      </c>
      <c r="AU95" s="19">
        <v>3.437323529541473</v>
      </c>
      <c r="AV95" s="19">
        <v>9.4639734307649093</v>
      </c>
      <c r="AW95" s="19">
        <v>-0.64745031608485704</v>
      </c>
      <c r="AX95" s="19">
        <v>13.276188330627207</v>
      </c>
      <c r="AY95" s="19">
        <v>-3.9953282442748161</v>
      </c>
      <c r="AZ95" s="19">
        <v>6.1234509474146677</v>
      </c>
      <c r="BA95" s="19">
        <v>0.94754262490769747</v>
      </c>
      <c r="BB95" s="19">
        <v>-6.6132813479954535</v>
      </c>
      <c r="BC95" s="19">
        <v>-0.51126275414912925</v>
      </c>
      <c r="BD95" s="19">
        <v>0.76497682403231693</v>
      </c>
      <c r="BE95" s="19">
        <v>-1.1551437346832216</v>
      </c>
      <c r="BF95" s="19">
        <v>2.3514187734716074</v>
      </c>
      <c r="BG95" s="19">
        <v>7.3415062060848868</v>
      </c>
      <c r="BH95" s="19">
        <v>6.4447678238566368</v>
      </c>
      <c r="BI95" s="19">
        <v>3.7405526013780701</v>
      </c>
      <c r="BJ95" s="19">
        <v>4.4391164078063667</v>
      </c>
      <c r="BK95" s="19">
        <v>4.3614219881500986</v>
      </c>
      <c r="BL95" s="19">
        <v>0.67529589686978397</v>
      </c>
      <c r="BM95" s="19">
        <v>-13.755929453064439</v>
      </c>
      <c r="BN95" s="19">
        <v>4.6879438899781576</v>
      </c>
    </row>
    <row r="96" spans="1:66" x14ac:dyDescent="0.2">
      <c r="A96" s="19" t="s">
        <v>620</v>
      </c>
      <c r="B96" s="19" t="s">
        <v>955</v>
      </c>
      <c r="C96" s="19" t="s">
        <v>863</v>
      </c>
      <c r="D96" s="19" t="s">
        <v>864</v>
      </c>
      <c r="P96" s="19">
        <v>13.060851351413078</v>
      </c>
      <c r="Q96" s="19">
        <v>6.1772735621095478</v>
      </c>
      <c r="R96" s="19">
        <v>6.8060089905169718</v>
      </c>
      <c r="S96" s="19">
        <v>5.706253994352295</v>
      </c>
      <c r="T96" s="19">
        <v>0.64624014115372574</v>
      </c>
      <c r="U96" s="19">
        <v>5.9592085075245365</v>
      </c>
      <c r="V96" s="19">
        <v>8.822315281092429</v>
      </c>
      <c r="W96" s="19">
        <v>6.0167172040001446</v>
      </c>
      <c r="X96" s="19">
        <v>4.8605974596580097</v>
      </c>
      <c r="Y96" s="19">
        <v>8.6760062673228617</v>
      </c>
      <c r="Z96" s="19">
        <v>0.66527956288761914</v>
      </c>
      <c r="AA96" s="19">
        <v>-4.419660839753675</v>
      </c>
      <c r="AB96" s="19">
        <v>3.4572166679382548</v>
      </c>
      <c r="AC96" s="19">
        <v>-5.1796154864268971</v>
      </c>
      <c r="AD96" s="19">
        <v>3.6563879784166033</v>
      </c>
      <c r="AE96" s="19">
        <v>7.0973227462028063</v>
      </c>
      <c r="AF96" s="19">
        <v>5.5158720989633991</v>
      </c>
      <c r="AG96" s="19">
        <v>5.6036107111649471</v>
      </c>
      <c r="AH96" s="19">
        <v>6.6595450241052845</v>
      </c>
      <c r="AI96" s="19">
        <v>-11.719532984158505</v>
      </c>
      <c r="AJ96" s="19">
        <v>-0.11346459774756568</v>
      </c>
      <c r="AK96" s="19">
        <v>-5.1117000323197033</v>
      </c>
      <c r="AL96" s="19">
        <v>-5.0279326294251518</v>
      </c>
      <c r="AM96" s="19">
        <v>5.9243698014920909</v>
      </c>
      <c r="AN96" s="19">
        <v>3.728677489111206</v>
      </c>
      <c r="AO96" s="19">
        <v>1.5296373613267917</v>
      </c>
      <c r="AP96" s="19">
        <v>1.4689263809697195</v>
      </c>
      <c r="AQ96" s="19">
        <v>7.7579817448255142</v>
      </c>
      <c r="AR96" s="19">
        <v>1.3778844452400563</v>
      </c>
      <c r="AS96" s="19">
        <v>7.1015968818161923</v>
      </c>
      <c r="AT96" s="19">
        <v>1.2690350790278728</v>
      </c>
      <c r="AU96" s="19">
        <v>-0.9711773106655528</v>
      </c>
      <c r="AV96" s="19">
        <v>4.4300457211821112</v>
      </c>
      <c r="AW96" s="19">
        <v>6.9065828367662903</v>
      </c>
      <c r="AX96" s="19">
        <v>4.9874917709019257</v>
      </c>
      <c r="AY96" s="19">
        <v>5.5556949008001197</v>
      </c>
      <c r="AZ96" s="19">
        <v>2.3524379811805005</v>
      </c>
      <c r="BA96" s="19">
        <v>6.1661327018618977</v>
      </c>
      <c r="BB96" s="19">
        <v>0.86595232888694795</v>
      </c>
      <c r="BC96" s="19">
        <v>1.7358250588966513</v>
      </c>
      <c r="BD96" s="19">
        <v>-0.49651939195908312</v>
      </c>
      <c r="BE96" s="19">
        <v>1.3941933595562546</v>
      </c>
      <c r="BF96" s="19">
        <v>-1.2982806933551103</v>
      </c>
      <c r="BG96" s="19">
        <v>4.7421356730151984</v>
      </c>
      <c r="BH96" s="19">
        <v>-2.5293180239447537</v>
      </c>
      <c r="BI96" s="19">
        <v>4.6819541097230228</v>
      </c>
      <c r="BJ96" s="19">
        <v>5.2728182880031227E-2</v>
      </c>
      <c r="BK96" s="19">
        <v>0.62306542854094005</v>
      </c>
      <c r="BL96" s="19">
        <v>2.2713109428658527</v>
      </c>
      <c r="BM96" s="19">
        <v>0.35653166001141301</v>
      </c>
    </row>
    <row r="97" spans="1:66" x14ac:dyDescent="0.2">
      <c r="A97" s="19" t="s">
        <v>621</v>
      </c>
      <c r="B97" s="19" t="s">
        <v>956</v>
      </c>
      <c r="C97" s="19" t="s">
        <v>863</v>
      </c>
      <c r="D97" s="19" t="s">
        <v>864</v>
      </c>
      <c r="F97" s="19">
        <v>4.2985183487468817</v>
      </c>
      <c r="G97" s="19">
        <v>3.5365012628486596</v>
      </c>
      <c r="H97" s="19">
        <v>9.5410439305487529</v>
      </c>
      <c r="I97" s="19">
        <v>4.6329924319049098</v>
      </c>
      <c r="J97" s="19">
        <v>4.3617693145272796</v>
      </c>
      <c r="K97" s="19">
        <v>5.512103990193566</v>
      </c>
      <c r="L97" s="19">
        <v>4.1121756169634267</v>
      </c>
      <c r="M97" s="19">
        <v>8.7660350542551555</v>
      </c>
      <c r="N97" s="19">
        <v>4.7369090158399132</v>
      </c>
      <c r="O97" s="19">
        <v>5.7078835981197358</v>
      </c>
      <c r="P97" s="19">
        <v>5.5837545473679313</v>
      </c>
      <c r="Q97" s="19">
        <v>7.3330516206140572</v>
      </c>
      <c r="R97" s="19">
        <v>6.7828343374912947</v>
      </c>
      <c r="S97" s="19">
        <v>6.3750299028695565</v>
      </c>
      <c r="T97" s="19">
        <v>1.9499908215834409</v>
      </c>
      <c r="U97" s="19">
        <v>7.3872656247630175</v>
      </c>
      <c r="V97" s="19">
        <v>7.8092206840506719</v>
      </c>
      <c r="W97" s="19">
        <v>4.996689819545864</v>
      </c>
      <c r="X97" s="19">
        <v>4.7134560917188537</v>
      </c>
      <c r="Y97" s="19">
        <v>3.7599781603312437</v>
      </c>
      <c r="Z97" s="19">
        <v>0.64685861043223269</v>
      </c>
      <c r="AA97" s="19">
        <v>-3.5300890095485471</v>
      </c>
      <c r="AB97" s="19">
        <v>-2.5720914443391365</v>
      </c>
      <c r="AC97" s="19">
        <v>0.49669775264345617</v>
      </c>
      <c r="AD97" s="19">
        <v>-0.60933895558426343</v>
      </c>
      <c r="AE97" s="19">
        <v>0.1430495955251132</v>
      </c>
      <c r="AF97" s="19">
        <v>3.543983306519209</v>
      </c>
      <c r="AG97" s="19">
        <v>3.8923870635478579</v>
      </c>
      <c r="AH97" s="19">
        <v>3.9425895198234855</v>
      </c>
      <c r="AI97" s="19">
        <v>3.1025631755758667</v>
      </c>
      <c r="AJ97" s="19">
        <v>3.6582487500681111</v>
      </c>
      <c r="AK97" s="19">
        <v>4.8383388468868276</v>
      </c>
      <c r="AL97" s="19">
        <v>3.9271319450402444</v>
      </c>
      <c r="AM97" s="19">
        <v>4.0337414964145779</v>
      </c>
      <c r="AN97" s="19">
        <v>4.9485475021038212</v>
      </c>
      <c r="AO97" s="19">
        <v>2.9577798874071561</v>
      </c>
      <c r="AP97" s="19">
        <v>4.3640899467834089</v>
      </c>
      <c r="AQ97" s="19">
        <v>4.993527803058484</v>
      </c>
      <c r="AR97" s="19">
        <v>3.8470621889050989</v>
      </c>
      <c r="AS97" s="19">
        <v>3.6088687174875957</v>
      </c>
      <c r="AT97" s="19">
        <v>2.3325748660885353</v>
      </c>
      <c r="AU97" s="19">
        <v>3.8392870855679178</v>
      </c>
      <c r="AV97" s="19">
        <v>2.5603776680189583</v>
      </c>
      <c r="AW97" s="19">
        <v>3.1379168360919323</v>
      </c>
      <c r="AX97" s="19">
        <v>3.276026925888857</v>
      </c>
      <c r="AY97" s="19">
        <v>5.35139778711536</v>
      </c>
      <c r="AZ97" s="19">
        <v>6.3377186901620348</v>
      </c>
      <c r="BA97" s="19">
        <v>3.2935240002848474</v>
      </c>
      <c r="BB97" s="19">
        <v>0.4768981065963942</v>
      </c>
      <c r="BC97" s="19">
        <v>2.8841754280037719</v>
      </c>
      <c r="BD97" s="19">
        <v>4.1639068829334889</v>
      </c>
      <c r="BE97" s="19">
        <v>2.9747085684766148</v>
      </c>
      <c r="BF97" s="19">
        <v>3.6948191988175125</v>
      </c>
      <c r="BG97" s="19">
        <v>4.443977582852682</v>
      </c>
      <c r="BH97" s="19">
        <v>4.0921708162124446</v>
      </c>
      <c r="BI97" s="19">
        <v>2.6778025553282561</v>
      </c>
      <c r="BJ97" s="19">
        <v>3.0798514912568891</v>
      </c>
      <c r="BK97" s="19">
        <v>3.4068733999794887</v>
      </c>
      <c r="BL97" s="19">
        <v>4.0023150586879837</v>
      </c>
      <c r="BM97" s="19">
        <v>-1.7640829256395705</v>
      </c>
      <c r="BN97" s="19">
        <v>7.9807695060951858</v>
      </c>
    </row>
    <row r="98" spans="1:66" x14ac:dyDescent="0.2">
      <c r="A98" s="19" t="s">
        <v>622</v>
      </c>
      <c r="B98" s="19" t="s">
        <v>957</v>
      </c>
      <c r="C98" s="19" t="s">
        <v>863</v>
      </c>
      <c r="D98" s="19" t="s">
        <v>864</v>
      </c>
      <c r="AV98" s="19">
        <v>0.87931413497473443</v>
      </c>
      <c r="AW98" s="19">
        <v>6.4937894966223553</v>
      </c>
      <c r="AX98" s="19">
        <v>3.642316349498671</v>
      </c>
      <c r="AY98" s="19">
        <v>-3.652517275419541</v>
      </c>
      <c r="AZ98" s="19">
        <v>0.71721311475410232</v>
      </c>
      <c r="BA98" s="19">
        <v>2.0345879959308206</v>
      </c>
      <c r="BB98" s="19">
        <v>0.43868394815554268</v>
      </c>
      <c r="BC98" s="19">
        <v>2.2632519356760099</v>
      </c>
      <c r="BD98" s="19">
        <v>7.7654824305952275E-2</v>
      </c>
      <c r="BE98" s="19">
        <v>2.1338506304558535</v>
      </c>
      <c r="BF98" s="19">
        <v>1.6904083570750146</v>
      </c>
      <c r="BG98" s="19">
        <v>1.7930519237952893</v>
      </c>
      <c r="BH98" s="19">
        <v>0.82568807339448824</v>
      </c>
      <c r="BI98" s="19">
        <v>0.18198362147406044</v>
      </c>
      <c r="BJ98" s="19">
        <v>0.89009990917348603</v>
      </c>
      <c r="BK98" s="19">
        <v>-0.79222182211019287</v>
      </c>
      <c r="BL98" s="19">
        <v>2.5952813067150657</v>
      </c>
      <c r="BM98" s="19">
        <v>-11.392181142756058</v>
      </c>
      <c r="BN98" s="19">
        <v>1.0580954282291941</v>
      </c>
    </row>
    <row r="99" spans="1:66" x14ac:dyDescent="0.2">
      <c r="A99" s="19" t="s">
        <v>623</v>
      </c>
      <c r="B99" s="19" t="s">
        <v>958</v>
      </c>
      <c r="C99" s="19" t="s">
        <v>863</v>
      </c>
      <c r="D99" s="19" t="s">
        <v>864</v>
      </c>
      <c r="F99" s="19">
        <v>4.6895243116491798</v>
      </c>
      <c r="G99" s="19">
        <v>1.1049258095544303</v>
      </c>
      <c r="H99" s="19">
        <v>-12.27865726075315</v>
      </c>
      <c r="I99" s="19">
        <v>11.360282379938553</v>
      </c>
      <c r="J99" s="19">
        <v>10.541018761877226</v>
      </c>
      <c r="K99" s="19">
        <v>5.2332738940271923</v>
      </c>
      <c r="L99" s="19">
        <v>4.3136218292412707</v>
      </c>
      <c r="M99" s="19">
        <v>1.0248275531070163</v>
      </c>
      <c r="N99" s="19">
        <v>6.9943866575372056</v>
      </c>
      <c r="O99" s="19">
        <v>4.2554568930315213</v>
      </c>
      <c r="P99" s="19">
        <v>3.1128508439862514</v>
      </c>
      <c r="Q99" s="19">
        <v>-3.3176709348416011</v>
      </c>
      <c r="R99" s="19">
        <v>1.2447193523168636</v>
      </c>
      <c r="S99" s="19">
        <v>7.7028399493574256</v>
      </c>
      <c r="T99" s="19">
        <v>8.4830215137347409</v>
      </c>
      <c r="U99" s="19">
        <v>1.5369132786034783</v>
      </c>
      <c r="V99" s="19">
        <v>-2.6386796610759262</v>
      </c>
      <c r="W99" s="19">
        <v>-1.8061887721686105</v>
      </c>
      <c r="X99" s="19">
        <v>-1.8356962605444522</v>
      </c>
      <c r="Y99" s="19">
        <v>1.7338897272193066</v>
      </c>
      <c r="Z99" s="19">
        <v>1.4961659202039215</v>
      </c>
      <c r="AA99" s="19">
        <v>-13.190134488472395</v>
      </c>
      <c r="AB99" s="19">
        <v>-6.792386689346003</v>
      </c>
      <c r="AC99" s="19">
        <v>-5.0287378636685389</v>
      </c>
      <c r="AD99" s="19">
        <v>2.3996674580785111</v>
      </c>
      <c r="AE99" s="19">
        <v>-0.90060223727564903</v>
      </c>
      <c r="AF99" s="19">
        <v>0.89939659403847827</v>
      </c>
      <c r="AG99" s="19">
        <v>-3.693533100758728</v>
      </c>
      <c r="AH99" s="19">
        <v>-4.9166666651181572</v>
      </c>
      <c r="AI99" s="19">
        <v>-3.0674846640672797</v>
      </c>
      <c r="AJ99" s="19">
        <v>6.057866185305727</v>
      </c>
      <c r="AK99" s="19">
        <v>7.7578857760752555</v>
      </c>
      <c r="AL99" s="19">
        <v>8.1751054930402347</v>
      </c>
      <c r="AM99" s="19">
        <v>8.532423166672757</v>
      </c>
      <c r="AN99" s="19">
        <v>5.0314465581208481</v>
      </c>
      <c r="AO99" s="19">
        <v>7.9555175412510266</v>
      </c>
      <c r="AP99" s="19">
        <v>6.1806656101993838</v>
      </c>
      <c r="AQ99" s="19">
        <v>-1.6791044918972915</v>
      </c>
      <c r="AR99" s="19">
        <v>2.9601518031122396</v>
      </c>
      <c r="AS99" s="19">
        <v>-1.3638039026187272</v>
      </c>
      <c r="AT99" s="19">
        <v>2.2795216592190997</v>
      </c>
      <c r="AU99" s="19">
        <v>1.1326269619947595</v>
      </c>
      <c r="AV99" s="19">
        <v>-0.63222538826637731</v>
      </c>
      <c r="AW99" s="19">
        <v>1.5633521103404178</v>
      </c>
      <c r="AX99" s="19">
        <v>-1.9509575950171438</v>
      </c>
      <c r="AY99" s="19">
        <v>5.1296093477299962</v>
      </c>
      <c r="AZ99" s="19">
        <v>7.1912362405745682</v>
      </c>
      <c r="BA99" s="19">
        <v>1.7552234959201911</v>
      </c>
      <c r="BB99" s="19">
        <v>3.6115084721858466</v>
      </c>
      <c r="BC99" s="19">
        <v>4.1384416013734153</v>
      </c>
      <c r="BD99" s="19">
        <v>5.1962515605160178</v>
      </c>
      <c r="BE99" s="19">
        <v>5.2763306204680873</v>
      </c>
      <c r="BF99" s="19">
        <v>3.6535047680067834</v>
      </c>
      <c r="BG99" s="19">
        <v>1.6860277321410848</v>
      </c>
      <c r="BH99" s="19">
        <v>0.68752121009217149</v>
      </c>
      <c r="BI99" s="19">
        <v>3.8079188370272021</v>
      </c>
      <c r="BJ99" s="19">
        <v>3.7343740605305271</v>
      </c>
      <c r="BK99" s="19">
        <v>4.4410135893477189</v>
      </c>
      <c r="BL99" s="19">
        <v>5.3526274259721589</v>
      </c>
      <c r="BM99" s="19">
        <v>43.479555939940212</v>
      </c>
      <c r="BN99" s="19">
        <v>20.060010947492074</v>
      </c>
    </row>
    <row r="100" spans="1:66" x14ac:dyDescent="0.2">
      <c r="A100" s="19" t="s">
        <v>624</v>
      </c>
      <c r="B100" s="19" t="s">
        <v>959</v>
      </c>
      <c r="C100" s="19" t="s">
        <v>863</v>
      </c>
      <c r="D100" s="19" t="s">
        <v>864</v>
      </c>
      <c r="F100" s="19">
        <v>4.3634296267066333</v>
      </c>
      <c r="G100" s="19">
        <v>5.6641131941576219</v>
      </c>
      <c r="H100" s="19">
        <v>5.2955812114243912</v>
      </c>
      <c r="I100" s="19">
        <v>6.3480149592257931</v>
      </c>
      <c r="J100" s="19">
        <v>5.4821373154231026</v>
      </c>
      <c r="K100" s="19">
        <v>5.8993620350592266</v>
      </c>
      <c r="L100" s="19">
        <v>4.3498148207205674</v>
      </c>
      <c r="M100" s="19">
        <v>5.9881838044647111</v>
      </c>
      <c r="N100" s="19">
        <v>5.3592535378868007</v>
      </c>
      <c r="O100" s="19">
        <v>3.1082707115815253</v>
      </c>
      <c r="P100" s="19">
        <v>3.8816351777874729</v>
      </c>
      <c r="Q100" s="19">
        <v>5.5329180846649137</v>
      </c>
      <c r="R100" s="19">
        <v>6.3030586328528955</v>
      </c>
      <c r="S100" s="19">
        <v>1.0055785950005713</v>
      </c>
      <c r="T100" s="19">
        <v>-0.11257399115497435</v>
      </c>
      <c r="U100" s="19">
        <v>5.136208797061343</v>
      </c>
      <c r="V100" s="19">
        <v>4.0012807280765514</v>
      </c>
      <c r="W100" s="19">
        <v>4.2522712323834071</v>
      </c>
      <c r="X100" s="19">
        <v>4.1123977010739026</v>
      </c>
      <c r="Y100" s="19">
        <v>1.2497655256752864</v>
      </c>
      <c r="Z100" s="19">
        <v>1.9009193654277112</v>
      </c>
      <c r="AA100" s="19">
        <v>-0.13721339441941893</v>
      </c>
      <c r="AB100" s="19">
        <v>2.8231524213852452</v>
      </c>
      <c r="AC100" s="19">
        <v>4.664793567427111</v>
      </c>
      <c r="AD100" s="19">
        <v>3.5358221065548605</v>
      </c>
      <c r="AE100" s="19">
        <v>3.3100570204308326</v>
      </c>
      <c r="AF100" s="19">
        <v>3.4733827137612963</v>
      </c>
      <c r="AG100" s="19">
        <v>4.7655295623481493</v>
      </c>
      <c r="AH100" s="19">
        <v>3.9258022016162073</v>
      </c>
      <c r="AI100" s="19">
        <v>3.1001381305679558</v>
      </c>
      <c r="AJ100" s="19">
        <v>1.4349891000361197</v>
      </c>
      <c r="AK100" s="19">
        <v>2.191530860797883</v>
      </c>
      <c r="AL100" s="19">
        <v>1.3577985323140069</v>
      </c>
      <c r="AM100" s="19">
        <v>3.2906690719485994</v>
      </c>
      <c r="AN100" s="19">
        <v>2.8649730200800434</v>
      </c>
      <c r="AO100" s="19">
        <v>3.0446704061639451</v>
      </c>
      <c r="AP100" s="19">
        <v>3.4683996906972965</v>
      </c>
      <c r="AQ100" s="19">
        <v>2.8777103976583902</v>
      </c>
      <c r="AR100" s="19">
        <v>3.4804799842911507</v>
      </c>
      <c r="AS100" s="19">
        <v>4.1257892536691969</v>
      </c>
      <c r="AT100" s="19">
        <v>1.4785953876988174</v>
      </c>
      <c r="AU100" s="19">
        <v>1.54912620816377</v>
      </c>
      <c r="AV100" s="19">
        <v>2.1872755659211691</v>
      </c>
      <c r="AW100" s="19">
        <v>3.4177018997977768</v>
      </c>
      <c r="AX100" s="19">
        <v>2.8812870172694147</v>
      </c>
      <c r="AY100" s="19">
        <v>3.0725227436359575</v>
      </c>
      <c r="AZ100" s="19">
        <v>2.7012801268579949</v>
      </c>
      <c r="BA100" s="19">
        <v>0.54823307091808715</v>
      </c>
      <c r="BB100" s="19">
        <v>-3.2497713844518898</v>
      </c>
      <c r="BC100" s="19">
        <v>3.0244156089340919</v>
      </c>
      <c r="BD100" s="19">
        <v>1.9290102854340887</v>
      </c>
      <c r="BE100" s="19">
        <v>1.4108946603498254</v>
      </c>
      <c r="BF100" s="19">
        <v>1.4949760033544237</v>
      </c>
      <c r="BG100" s="19">
        <v>2.0916354850814827</v>
      </c>
      <c r="BH100" s="19">
        <v>2.3650684705211802</v>
      </c>
      <c r="BI100" s="19">
        <v>1.8311362120948758</v>
      </c>
      <c r="BJ100" s="19">
        <v>2.3763545348469677</v>
      </c>
      <c r="BK100" s="19">
        <v>2.3543293352577166</v>
      </c>
      <c r="BL100" s="19">
        <v>1.7583226645429164</v>
      </c>
      <c r="BM100" s="19">
        <v>-4.2690504928084891</v>
      </c>
      <c r="BN100" s="19">
        <v>5.2360451533480159</v>
      </c>
    </row>
    <row r="101" spans="1:66" x14ac:dyDescent="0.2">
      <c r="A101" s="19" t="s">
        <v>625</v>
      </c>
      <c r="B101" s="19" t="s">
        <v>960</v>
      </c>
      <c r="C101" s="19" t="s">
        <v>863</v>
      </c>
      <c r="D101" s="19" t="s">
        <v>864</v>
      </c>
      <c r="G101" s="19">
        <v>14.291526426748533</v>
      </c>
      <c r="H101" s="19">
        <v>15.764052943270428</v>
      </c>
      <c r="I101" s="19">
        <v>8.6281964371824387</v>
      </c>
      <c r="J101" s="19">
        <v>14.642133367645641</v>
      </c>
      <c r="K101" s="19">
        <v>1.7946732213205792</v>
      </c>
      <c r="L101" s="19">
        <v>1.6037090941165957</v>
      </c>
      <c r="M101" s="19">
        <v>3.3971600805204503</v>
      </c>
      <c r="N101" s="19">
        <v>11.343289847923515</v>
      </c>
      <c r="O101" s="19">
        <v>9.2068923262543763</v>
      </c>
      <c r="P101" s="19">
        <v>7.2930737593488431</v>
      </c>
      <c r="Q101" s="19">
        <v>10.612118481811009</v>
      </c>
      <c r="R101" s="19">
        <v>12.279859633811526</v>
      </c>
      <c r="S101" s="19">
        <v>2.415113160860713</v>
      </c>
      <c r="T101" s="19">
        <v>0.49206093206966273</v>
      </c>
      <c r="U101" s="19">
        <v>16.164165436768556</v>
      </c>
      <c r="V101" s="19">
        <v>11.725808155646988</v>
      </c>
      <c r="W101" s="19">
        <v>8.2608358307389267</v>
      </c>
      <c r="X101" s="19">
        <v>11.556602717145424</v>
      </c>
      <c r="Y101" s="19">
        <v>10.108251789808435</v>
      </c>
      <c r="Z101" s="19">
        <v>9.2608766207126649</v>
      </c>
      <c r="AA101" s="19">
        <v>2.9497461776456078</v>
      </c>
      <c r="AB101" s="19">
        <v>5.9770081405187767</v>
      </c>
      <c r="AC101" s="19">
        <v>9.9737376240274074</v>
      </c>
      <c r="AD101" s="19">
        <v>0.75716904452609413</v>
      </c>
      <c r="AE101" s="19">
        <v>11.056156634522225</v>
      </c>
      <c r="AF101" s="19">
        <v>13.398455998697372</v>
      </c>
      <c r="AG101" s="19">
        <v>8.5116317815522535</v>
      </c>
      <c r="AH101" s="19">
        <v>2.2770110971714672</v>
      </c>
      <c r="AI101" s="19">
        <v>3.8305264862857626</v>
      </c>
      <c r="AJ101" s="19">
        <v>5.7020343210226514</v>
      </c>
      <c r="AK101" s="19">
        <v>6.2349325762313725</v>
      </c>
      <c r="AL101" s="19">
        <v>6.2011399858200633</v>
      </c>
      <c r="AM101" s="19">
        <v>6.0360614732785365</v>
      </c>
      <c r="AN101" s="19">
        <v>2.373808225360591</v>
      </c>
      <c r="AO101" s="19">
        <v>4.2585395996864008</v>
      </c>
      <c r="AP101" s="19">
        <v>5.0997187339008434</v>
      </c>
      <c r="AQ101" s="19">
        <v>-5.8827079406398326</v>
      </c>
      <c r="AR101" s="19">
        <v>2.5067434990958759</v>
      </c>
      <c r="AS101" s="19">
        <v>7.6634847556017007</v>
      </c>
      <c r="AT101" s="19">
        <v>0.5608072732578222</v>
      </c>
      <c r="AU101" s="19">
        <v>1.6566690462372975</v>
      </c>
      <c r="AV101" s="19">
        <v>3.0563116115464908</v>
      </c>
      <c r="AW101" s="19">
        <v>8.7000668542999193</v>
      </c>
      <c r="AX101" s="19">
        <v>7.3881944929882621</v>
      </c>
      <c r="AY101" s="19">
        <v>7.0326025674272614</v>
      </c>
      <c r="AZ101" s="19">
        <v>6.4648299654374028</v>
      </c>
      <c r="BA101" s="19">
        <v>2.1279565637408098</v>
      </c>
      <c r="BB101" s="19">
        <v>-2.4590500394016317</v>
      </c>
      <c r="BC101" s="19">
        <v>6.7676718161966392</v>
      </c>
      <c r="BD101" s="19">
        <v>4.814699953481167</v>
      </c>
      <c r="BE101" s="19">
        <v>1.7003174923271729</v>
      </c>
      <c r="BF101" s="19">
        <v>3.101525488948397</v>
      </c>
      <c r="BG101" s="19">
        <v>2.7624196167932382</v>
      </c>
      <c r="BH101" s="19">
        <v>2.3878318830130354</v>
      </c>
      <c r="BI101" s="19">
        <v>2.1754243497100134</v>
      </c>
      <c r="BJ101" s="19">
        <v>3.7961221639337026</v>
      </c>
      <c r="BK101" s="19">
        <v>2.8469347426908911</v>
      </c>
      <c r="BL101" s="19">
        <v>-1.678246464246854</v>
      </c>
      <c r="BM101" s="19">
        <v>-6.5450082393267621</v>
      </c>
      <c r="BN101" s="19">
        <v>6.3431061984342136</v>
      </c>
    </row>
    <row r="102" spans="1:66" x14ac:dyDescent="0.2">
      <c r="A102" s="19" t="s">
        <v>626</v>
      </c>
      <c r="B102" s="19" t="s">
        <v>961</v>
      </c>
      <c r="C102" s="19" t="s">
        <v>863</v>
      </c>
      <c r="D102" s="19" t="s">
        <v>864</v>
      </c>
      <c r="F102" s="19">
        <v>1.8556593208204362</v>
      </c>
      <c r="G102" s="19">
        <v>5.7648460405448958</v>
      </c>
      <c r="H102" s="19">
        <v>3.5804367075503762</v>
      </c>
      <c r="I102" s="19">
        <v>5.4166455711631869</v>
      </c>
      <c r="J102" s="19">
        <v>9.0371564885594751</v>
      </c>
      <c r="K102" s="19">
        <v>5.3738422706956896</v>
      </c>
      <c r="L102" s="19">
        <v>5.9775428581695991</v>
      </c>
      <c r="M102" s="19">
        <v>6.5981832445984878</v>
      </c>
      <c r="N102" s="19">
        <v>0.65543884657029139</v>
      </c>
      <c r="O102" s="19">
        <v>3.626720940310463</v>
      </c>
      <c r="P102" s="19">
        <v>3.9950036069328121</v>
      </c>
      <c r="Q102" s="19">
        <v>5.762304882423706</v>
      </c>
      <c r="R102" s="19">
        <v>7.8698525032513658</v>
      </c>
      <c r="S102" s="19">
        <v>-1.2276417312355505</v>
      </c>
      <c r="T102" s="19">
        <v>2.1306817628165931</v>
      </c>
      <c r="U102" s="19">
        <v>10.500693056519324</v>
      </c>
      <c r="V102" s="19">
        <v>10.383889090211468</v>
      </c>
      <c r="W102" s="19">
        <v>5.966211807189282</v>
      </c>
      <c r="X102" s="19">
        <v>5.6099266923249331</v>
      </c>
      <c r="Y102" s="19">
        <v>0.59935405252360852</v>
      </c>
      <c r="Z102" s="19">
        <v>-1.2220350240018263</v>
      </c>
      <c r="AA102" s="19">
        <v>-2.0746608951461099</v>
      </c>
      <c r="AB102" s="19">
        <v>0.90569388389398853</v>
      </c>
      <c r="AC102" s="19">
        <v>6.327295760862313</v>
      </c>
      <c r="AD102" s="19">
        <v>5.6262348492033993</v>
      </c>
      <c r="AE102" s="19">
        <v>5.3307744175355793</v>
      </c>
      <c r="AF102" s="19">
        <v>6.6383559804035599</v>
      </c>
      <c r="AG102" s="19">
        <v>1.7460338067292014</v>
      </c>
      <c r="AH102" s="19">
        <v>2.7278489293241677</v>
      </c>
      <c r="AI102" s="19">
        <v>2.7917489495977037</v>
      </c>
      <c r="AJ102" s="19">
        <v>-3.3193084230375405</v>
      </c>
      <c r="AK102" s="19">
        <v>6.0736878770601948</v>
      </c>
      <c r="AL102" s="19">
        <v>6.4957182081885918</v>
      </c>
      <c r="AM102" s="19">
        <v>0.2119034986425703</v>
      </c>
      <c r="AN102" s="19">
        <v>6.1893045575923509</v>
      </c>
      <c r="AO102" s="19">
        <v>1.870776293881633</v>
      </c>
      <c r="AP102" s="19">
        <v>4.5980830624853866</v>
      </c>
      <c r="AQ102" s="19">
        <v>3.5902330335791106</v>
      </c>
      <c r="AR102" s="19">
        <v>-0.73565108544769942</v>
      </c>
      <c r="AS102" s="19">
        <v>7.291288158696176</v>
      </c>
      <c r="AT102" s="19">
        <v>2.7231932732137949</v>
      </c>
      <c r="AU102" s="19">
        <v>3.7543378611993887</v>
      </c>
      <c r="AV102" s="19">
        <v>4.5470380516539706</v>
      </c>
      <c r="AW102" s="19">
        <v>6.2323029606910154</v>
      </c>
      <c r="AX102" s="19">
        <v>6.0505992221597324</v>
      </c>
      <c r="AY102" s="19">
        <v>6.5672435517758743</v>
      </c>
      <c r="AZ102" s="19">
        <v>6.1883271667800841</v>
      </c>
      <c r="BA102" s="19">
        <v>4.2316001100934244</v>
      </c>
      <c r="BB102" s="19">
        <v>-2.4316278798801108</v>
      </c>
      <c r="BC102" s="19">
        <v>3.7311403443300861</v>
      </c>
      <c r="BD102" s="19">
        <v>3.8356906620750522</v>
      </c>
      <c r="BE102" s="19">
        <v>4.1286877486693925</v>
      </c>
      <c r="BF102" s="19">
        <v>2.7915597574680078</v>
      </c>
      <c r="BG102" s="19">
        <v>3.0580805621437008</v>
      </c>
      <c r="BH102" s="19">
        <v>3.840079970939513</v>
      </c>
      <c r="BI102" s="19">
        <v>3.8929721972641289</v>
      </c>
      <c r="BJ102" s="19">
        <v>4.8429139105038672</v>
      </c>
      <c r="BK102" s="19">
        <v>3.8449947696673519</v>
      </c>
      <c r="BL102" s="19">
        <v>2.653066254803548</v>
      </c>
      <c r="BM102" s="19">
        <v>-8.9647601840458435</v>
      </c>
      <c r="BN102" s="19">
        <v>12.534096015773869</v>
      </c>
    </row>
    <row r="103" spans="1:66" x14ac:dyDescent="0.2">
      <c r="A103" s="19" t="s">
        <v>627</v>
      </c>
      <c r="B103" s="19" t="s">
        <v>962</v>
      </c>
      <c r="C103" s="19" t="s">
        <v>863</v>
      </c>
      <c r="D103" s="19" t="s">
        <v>864</v>
      </c>
      <c r="F103" s="19">
        <v>-0.34927385504317954</v>
      </c>
      <c r="G103" s="19">
        <v>7.4316052590274921</v>
      </c>
      <c r="H103" s="19">
        <v>2.7541082318019789</v>
      </c>
      <c r="I103" s="19">
        <v>2.9338874109277242</v>
      </c>
      <c r="J103" s="19">
        <v>3.9570901012808406</v>
      </c>
      <c r="K103" s="19">
        <v>2.3964049258382971</v>
      </c>
      <c r="L103" s="19">
        <v>1.7939323639702138</v>
      </c>
      <c r="M103" s="19">
        <v>4.3195460992961046</v>
      </c>
      <c r="N103" s="19">
        <v>4.6014840924116811</v>
      </c>
      <c r="O103" s="19">
        <v>4.5374166319864315</v>
      </c>
      <c r="P103" s="19">
        <v>4.3455938813812907</v>
      </c>
      <c r="Q103" s="19">
        <v>1.2039564246520911</v>
      </c>
      <c r="R103" s="19">
        <v>3.2047474760096009</v>
      </c>
      <c r="S103" s="19">
        <v>5.835067246721664</v>
      </c>
      <c r="T103" s="19">
        <v>2.6929702436746936</v>
      </c>
      <c r="U103" s="19">
        <v>4.7970654412540057</v>
      </c>
      <c r="V103" s="19">
        <v>4.0593712726665956</v>
      </c>
      <c r="W103" s="19">
        <v>1.8148925669176208</v>
      </c>
      <c r="X103" s="19">
        <v>0.26708704605229627</v>
      </c>
      <c r="Y103" s="19">
        <v>0.30102345327193802</v>
      </c>
      <c r="Z103" s="19">
        <v>3.4467880397390758</v>
      </c>
      <c r="AA103" s="19">
        <v>0.94667516209992186</v>
      </c>
      <c r="AB103" s="19">
        <v>0.61313717180664185</v>
      </c>
      <c r="AC103" s="19">
        <v>0.77001186433660962</v>
      </c>
      <c r="AD103" s="19">
        <v>1.0439223469022494</v>
      </c>
      <c r="AE103" s="19">
        <v>3.3011112338493689</v>
      </c>
      <c r="AF103" s="19">
        <v>3.8125504349440575</v>
      </c>
      <c r="AG103" s="19">
        <v>0.94442161729190843</v>
      </c>
      <c r="AH103" s="19">
        <v>2.3755127233467306</v>
      </c>
      <c r="AI103" s="19">
        <v>-0.69295047258640352</v>
      </c>
      <c r="AJ103" s="19">
        <v>0.85333016400765871</v>
      </c>
      <c r="AK103" s="19">
        <v>-0.38981267258591856</v>
      </c>
      <c r="AL103" s="19">
        <v>0.8139639961994618</v>
      </c>
      <c r="AM103" s="19">
        <v>0.11028929465220472</v>
      </c>
      <c r="AN103" s="19">
        <v>5.0367197380759592</v>
      </c>
      <c r="AO103" s="19">
        <v>5.1347345430319109</v>
      </c>
      <c r="AP103" s="19">
        <v>6.2005000788791165</v>
      </c>
      <c r="AQ103" s="19">
        <v>3.4355251770534494</v>
      </c>
      <c r="AR103" s="19">
        <v>2.9895072232327635</v>
      </c>
      <c r="AS103" s="19">
        <v>2.9955730668734191</v>
      </c>
      <c r="AT103" s="19">
        <v>4.0762979456944777</v>
      </c>
      <c r="AU103" s="19">
        <v>3.5348648197300179</v>
      </c>
      <c r="AV103" s="19">
        <v>4.0190596591530721</v>
      </c>
      <c r="AW103" s="19">
        <v>5.6210569488887074</v>
      </c>
      <c r="AX103" s="19">
        <v>5.6051503165960099</v>
      </c>
      <c r="AY103" s="19">
        <v>5.9135801615546484</v>
      </c>
      <c r="AZ103" s="19">
        <v>5.4824992898211349</v>
      </c>
      <c r="BA103" s="19">
        <v>5.4963855201868057</v>
      </c>
      <c r="BB103" s="19">
        <v>3.2299863389412735</v>
      </c>
      <c r="BC103" s="19">
        <v>5.9348305857125183</v>
      </c>
      <c r="BD103" s="19">
        <v>3.9128420832096396</v>
      </c>
      <c r="BE103" s="19">
        <v>2.6064197020575222</v>
      </c>
      <c r="BF103" s="19">
        <v>5.5419942833707836</v>
      </c>
      <c r="BG103" s="19">
        <v>5.753693750375362</v>
      </c>
      <c r="BH103" s="19">
        <v>4.6381952110002658</v>
      </c>
      <c r="BI103" s="19">
        <v>4.3761690237130892</v>
      </c>
      <c r="BJ103" s="19">
        <v>4.7949861284745481</v>
      </c>
      <c r="BK103" s="19">
        <v>4.0215801733483261</v>
      </c>
      <c r="BL103" s="19">
        <v>4.1310417723504003</v>
      </c>
      <c r="BM103" s="19">
        <v>0.20676711712503959</v>
      </c>
      <c r="BN103" s="19">
        <v>3.8640790752424437</v>
      </c>
    </row>
    <row r="104" spans="1:66" x14ac:dyDescent="0.2">
      <c r="A104" s="19" t="s">
        <v>628</v>
      </c>
      <c r="B104" s="19" t="s">
        <v>963</v>
      </c>
      <c r="C104" s="19" t="s">
        <v>863</v>
      </c>
      <c r="D104" s="19" t="s">
        <v>864</v>
      </c>
      <c r="AO104" s="19">
        <v>6.2531879177609255</v>
      </c>
      <c r="AP104" s="19">
        <v>6.173188911479528</v>
      </c>
      <c r="AQ104" s="19">
        <v>2.3251485623349453</v>
      </c>
      <c r="AR104" s="19">
        <v>-0.74615353616756863</v>
      </c>
      <c r="AS104" s="19">
        <v>2.864066947219726</v>
      </c>
      <c r="AT104" s="19">
        <v>3.0747276245299986</v>
      </c>
      <c r="AU104" s="19">
        <v>5.7635351482292094</v>
      </c>
      <c r="AV104" s="19">
        <v>5.5637359354269194</v>
      </c>
      <c r="AW104" s="19">
        <v>4.1541441754586543</v>
      </c>
      <c r="AX104" s="19">
        <v>4.2628629344242341</v>
      </c>
      <c r="AY104" s="19">
        <v>4.8869380706956633</v>
      </c>
      <c r="AZ104" s="19">
        <v>5.0011124300730359</v>
      </c>
      <c r="BA104" s="19">
        <v>2.0018640212154537</v>
      </c>
      <c r="BB104" s="19">
        <v>-7.1934447594569662</v>
      </c>
      <c r="BC104" s="19">
        <v>-1.2237794819800598</v>
      </c>
      <c r="BD104" s="19">
        <v>-8.661377904111589E-2</v>
      </c>
      <c r="BE104" s="19">
        <v>-2.3316616448587695</v>
      </c>
      <c r="BF104" s="19">
        <v>-0.39782766512796286</v>
      </c>
      <c r="BG104" s="19">
        <v>-0.42936058593106452</v>
      </c>
      <c r="BH104" s="19">
        <v>2.5222922774519247</v>
      </c>
      <c r="BI104" s="19">
        <v>3.5593594821943242</v>
      </c>
      <c r="BJ104" s="19">
        <v>3.4124678224456915</v>
      </c>
      <c r="BK104" s="19">
        <v>2.8006761992323845</v>
      </c>
      <c r="BL104" s="19">
        <v>3.4210055304159539</v>
      </c>
      <c r="BM104" s="19">
        <v>-8.5803430210621769</v>
      </c>
      <c r="BN104" s="19">
        <v>13.072204921597887</v>
      </c>
    </row>
    <row r="105" spans="1:66" x14ac:dyDescent="0.2">
      <c r="A105" s="19" t="s">
        <v>629</v>
      </c>
      <c r="B105" s="19" t="s">
        <v>964</v>
      </c>
      <c r="C105" s="19" t="s">
        <v>863</v>
      </c>
      <c r="D105" s="19" t="s">
        <v>864</v>
      </c>
      <c r="F105" s="19">
        <v>-2.9319802912678057</v>
      </c>
      <c r="G105" s="19">
        <v>7.8875758938556544</v>
      </c>
      <c r="H105" s="19">
        <v>-1.8927925505704053</v>
      </c>
      <c r="I105" s="19">
        <v>-1.6473573688753333</v>
      </c>
      <c r="J105" s="19">
        <v>2.1617978614489175</v>
      </c>
      <c r="K105" s="19">
        <v>-0.57578680104617774</v>
      </c>
      <c r="L105" s="19">
        <v>-2.1176862010635489</v>
      </c>
      <c r="M105" s="19">
        <v>3.1816173214892558</v>
      </c>
      <c r="N105" s="19">
        <v>3.8119432848659187</v>
      </c>
      <c r="O105" s="19">
        <v>0.6511537080341725</v>
      </c>
      <c r="P105" s="19">
        <v>6.4803805013228839</v>
      </c>
      <c r="Q105" s="19">
        <v>0.97710775896666746</v>
      </c>
      <c r="R105" s="19">
        <v>4.7553220916891803</v>
      </c>
      <c r="S105" s="19">
        <v>5.7798891517062145</v>
      </c>
      <c r="T105" s="19">
        <v>1.1227544910428406</v>
      </c>
      <c r="U105" s="19">
        <v>8.4388354296335706</v>
      </c>
      <c r="V105" s="19">
        <v>3.7081464367304022</v>
      </c>
      <c r="W105" s="19">
        <v>6.2088635364854667</v>
      </c>
      <c r="X105" s="19">
        <v>7.5604214016743043</v>
      </c>
      <c r="Y105" s="19">
        <v>7.3746879193907944</v>
      </c>
      <c r="Z105" s="19">
        <v>-2.8527097111516468</v>
      </c>
      <c r="AA105" s="19">
        <v>-3.5637452243429664</v>
      </c>
      <c r="AB105" s="19">
        <v>0.90818146126979116</v>
      </c>
      <c r="AC105" s="19">
        <v>0.3009170362364415</v>
      </c>
      <c r="AD105" s="19">
        <v>0.6036312943696629</v>
      </c>
      <c r="AE105" s="19">
        <v>-0.49750478837236756</v>
      </c>
      <c r="AF105" s="19">
        <v>-0.79364870019708178</v>
      </c>
      <c r="AG105" s="19">
        <v>0.20042683732594924</v>
      </c>
      <c r="AH105" s="19">
        <v>-2.9134243980719248</v>
      </c>
      <c r="AI105" s="19">
        <v>1.0381228019824817</v>
      </c>
      <c r="AJ105" s="19">
        <v>1.8805447239628137</v>
      </c>
      <c r="AK105" s="19">
        <v>-5.3099329225117771</v>
      </c>
      <c r="AL105" s="19">
        <v>-5.4262959921538254</v>
      </c>
      <c r="AM105" s="19">
        <v>-11.950629293956098</v>
      </c>
      <c r="AN105" s="19">
        <v>9.897707488157053</v>
      </c>
      <c r="AO105" s="19">
        <v>4.1407733285678319</v>
      </c>
      <c r="AP105" s="19">
        <v>2.7047139307778707</v>
      </c>
      <c r="AQ105" s="19">
        <v>2.1818403295712301</v>
      </c>
      <c r="AR105" s="19">
        <v>2.7102480104849889</v>
      </c>
      <c r="AS105" s="19">
        <v>0.87005925942489171</v>
      </c>
      <c r="AT105" s="19">
        <v>-0.34274788325214445</v>
      </c>
      <c r="AU105" s="19">
        <v>1.0518201345010851</v>
      </c>
      <c r="AV105" s="19">
        <v>3.4807797318832598</v>
      </c>
      <c r="AW105" s="19">
        <v>-1.3178567596495014</v>
      </c>
      <c r="AX105" s="19">
        <v>3.0721733766473136</v>
      </c>
      <c r="AY105" s="19">
        <v>1.7687506028819513</v>
      </c>
      <c r="AZ105" s="19">
        <v>4.7065299400830298</v>
      </c>
      <c r="BA105" s="19">
        <v>2.6580323082746986</v>
      </c>
      <c r="BB105" s="19">
        <v>5.890378948443157</v>
      </c>
      <c r="BC105" s="19">
        <v>-5.6515115344829923</v>
      </c>
      <c r="BD105" s="19">
        <v>5.0982135441003607</v>
      </c>
      <c r="BE105" s="19">
        <v>0.50242440358158547</v>
      </c>
      <c r="BF105" s="19">
        <v>4.3247841147287431</v>
      </c>
      <c r="BG105" s="19">
        <v>1.7225656019627706</v>
      </c>
      <c r="BH105" s="19">
        <v>2.5625088349002993</v>
      </c>
      <c r="BI105" s="19">
        <v>1.8124680784753195</v>
      </c>
      <c r="BJ105" s="19">
        <v>2.5102713454468528</v>
      </c>
      <c r="BK105" s="19">
        <v>1.6678109548465585</v>
      </c>
      <c r="BL105" s="19">
        <v>-1.6845950813302153</v>
      </c>
      <c r="BM105" s="19">
        <v>-3.3433726117598894</v>
      </c>
      <c r="BN105" s="19">
        <v>-1.798239889314857</v>
      </c>
    </row>
    <row r="106" spans="1:66" x14ac:dyDescent="0.2">
      <c r="A106" s="19" t="s">
        <v>630</v>
      </c>
      <c r="B106" s="19" t="s">
        <v>965</v>
      </c>
      <c r="C106" s="19" t="s">
        <v>863</v>
      </c>
      <c r="D106" s="19" t="s">
        <v>864</v>
      </c>
      <c r="AK106" s="19">
        <v>-3.0641803465436936</v>
      </c>
      <c r="AL106" s="19">
        <v>-0.57610851776655636</v>
      </c>
      <c r="AM106" s="19">
        <v>2.9471545562986137</v>
      </c>
      <c r="AN106" s="19">
        <v>1.4895254762230081</v>
      </c>
      <c r="AO106" s="19">
        <v>8.2413297607502045E-2</v>
      </c>
      <c r="AP106" s="19">
        <v>3.1431221936126974</v>
      </c>
      <c r="AQ106" s="19">
        <v>3.9000045011963635</v>
      </c>
      <c r="AR106" s="19">
        <v>3.0710268664907829</v>
      </c>
      <c r="AS106" s="19">
        <v>4.4791947319757099</v>
      </c>
      <c r="AT106" s="19">
        <v>4.074088032738544</v>
      </c>
      <c r="AU106" s="19">
        <v>4.7412865464826979</v>
      </c>
      <c r="AV106" s="19">
        <v>4.0742497458520859</v>
      </c>
      <c r="AW106" s="19">
        <v>5.0046206916491514</v>
      </c>
      <c r="AX106" s="19">
        <v>4.2942776100917825</v>
      </c>
      <c r="AY106" s="19">
        <v>3.946066880293202</v>
      </c>
      <c r="AZ106" s="19">
        <v>0.27737277232580482</v>
      </c>
      <c r="BA106" s="19">
        <v>1.0039430290089655</v>
      </c>
      <c r="BB106" s="19">
        <v>-6.5978672185016904</v>
      </c>
      <c r="BC106" s="19">
        <v>1.0762540427766965</v>
      </c>
      <c r="BD106" s="19">
        <v>1.8668374754429777</v>
      </c>
      <c r="BE106" s="19">
        <v>-1.2502260234706313</v>
      </c>
      <c r="BF106" s="19">
        <v>1.8025221008226566</v>
      </c>
      <c r="BG106" s="19">
        <v>4.2322098061426914</v>
      </c>
      <c r="BH106" s="19">
        <v>3.7073159793626047</v>
      </c>
      <c r="BI106" s="19">
        <v>2.2010018929385637</v>
      </c>
      <c r="BJ106" s="19">
        <v>4.2719760162069491</v>
      </c>
      <c r="BK106" s="19">
        <v>5.3623322592990235</v>
      </c>
      <c r="BL106" s="19">
        <v>4.8577923603073714</v>
      </c>
      <c r="BM106" s="19">
        <v>-4.5472638232322424</v>
      </c>
      <c r="BN106" s="19">
        <v>7.1173153147980912</v>
      </c>
    </row>
    <row r="107" spans="1:66" x14ac:dyDescent="0.2">
      <c r="A107" s="19" t="s">
        <v>631</v>
      </c>
      <c r="B107" s="19" t="s">
        <v>966</v>
      </c>
      <c r="C107" s="19" t="s">
        <v>863</v>
      </c>
      <c r="D107" s="19" t="s">
        <v>864</v>
      </c>
      <c r="F107" s="19">
        <v>1.0857072489917101</v>
      </c>
      <c r="G107" s="19">
        <v>3.0676740148817743</v>
      </c>
      <c r="H107" s="19">
        <v>4.5929351411862456</v>
      </c>
      <c r="I107" s="19">
        <v>7.9720902012373926</v>
      </c>
      <c r="J107" s="19">
        <v>5.989046881223075</v>
      </c>
      <c r="K107" s="19">
        <v>5.5335488563562905</v>
      </c>
      <c r="L107" s="19">
        <v>4.1152581859093686</v>
      </c>
      <c r="M107" s="19">
        <v>5.9339921396428963</v>
      </c>
      <c r="N107" s="19">
        <v>7.8703361033304731</v>
      </c>
      <c r="O107" s="19">
        <v>7.7425488518034342</v>
      </c>
      <c r="P107" s="19">
        <v>6.3305490238484481</v>
      </c>
      <c r="Q107" s="19">
        <v>6.5603539228668666</v>
      </c>
      <c r="R107" s="19">
        <v>7.1211537049135103</v>
      </c>
      <c r="S107" s="19">
        <v>5.5501479058519294</v>
      </c>
      <c r="T107" s="19">
        <v>4.6991025390213252</v>
      </c>
      <c r="U107" s="19">
        <v>6.0507061203111618</v>
      </c>
      <c r="V107" s="19">
        <v>4.5912651589728171</v>
      </c>
      <c r="W107" s="19">
        <v>4.0680387773876419</v>
      </c>
      <c r="X107" s="19">
        <v>4.6949774971928377</v>
      </c>
      <c r="Y107" s="19">
        <v>5.1838998040007738</v>
      </c>
      <c r="Z107" s="19">
        <v>2.3599357068910791</v>
      </c>
      <c r="AA107" s="19">
        <v>2.8396159170560225</v>
      </c>
      <c r="AB107" s="19">
        <v>2.0102190797108364</v>
      </c>
      <c r="AC107" s="19">
        <v>5.0360908700403115</v>
      </c>
      <c r="AD107" s="19">
        <v>4.4734933308924809</v>
      </c>
      <c r="AE107" s="19">
        <v>4.2095159935801689</v>
      </c>
      <c r="AF107" s="19">
        <v>5.0529292791741369</v>
      </c>
      <c r="AG107" s="19">
        <v>4.0301989909431626</v>
      </c>
      <c r="AH107" s="19">
        <v>3.213217097680257</v>
      </c>
      <c r="AI107" s="19">
        <v>1.9339475351163316</v>
      </c>
      <c r="AJ107" s="19">
        <v>1.2309098260134874</v>
      </c>
      <c r="AK107" s="19">
        <v>1.7052348036175005</v>
      </c>
      <c r="AL107" s="19">
        <v>3.7644981569293918</v>
      </c>
      <c r="AM107" s="19">
        <v>3.6947002879650768</v>
      </c>
      <c r="AN107" s="19">
        <v>4.0561546784379203</v>
      </c>
      <c r="AO107" s="19">
        <v>5.535979944086904</v>
      </c>
      <c r="AP107" s="19">
        <v>5.3292726581805283</v>
      </c>
      <c r="AQ107" s="19">
        <v>2.5963866289031614</v>
      </c>
      <c r="AR107" s="19">
        <v>3.7697862775192874</v>
      </c>
      <c r="AS107" s="19">
        <v>5.9002763376330591</v>
      </c>
      <c r="AT107" s="19">
        <v>3.6332083583412214</v>
      </c>
      <c r="AU107" s="19">
        <v>4.6126175927470427</v>
      </c>
      <c r="AV107" s="19">
        <v>5.9953947577965181</v>
      </c>
      <c r="AW107" s="19">
        <v>7.6898056463325446</v>
      </c>
      <c r="AX107" s="19">
        <v>7.2272008155894696</v>
      </c>
      <c r="AY107" s="19">
        <v>8.2835706038213885</v>
      </c>
      <c r="AZ107" s="19">
        <v>8.9996110709713406</v>
      </c>
      <c r="BA107" s="19">
        <v>5.9397214847445099</v>
      </c>
      <c r="BB107" s="19">
        <v>2.8862338531025387</v>
      </c>
      <c r="BC107" s="19">
        <v>7.8314675617855443</v>
      </c>
      <c r="BD107" s="19">
        <v>6.4086458130848172</v>
      </c>
      <c r="BE107" s="19">
        <v>5.4769792109750313</v>
      </c>
      <c r="BF107" s="19">
        <v>5.2512904736840511</v>
      </c>
      <c r="BG107" s="19">
        <v>4.8795463272300026</v>
      </c>
      <c r="BH107" s="19">
        <v>4.4385581728624288</v>
      </c>
      <c r="BI107" s="19">
        <v>4.5964181747802684</v>
      </c>
      <c r="BJ107" s="19">
        <v>5.250120032383478</v>
      </c>
      <c r="BK107" s="19">
        <v>4.9354365842227566</v>
      </c>
      <c r="BL107" s="19">
        <v>3.9620881983873204</v>
      </c>
      <c r="BM107" s="19">
        <v>-1.4039504757779468</v>
      </c>
      <c r="BN107" s="19">
        <v>7.1606338683617423</v>
      </c>
    </row>
    <row r="108" spans="1:66" x14ac:dyDescent="0.2">
      <c r="A108" s="19" t="s">
        <v>632</v>
      </c>
      <c r="B108" s="19" t="s">
        <v>967</v>
      </c>
      <c r="C108" s="19" t="s">
        <v>863</v>
      </c>
      <c r="D108" s="19" t="s">
        <v>864</v>
      </c>
      <c r="F108" s="19">
        <v>1.0878666635597796</v>
      </c>
      <c r="G108" s="19">
        <v>3.5023252437024155</v>
      </c>
      <c r="H108" s="19">
        <v>4.6020267322193149</v>
      </c>
      <c r="I108" s="19">
        <v>7.5055337311903401</v>
      </c>
      <c r="J108" s="19">
        <v>5.754565519353477</v>
      </c>
      <c r="K108" s="19">
        <v>4.8613964363633215</v>
      </c>
      <c r="L108" s="19">
        <v>3.1050309933096969</v>
      </c>
      <c r="M108" s="19">
        <v>5.6388351377629817</v>
      </c>
      <c r="N108" s="19">
        <v>8.073281836991427</v>
      </c>
      <c r="O108" s="19">
        <v>8.1470366554612212</v>
      </c>
      <c r="P108" s="19">
        <v>6.3634161664311506</v>
      </c>
      <c r="Q108" s="19">
        <v>5.8918969557097967</v>
      </c>
      <c r="R108" s="19">
        <v>6.7410107426688199</v>
      </c>
      <c r="S108" s="19">
        <v>5.8357278691527341</v>
      </c>
      <c r="T108" s="19">
        <v>4.0365096182639348</v>
      </c>
      <c r="U108" s="19">
        <v>6.0529221936841822</v>
      </c>
      <c r="V108" s="19">
        <v>4.5683882207417525</v>
      </c>
      <c r="W108" s="19">
        <v>3.6563785011475716</v>
      </c>
      <c r="X108" s="19">
        <v>4.5623620980759512</v>
      </c>
      <c r="Y108" s="19">
        <v>4.9827440316426106</v>
      </c>
      <c r="Z108" s="19">
        <v>2.0056170657018129</v>
      </c>
      <c r="AA108" s="19">
        <v>2.4986095487914355</v>
      </c>
      <c r="AB108" s="19">
        <v>1.6656113306445093</v>
      </c>
      <c r="AC108" s="19">
        <v>4.6260931358380617</v>
      </c>
      <c r="AD108" s="19">
        <v>4.4159171552849585</v>
      </c>
      <c r="AE108" s="19">
        <v>4.0826518791061517</v>
      </c>
      <c r="AF108" s="19">
        <v>4.9214612164718119</v>
      </c>
      <c r="AG108" s="19">
        <v>4.0896801050824223</v>
      </c>
      <c r="AH108" s="19">
        <v>3.1260866748588967</v>
      </c>
      <c r="AI108" s="19">
        <v>2.103716669175725</v>
      </c>
      <c r="AJ108" s="19">
        <v>1.2859136829185758</v>
      </c>
      <c r="AK108" s="19">
        <v>1.7398761618778735</v>
      </c>
      <c r="AL108" s="19">
        <v>3.5038083501917896</v>
      </c>
      <c r="AM108" s="19">
        <v>3.4465218456741979</v>
      </c>
      <c r="AN108" s="19">
        <v>4.0098588956005443</v>
      </c>
      <c r="AO108" s="19">
        <v>5.4825541758752649</v>
      </c>
      <c r="AP108" s="19">
        <v>5.214451644309932</v>
      </c>
      <c r="AQ108" s="19">
        <v>2.6624932134940309</v>
      </c>
      <c r="AR108" s="19">
        <v>3.6893631142792032</v>
      </c>
      <c r="AS108" s="19">
        <v>5.7289400364435323</v>
      </c>
      <c r="AT108" s="19">
        <v>3.6981572275546597</v>
      </c>
      <c r="AU108" s="19">
        <v>4.6793819651277886</v>
      </c>
      <c r="AV108" s="19">
        <v>5.9072033032384468</v>
      </c>
      <c r="AW108" s="19">
        <v>7.6050933550788642</v>
      </c>
      <c r="AX108" s="19">
        <v>7.1327199092598619</v>
      </c>
      <c r="AY108" s="19">
        <v>8.1017667814780907</v>
      </c>
      <c r="AZ108" s="19">
        <v>8.7624161002076875</v>
      </c>
      <c r="BA108" s="19">
        <v>5.866869935600235</v>
      </c>
      <c r="BB108" s="19">
        <v>3.0424183346799083</v>
      </c>
      <c r="BC108" s="19">
        <v>7.7021837965344844</v>
      </c>
      <c r="BD108" s="19">
        <v>6.2153538736487093</v>
      </c>
      <c r="BE108" s="19">
        <v>5.272658115844493</v>
      </c>
      <c r="BF108" s="19">
        <v>5.2532080375389967</v>
      </c>
      <c r="BG108" s="19">
        <v>4.9283814255024652</v>
      </c>
      <c r="BH108" s="19">
        <v>4.3518897187998107</v>
      </c>
      <c r="BI108" s="19">
        <v>4.4873652026458757</v>
      </c>
      <c r="BJ108" s="19">
        <v>5.1420960864417111</v>
      </c>
      <c r="BK108" s="19">
        <v>4.8911855403962221</v>
      </c>
      <c r="BL108" s="19">
        <v>3.9668548867468445</v>
      </c>
      <c r="BM108" s="19">
        <v>-1.3199861654838543</v>
      </c>
      <c r="BN108" s="19">
        <v>6.9272191233315823</v>
      </c>
    </row>
    <row r="109" spans="1:66" x14ac:dyDescent="0.2">
      <c r="A109" s="19" t="s">
        <v>633</v>
      </c>
      <c r="B109" s="19" t="s">
        <v>968</v>
      </c>
      <c r="C109" s="19" t="s">
        <v>863</v>
      </c>
      <c r="D109" s="19" t="s">
        <v>864</v>
      </c>
      <c r="F109" s="19">
        <v>1.1004362830748988</v>
      </c>
      <c r="G109" s="19">
        <v>5.9961701613396485</v>
      </c>
      <c r="H109" s="19">
        <v>4.65274924080083</v>
      </c>
      <c r="I109" s="19">
        <v>4.9040760954344194</v>
      </c>
      <c r="J109" s="19">
        <v>4.40889104387891</v>
      </c>
      <c r="K109" s="19">
        <v>0.89521847084017736</v>
      </c>
      <c r="L109" s="19">
        <v>-3.1872292448692718</v>
      </c>
      <c r="M109" s="19">
        <v>3.6765769341281924</v>
      </c>
      <c r="N109" s="19">
        <v>9.4604589480342156</v>
      </c>
      <c r="O109" s="19">
        <v>10.871633105465989</v>
      </c>
      <c r="P109" s="19">
        <v>6.5783011446832944</v>
      </c>
      <c r="Q109" s="19">
        <v>1.5316927940755392</v>
      </c>
      <c r="R109" s="19">
        <v>4.1386089302584566</v>
      </c>
      <c r="S109" s="19">
        <v>7.8467581077719615</v>
      </c>
      <c r="T109" s="19">
        <v>-0.53005292896970957</v>
      </c>
      <c r="U109" s="19">
        <v>6.0689981873600232</v>
      </c>
      <c r="V109" s="19">
        <v>4.4020423240173301</v>
      </c>
      <c r="W109" s="19">
        <v>0.66372113589791581</v>
      </c>
      <c r="X109" s="19">
        <v>3.5656806335584861</v>
      </c>
      <c r="Y109" s="19">
        <v>3.4555361860310967</v>
      </c>
      <c r="Z109" s="19">
        <v>-0.75047836394415413</v>
      </c>
      <c r="AA109" s="19">
        <v>-0.17730387088418809</v>
      </c>
      <c r="AB109" s="19">
        <v>-1.0905803778229028</v>
      </c>
      <c r="AC109" s="19">
        <v>1.2441066626154935</v>
      </c>
      <c r="AD109" s="19">
        <v>3.9213420450892045</v>
      </c>
      <c r="AE109" s="19">
        <v>3.0005620125685084</v>
      </c>
      <c r="AF109" s="19">
        <v>3.8018999224676833</v>
      </c>
      <c r="AG109" s="19">
        <v>4.5953351385983154</v>
      </c>
      <c r="AH109" s="19">
        <v>2.4016549040826902</v>
      </c>
      <c r="AI109" s="19">
        <v>3.833707908509254</v>
      </c>
      <c r="AJ109" s="19">
        <v>1.8539490985056659</v>
      </c>
      <c r="AK109" s="19">
        <v>2.0954357955921665</v>
      </c>
      <c r="AL109" s="19">
        <v>0.84246719557231131</v>
      </c>
      <c r="AM109" s="19">
        <v>0.85950388976776537</v>
      </c>
      <c r="AN109" s="19">
        <v>3.5135562094326076</v>
      </c>
      <c r="AO109" s="19">
        <v>4.9038362181595687</v>
      </c>
      <c r="AP109" s="19">
        <v>3.9631940179706078</v>
      </c>
      <c r="AQ109" s="19">
        <v>3.392563946459191</v>
      </c>
      <c r="AR109" s="19">
        <v>2.8080217970730246</v>
      </c>
      <c r="AS109" s="19">
        <v>3.8233036660221558</v>
      </c>
      <c r="AT109" s="19">
        <v>4.4326380294281194</v>
      </c>
      <c r="AU109" s="19">
        <v>5.4284959541599704</v>
      </c>
      <c r="AV109" s="19">
        <v>4.9323685893550788</v>
      </c>
      <c r="AW109" s="19">
        <v>6.6592299363179137</v>
      </c>
      <c r="AX109" s="19">
        <v>6.0675882063996482</v>
      </c>
      <c r="AY109" s="19">
        <v>6.0297916173094279</v>
      </c>
      <c r="AZ109" s="19">
        <v>6.0017004821403503</v>
      </c>
      <c r="BA109" s="19">
        <v>4.9949690817846033</v>
      </c>
      <c r="BB109" s="19">
        <v>4.897365311227901</v>
      </c>
      <c r="BC109" s="19">
        <v>6.1961653151589218</v>
      </c>
      <c r="BD109" s="19">
        <v>3.9290353545900842</v>
      </c>
      <c r="BE109" s="19">
        <v>2.7982221578759692</v>
      </c>
      <c r="BF109" s="19">
        <v>5.2770358912369204</v>
      </c>
      <c r="BG109" s="19">
        <v>5.533003225513994</v>
      </c>
      <c r="BH109" s="19">
        <v>3.2855016224476685</v>
      </c>
      <c r="BI109" s="19">
        <v>3.1305732800175292</v>
      </c>
      <c r="BJ109" s="19">
        <v>3.7790041106992192</v>
      </c>
      <c r="BK109" s="19">
        <v>4.3248918216523862</v>
      </c>
      <c r="BL109" s="19">
        <v>4.0282126069669317</v>
      </c>
      <c r="BM109" s="19">
        <v>-0.24147489073084216</v>
      </c>
      <c r="BN109" s="19">
        <v>3.9450855300684111</v>
      </c>
    </row>
    <row r="110" spans="1:66" x14ac:dyDescent="0.2">
      <c r="A110" s="19" t="s">
        <v>634</v>
      </c>
      <c r="B110" s="19" t="s">
        <v>969</v>
      </c>
      <c r="C110" s="19" t="s">
        <v>863</v>
      </c>
      <c r="D110" s="19" t="s">
        <v>864</v>
      </c>
      <c r="F110" s="19">
        <v>1.2719642158055109</v>
      </c>
      <c r="G110" s="19">
        <v>4.3607771395181203</v>
      </c>
      <c r="H110" s="19">
        <v>7.953420997605491</v>
      </c>
      <c r="I110" s="19">
        <v>5.1704503739989462</v>
      </c>
      <c r="J110" s="19">
        <v>5.6504129052352283</v>
      </c>
      <c r="K110" s="19">
        <v>-0.33627058812099619</v>
      </c>
      <c r="L110" s="19">
        <v>-8.1128887191958796</v>
      </c>
      <c r="M110" s="19">
        <v>2.2245619216356687</v>
      </c>
      <c r="N110" s="19">
        <v>16.060856873426715</v>
      </c>
      <c r="O110" s="19">
        <v>18.143356039346187</v>
      </c>
      <c r="P110" s="19">
        <v>10.843656297559463</v>
      </c>
      <c r="Q110" s="19">
        <v>4.1361117933885083</v>
      </c>
      <c r="R110" s="19">
        <v>5.6897478057894801</v>
      </c>
      <c r="S110" s="19">
        <v>8.6566742637535157</v>
      </c>
      <c r="T110" s="19">
        <v>-2.1628843614375057</v>
      </c>
      <c r="U110" s="19">
        <v>6.3899089791376866</v>
      </c>
      <c r="V110" s="19">
        <v>5.2552680395514955</v>
      </c>
      <c r="W110" s="19">
        <v>-0.67469287799302435</v>
      </c>
      <c r="X110" s="19">
        <v>5.9859714123827672</v>
      </c>
      <c r="Y110" s="19">
        <v>5.4824269288275929</v>
      </c>
      <c r="Z110" s="19">
        <v>-4.4063142429181852</v>
      </c>
      <c r="AA110" s="19">
        <v>-1.218372446464258</v>
      </c>
      <c r="AB110" s="19">
        <v>-3.1494941525666036</v>
      </c>
      <c r="AC110" s="19">
        <v>1.5996757045578391</v>
      </c>
      <c r="AD110" s="19">
        <v>6.1156888598164301</v>
      </c>
      <c r="AE110" s="19">
        <v>2.8495623767738749</v>
      </c>
      <c r="AF110" s="19">
        <v>3.7771326103382705</v>
      </c>
      <c r="AG110" s="19">
        <v>6.3824753367685645</v>
      </c>
      <c r="AH110" s="19">
        <v>3.0415712911201496</v>
      </c>
      <c r="AI110" s="19">
        <v>6.5054016675343291</v>
      </c>
      <c r="AJ110" s="19">
        <v>1.9124150213303039</v>
      </c>
      <c r="AK110" s="19">
        <v>2.9210375831350177</v>
      </c>
      <c r="AL110" s="19">
        <v>-0.28225415257966802</v>
      </c>
      <c r="AM110" s="19">
        <v>0.80836533495711649</v>
      </c>
      <c r="AN110" s="19">
        <v>1.9219272894174964</v>
      </c>
      <c r="AO110" s="19">
        <v>4.6175365952140481</v>
      </c>
      <c r="AP110" s="19">
        <v>2.0201007058567626</v>
      </c>
      <c r="AQ110" s="19">
        <v>2.7095324650889552</v>
      </c>
      <c r="AR110" s="19">
        <v>2.1039363467859005</v>
      </c>
      <c r="AS110" s="19">
        <v>3.6895313935257406</v>
      </c>
      <c r="AT110" s="19">
        <v>4.3685077290297016</v>
      </c>
      <c r="AU110" s="19">
        <v>7.1142330708240848</v>
      </c>
      <c r="AV110" s="19">
        <v>5.1136325481039933</v>
      </c>
      <c r="AW110" s="19">
        <v>7.5150285766400344</v>
      </c>
      <c r="AX110" s="19">
        <v>5.957592608375208</v>
      </c>
      <c r="AY110" s="19">
        <v>5.8025626597031987</v>
      </c>
      <c r="AZ110" s="19">
        <v>5.7887787779000348</v>
      </c>
      <c r="BA110" s="19">
        <v>4.124827429778577</v>
      </c>
      <c r="BB110" s="19">
        <v>5.914988104353796</v>
      </c>
      <c r="BC110" s="19">
        <v>6.1516970261298525</v>
      </c>
      <c r="BD110" s="19">
        <v>4.7026310448994906</v>
      </c>
      <c r="BE110" s="19">
        <v>4.5556945295074627</v>
      </c>
      <c r="BF110" s="19">
        <v>5.5686611083727797</v>
      </c>
      <c r="BG110" s="19">
        <v>5.8282888802040844</v>
      </c>
      <c r="BH110" s="19">
        <v>3.816583430672992</v>
      </c>
      <c r="BI110" s="19">
        <v>1.6701200602045247</v>
      </c>
      <c r="BJ110" s="19">
        <v>2.52214840205896</v>
      </c>
      <c r="BK110" s="19">
        <v>3.7157981233328741</v>
      </c>
      <c r="BL110" s="19">
        <v>2.7390524372750633</v>
      </c>
      <c r="BM110" s="19">
        <v>-1.3892763993163868</v>
      </c>
      <c r="BN110" s="19">
        <v>5.0708456319545263</v>
      </c>
    </row>
    <row r="111" spans="1:66" x14ac:dyDescent="0.2">
      <c r="A111" s="19" t="s">
        <v>635</v>
      </c>
      <c r="B111" s="19" t="s">
        <v>970</v>
      </c>
      <c r="C111" s="19" t="s">
        <v>863</v>
      </c>
      <c r="D111" s="19" t="s">
        <v>864</v>
      </c>
      <c r="F111" s="19">
        <v>5.740645822743474</v>
      </c>
      <c r="G111" s="19">
        <v>1.8419777020646961</v>
      </c>
      <c r="H111" s="19">
        <v>-2.2370299843302206</v>
      </c>
      <c r="I111" s="19">
        <v>3.5296981484771663</v>
      </c>
      <c r="J111" s="19">
        <v>1.0815894666500441</v>
      </c>
      <c r="K111" s="19">
        <v>2.7913468254111535</v>
      </c>
      <c r="L111" s="19">
        <v>1.3804028052958586</v>
      </c>
      <c r="M111" s="19">
        <v>10.915178572328443</v>
      </c>
      <c r="N111" s="19">
        <v>6.8222982485670371</v>
      </c>
      <c r="O111" s="19">
        <v>7.5546345146063913</v>
      </c>
      <c r="P111" s="19">
        <v>7.0239971967414903</v>
      </c>
      <c r="Q111" s="19">
        <v>7.0376432075447184</v>
      </c>
      <c r="R111" s="19">
        <v>8.1039755352112763</v>
      </c>
      <c r="S111" s="19">
        <v>7.2342438172607615</v>
      </c>
      <c r="T111" s="19">
        <v>5.6074766355140184</v>
      </c>
      <c r="U111" s="19">
        <v>7.0796460176991332</v>
      </c>
      <c r="V111" s="19">
        <v>8.2644628099173474</v>
      </c>
      <c r="W111" s="19">
        <v>6.8702290076335828</v>
      </c>
      <c r="X111" s="19">
        <v>7.1428571428571388</v>
      </c>
      <c r="Y111" s="19">
        <v>10</v>
      </c>
      <c r="Z111" s="19">
        <v>7.8787878787878896</v>
      </c>
      <c r="AA111" s="19">
        <v>2.2471910112359552</v>
      </c>
      <c r="AB111" s="19">
        <v>4.3956043956044084</v>
      </c>
      <c r="AC111" s="19">
        <v>6.8421052631578902</v>
      </c>
      <c r="AD111" s="19">
        <v>2.4630541871921281</v>
      </c>
      <c r="AE111" s="19">
        <v>5.7692307692307736</v>
      </c>
      <c r="AF111" s="19">
        <v>5</v>
      </c>
      <c r="AG111" s="19">
        <v>5.6277056277056232</v>
      </c>
      <c r="AH111" s="19">
        <v>7.7868852459016296</v>
      </c>
      <c r="AI111" s="19">
        <v>7.2243346007604572</v>
      </c>
      <c r="AJ111" s="19">
        <v>6.7758174410496537</v>
      </c>
      <c r="AK111" s="19">
        <v>6.4975065168271442</v>
      </c>
      <c r="AL111" s="19">
        <v>6.4964081204530402</v>
      </c>
      <c r="AM111" s="19">
        <v>7.5399710955143888</v>
      </c>
      <c r="AN111" s="19">
        <v>8.2200073990349267</v>
      </c>
      <c r="AO111" s="19">
        <v>7.8181870767086679</v>
      </c>
      <c r="AP111" s="19">
        <v>4.699878853903968</v>
      </c>
      <c r="AQ111" s="19">
        <v>-13.126725492381809</v>
      </c>
      <c r="AR111" s="19">
        <v>0.79112608199847045</v>
      </c>
      <c r="AS111" s="19">
        <v>4.9200677470169012</v>
      </c>
      <c r="AT111" s="19">
        <v>3.6434664472149194</v>
      </c>
      <c r="AU111" s="19">
        <v>4.4994753908576257</v>
      </c>
      <c r="AV111" s="19">
        <v>4.7803691216765571</v>
      </c>
      <c r="AW111" s="19">
        <v>5.0308739450168503</v>
      </c>
      <c r="AX111" s="19">
        <v>5.6925713038338444</v>
      </c>
      <c r="AY111" s="19">
        <v>5.5009517852034833</v>
      </c>
      <c r="AZ111" s="19">
        <v>6.3450222266721426</v>
      </c>
      <c r="BA111" s="19">
        <v>6.0137036000912332</v>
      </c>
      <c r="BB111" s="19">
        <v>4.6288711825615252</v>
      </c>
      <c r="BC111" s="19">
        <v>6.2238541806236611</v>
      </c>
      <c r="BD111" s="19">
        <v>6.1697842077100802</v>
      </c>
      <c r="BE111" s="19">
        <v>6.0300506530561506</v>
      </c>
      <c r="BF111" s="19">
        <v>5.5572636889100977</v>
      </c>
      <c r="BG111" s="19">
        <v>5.0066684257549952</v>
      </c>
      <c r="BH111" s="19">
        <v>4.8763223002212328</v>
      </c>
      <c r="BI111" s="19">
        <v>5.0330691828017677</v>
      </c>
      <c r="BJ111" s="19">
        <v>5.0697859013491637</v>
      </c>
      <c r="BK111" s="19">
        <v>5.1742915395502393</v>
      </c>
      <c r="BL111" s="19">
        <v>5.0192876804628241</v>
      </c>
      <c r="BM111" s="19">
        <v>-2.0650049409290432</v>
      </c>
      <c r="BN111" s="19">
        <v>3.6912401119128901</v>
      </c>
    </row>
    <row r="112" spans="1:66" x14ac:dyDescent="0.2">
      <c r="A112" s="19" t="s">
        <v>636</v>
      </c>
      <c r="B112" s="19" t="s">
        <v>971</v>
      </c>
      <c r="C112" s="19" t="s">
        <v>863</v>
      </c>
      <c r="D112" s="19" t="s">
        <v>864</v>
      </c>
      <c r="G112" s="19">
        <v>7.4219498891292091</v>
      </c>
      <c r="H112" s="19">
        <v>1.8571371802028835</v>
      </c>
      <c r="I112" s="19">
        <v>4.6649583546710005</v>
      </c>
      <c r="J112" s="19">
        <v>3.2890243917951949</v>
      </c>
      <c r="K112" s="19">
        <v>2.0314308642028749</v>
      </c>
      <c r="L112" s="19">
        <v>1.2440892225322955</v>
      </c>
      <c r="M112" s="19">
        <v>4.846101922374487</v>
      </c>
      <c r="N112" s="19">
        <v>4.2770975796100146</v>
      </c>
      <c r="O112" s="19">
        <v>4.5157554394548214</v>
      </c>
      <c r="P112" s="19">
        <v>2.3756355895797867</v>
      </c>
      <c r="Q112" s="19">
        <v>-1.2467068780856039</v>
      </c>
      <c r="R112" s="19">
        <v>2.3936535837177644</v>
      </c>
      <c r="S112" s="19">
        <v>6.9063128529314639</v>
      </c>
      <c r="T112" s="19">
        <v>1.3969743663917171</v>
      </c>
      <c r="U112" s="19">
        <v>5.7035637421067804</v>
      </c>
      <c r="V112" s="19">
        <v>3.4241300371594861</v>
      </c>
      <c r="W112" s="19">
        <v>2.2312605954182487</v>
      </c>
      <c r="X112" s="19">
        <v>0.81163105895203103</v>
      </c>
      <c r="Y112" s="19">
        <v>1.0345136577456913</v>
      </c>
      <c r="Z112" s="19">
        <v>3.7308014938027583</v>
      </c>
      <c r="AA112" s="19">
        <v>0.94384941056951277</v>
      </c>
      <c r="AB112" s="19">
        <v>1.0322246844366845</v>
      </c>
      <c r="AC112" s="19">
        <v>0.89267743799115351</v>
      </c>
      <c r="AD112" s="19">
        <v>1.7554088272181616</v>
      </c>
      <c r="AE112" s="19">
        <v>3.1521679279735508</v>
      </c>
      <c r="AF112" s="19">
        <v>3.8260480391012948</v>
      </c>
      <c r="AG112" s="19">
        <v>2.6821250735035136</v>
      </c>
      <c r="AH112" s="19">
        <v>1.7199718676024816</v>
      </c>
      <c r="AI112" s="19">
        <v>0.95065792192208676</v>
      </c>
      <c r="AJ112" s="19">
        <v>1.792003161434863</v>
      </c>
      <c r="AK112" s="19">
        <v>1.2196577076136919</v>
      </c>
      <c r="AL112" s="19">
        <v>2.0516710787363621</v>
      </c>
      <c r="AM112" s="19">
        <v>0.91238748477945819</v>
      </c>
      <c r="AN112" s="19">
        <v>5.1578008427243418</v>
      </c>
      <c r="AO112" s="19">
        <v>5.189474720412008</v>
      </c>
      <c r="AP112" s="19">
        <v>5.8912597296328642</v>
      </c>
      <c r="AQ112" s="19">
        <v>4.0455359007660405</v>
      </c>
      <c r="AR112" s="19">
        <v>3.4724781804717395</v>
      </c>
      <c r="AS112" s="19">
        <v>3.9478769312069915</v>
      </c>
      <c r="AT112" s="19">
        <v>4.4920512174454501</v>
      </c>
      <c r="AU112" s="19">
        <v>3.8690729304757099</v>
      </c>
      <c r="AV112" s="19">
        <v>4.7618539426978543</v>
      </c>
      <c r="AW112" s="19">
        <v>5.8514785903457636</v>
      </c>
      <c r="AX112" s="19">
        <v>6.1730399218979102</v>
      </c>
      <c r="AY112" s="19">
        <v>6.2471917728668274</v>
      </c>
      <c r="AZ112" s="19">
        <v>6.2045597411932931</v>
      </c>
      <c r="BA112" s="19">
        <v>5.8207432628635729</v>
      </c>
      <c r="BB112" s="19">
        <v>3.9769651044166778</v>
      </c>
      <c r="BC112" s="19">
        <v>6.2371348078391691</v>
      </c>
      <c r="BD112" s="19">
        <v>3.2168799078550592</v>
      </c>
      <c r="BE112" s="19">
        <v>1.1570424701186965</v>
      </c>
      <c r="BF112" s="19">
        <v>4.9955580122441603</v>
      </c>
      <c r="BG112" s="19">
        <v>5.2483476036592265</v>
      </c>
      <c r="BH112" s="19">
        <v>2.7707172792023727</v>
      </c>
      <c r="BI112" s="19">
        <v>4.5606156317507214</v>
      </c>
      <c r="BJ112" s="19">
        <v>4.9756671458629569</v>
      </c>
      <c r="BK112" s="19">
        <v>4.8912610053940142</v>
      </c>
      <c r="BL112" s="19">
        <v>5.213511817346216</v>
      </c>
      <c r="BM112" s="19">
        <v>0.78903448291993072</v>
      </c>
      <c r="BN112" s="19">
        <v>2.9443032704215426</v>
      </c>
    </row>
    <row r="113" spans="1:66" x14ac:dyDescent="0.2">
      <c r="A113" s="19" t="s">
        <v>637</v>
      </c>
      <c r="B113" s="19" t="s">
        <v>972</v>
      </c>
      <c r="C113" s="19" t="s">
        <v>863</v>
      </c>
      <c r="D113" s="19" t="s">
        <v>864</v>
      </c>
      <c r="AD113" s="19">
        <v>0.41892306133979673</v>
      </c>
      <c r="AE113" s="19">
        <v>19.105538336634382</v>
      </c>
      <c r="AF113" s="19">
        <v>9.8963467283020918</v>
      </c>
      <c r="AG113" s="19">
        <v>11.829356529532703</v>
      </c>
      <c r="AH113" s="19">
        <v>6.8452131574314734</v>
      </c>
      <c r="AI113" s="19">
        <v>4.1869768218554668</v>
      </c>
      <c r="AJ113" s="19">
        <v>1.6049928827349049</v>
      </c>
      <c r="AK113" s="19">
        <v>0.80000248977152921</v>
      </c>
      <c r="AL113" s="19">
        <v>2.5999957083552516</v>
      </c>
      <c r="AM113" s="19">
        <v>4.0000012037092887</v>
      </c>
      <c r="AN113" s="19">
        <v>4.2999982060102155</v>
      </c>
      <c r="AO113" s="19">
        <v>7.7000062073612412</v>
      </c>
      <c r="AP113" s="19">
        <v>8.5999943330297981</v>
      </c>
      <c r="AQ113" s="19">
        <v>13.500005959427156</v>
      </c>
      <c r="AR113" s="19">
        <v>13.699997016825364</v>
      </c>
      <c r="AS113" s="19">
        <v>5.3000015255280459</v>
      </c>
      <c r="AT113" s="19">
        <v>5.3999990312611601</v>
      </c>
      <c r="AU113" s="19">
        <v>6.1999981949068399</v>
      </c>
      <c r="AV113" s="19">
        <v>5.9999996881264082</v>
      </c>
      <c r="AW113" s="19">
        <v>5.2000031040249581</v>
      </c>
      <c r="AX113" s="19">
        <v>5.8999993357667506</v>
      </c>
      <c r="AY113" s="19">
        <v>7.6999987125343239</v>
      </c>
      <c r="AZ113" s="19">
        <v>7.5000002298881725</v>
      </c>
      <c r="BA113" s="19">
        <v>4.9000010008154504</v>
      </c>
      <c r="BB113" s="19">
        <v>2.1000002718137409</v>
      </c>
      <c r="BC113" s="19">
        <v>3.3999984239595733</v>
      </c>
      <c r="BD113" s="19">
        <v>1.9999993820741508</v>
      </c>
      <c r="BE113" s="19">
        <v>7.303757302151908</v>
      </c>
      <c r="BF113" s="19">
        <v>4.1417185506713849</v>
      </c>
      <c r="BG113" s="19">
        <v>5.1553030876296333</v>
      </c>
      <c r="BH113" s="19">
        <v>-0.38579840830232115</v>
      </c>
      <c r="BI113" s="19">
        <v>6.9523114746639294</v>
      </c>
      <c r="BJ113" s="19">
        <v>4.6888111874012282</v>
      </c>
      <c r="BK113" s="19">
        <v>2.2134039921622133</v>
      </c>
      <c r="BL113" s="19">
        <v>0.25486132047029741</v>
      </c>
    </row>
    <row r="114" spans="1:66" x14ac:dyDescent="0.2">
      <c r="A114" s="19" t="s">
        <v>524</v>
      </c>
      <c r="B114" s="19" t="s">
        <v>525</v>
      </c>
      <c r="C114" s="19" t="s">
        <v>863</v>
      </c>
      <c r="D114" s="19" t="s">
        <v>864</v>
      </c>
      <c r="F114" s="19">
        <v>3.7227425331105337</v>
      </c>
      <c r="G114" s="19">
        <v>2.9311277354836278</v>
      </c>
      <c r="H114" s="19">
        <v>5.9943532618855926</v>
      </c>
      <c r="I114" s="19">
        <v>7.452950122502088</v>
      </c>
      <c r="J114" s="19">
        <v>-2.6357701102072753</v>
      </c>
      <c r="K114" s="19">
        <v>-5.5328770453797915E-2</v>
      </c>
      <c r="L114" s="19">
        <v>7.8259630308223507</v>
      </c>
      <c r="M114" s="19">
        <v>3.3879291763414301</v>
      </c>
      <c r="N114" s="19">
        <v>6.5397002992835667</v>
      </c>
      <c r="O114" s="19">
        <v>5.157229737189553</v>
      </c>
      <c r="P114" s="19">
        <v>1.6429303752758244</v>
      </c>
      <c r="Q114" s="19">
        <v>-0.55330130534454725</v>
      </c>
      <c r="R114" s="19">
        <v>3.2955211347165232</v>
      </c>
      <c r="S114" s="19">
        <v>1.1853362546696076</v>
      </c>
      <c r="T114" s="19">
        <v>9.1499120157065903</v>
      </c>
      <c r="U114" s="19">
        <v>1.6631036381303375</v>
      </c>
      <c r="V114" s="19">
        <v>7.2547645876036739</v>
      </c>
      <c r="W114" s="19">
        <v>5.7125320886933082</v>
      </c>
      <c r="X114" s="19">
        <v>-5.2381827044621758</v>
      </c>
      <c r="Y114" s="19">
        <v>6.7358215288197982</v>
      </c>
      <c r="Z114" s="19">
        <v>6.0062036260149654</v>
      </c>
      <c r="AA114" s="19">
        <v>3.4757332396996077</v>
      </c>
      <c r="AB114" s="19">
        <v>7.2888929030570324</v>
      </c>
      <c r="AC114" s="19">
        <v>3.8207378561060352</v>
      </c>
      <c r="AD114" s="19">
        <v>5.2542992231138186</v>
      </c>
      <c r="AE114" s="19">
        <v>4.7765641684751614</v>
      </c>
      <c r="AF114" s="19">
        <v>3.9653556348171861</v>
      </c>
      <c r="AG114" s="19">
        <v>9.6277829160784449</v>
      </c>
      <c r="AH114" s="19">
        <v>5.9473433318132436</v>
      </c>
      <c r="AI114" s="19">
        <v>5.5334545612530093</v>
      </c>
      <c r="AJ114" s="19">
        <v>1.0568314333698794</v>
      </c>
      <c r="AK114" s="19">
        <v>5.4823960216704677</v>
      </c>
      <c r="AL114" s="19">
        <v>4.7507762196523373</v>
      </c>
      <c r="AM114" s="19">
        <v>6.6589240673402514</v>
      </c>
      <c r="AN114" s="19">
        <v>7.5744918403237875</v>
      </c>
      <c r="AO114" s="19">
        <v>7.5495222488197982</v>
      </c>
      <c r="AP114" s="19">
        <v>4.0498208490925975</v>
      </c>
      <c r="AQ114" s="19">
        <v>6.1844158209061817</v>
      </c>
      <c r="AR114" s="19">
        <v>8.8457555610550855</v>
      </c>
      <c r="AS114" s="19">
        <v>3.8409911568128479</v>
      </c>
      <c r="AT114" s="19">
        <v>4.8239662639064136</v>
      </c>
      <c r="AU114" s="19">
        <v>3.8039753213758019</v>
      </c>
      <c r="AV114" s="19">
        <v>7.8603814755325914</v>
      </c>
      <c r="AW114" s="19">
        <v>7.9229366128650298</v>
      </c>
      <c r="AX114" s="19">
        <v>7.92343062149763</v>
      </c>
      <c r="AY114" s="19">
        <v>8.0607325730327233</v>
      </c>
      <c r="AZ114" s="19">
        <v>7.6608150650492775</v>
      </c>
      <c r="BA114" s="19">
        <v>3.0866980595328926</v>
      </c>
      <c r="BB114" s="19">
        <v>7.8618888330349819</v>
      </c>
      <c r="BC114" s="19">
        <v>8.4975847015810615</v>
      </c>
      <c r="BD114" s="19">
        <v>5.2413150014066332</v>
      </c>
      <c r="BE114" s="19">
        <v>5.4563887529736519</v>
      </c>
      <c r="BF114" s="19">
        <v>6.3861064009482504</v>
      </c>
      <c r="BG114" s="19">
        <v>7.4102276050885365</v>
      </c>
      <c r="BH114" s="19">
        <v>7.996253785714714</v>
      </c>
      <c r="BI114" s="19">
        <v>8.2563055017908624</v>
      </c>
      <c r="BJ114" s="19">
        <v>6.7953834189791138</v>
      </c>
      <c r="BK114" s="19">
        <v>6.4538513449776929</v>
      </c>
      <c r="BL114" s="19">
        <v>3.7379185195578515</v>
      </c>
      <c r="BM114" s="19">
        <v>-6.5960805223217562</v>
      </c>
      <c r="BN114" s="19">
        <v>8.6812287308311937</v>
      </c>
    </row>
    <row r="115" spans="1:66" x14ac:dyDescent="0.2">
      <c r="A115" s="19" t="s">
        <v>638</v>
      </c>
      <c r="B115" s="19" t="s">
        <v>973</v>
      </c>
      <c r="C115" s="19" t="s">
        <v>863</v>
      </c>
      <c r="D115" s="19" t="s">
        <v>864</v>
      </c>
    </row>
    <row r="116" spans="1:66" x14ac:dyDescent="0.2">
      <c r="A116" s="19" t="s">
        <v>639</v>
      </c>
      <c r="B116" s="19" t="s">
        <v>974</v>
      </c>
      <c r="C116" s="19" t="s">
        <v>863</v>
      </c>
      <c r="D116" s="19" t="s">
        <v>864</v>
      </c>
      <c r="P116" s="19">
        <v>3.4698874761356109</v>
      </c>
      <c r="Q116" s="19">
        <v>6.4898080510537284</v>
      </c>
      <c r="R116" s="19">
        <v>4.7214273778559459</v>
      </c>
      <c r="S116" s="19">
        <v>4.260229045021191</v>
      </c>
      <c r="T116" s="19">
        <v>5.6566458640480164</v>
      </c>
      <c r="U116" s="19">
        <v>1.3948078402218584</v>
      </c>
      <c r="V116" s="19">
        <v>8.2113015418990614</v>
      </c>
      <c r="W116" s="19">
        <v>7.1867284781882859</v>
      </c>
      <c r="X116" s="19">
        <v>3.0730367966459653</v>
      </c>
      <c r="Y116" s="19">
        <v>3.0793296959927545</v>
      </c>
      <c r="Z116" s="19">
        <v>3.3252156164064246</v>
      </c>
      <c r="AA116" s="19">
        <v>2.2834683536720632</v>
      </c>
      <c r="AB116" s="19">
        <v>-0.24430225977383202</v>
      </c>
      <c r="AC116" s="19">
        <v>4.3543738799194358</v>
      </c>
      <c r="AD116" s="19">
        <v>3.0856143924832082</v>
      </c>
      <c r="AE116" s="19">
        <v>-0.42833111501099097</v>
      </c>
      <c r="AF116" s="19">
        <v>4.6630913287091005</v>
      </c>
      <c r="AG116" s="19">
        <v>5.2174141463699755</v>
      </c>
      <c r="AH116" s="19">
        <v>5.8139201502810351</v>
      </c>
      <c r="AI116" s="19">
        <v>8.4665275156219764</v>
      </c>
      <c r="AJ116" s="19">
        <v>1.9296392999649044</v>
      </c>
      <c r="AK116" s="19">
        <v>3.3432740860515935</v>
      </c>
      <c r="AL116" s="19">
        <v>2.6926094974335797</v>
      </c>
      <c r="AM116" s="19">
        <v>5.7558270574917856</v>
      </c>
      <c r="AN116" s="19">
        <v>9.6344220728596071</v>
      </c>
      <c r="AO116" s="19">
        <v>7.3796243346958619</v>
      </c>
      <c r="AP116" s="19">
        <v>11.021764988962374</v>
      </c>
      <c r="AQ116" s="19">
        <v>8.7661223099786127</v>
      </c>
      <c r="AR116" s="19">
        <v>10.529886258067549</v>
      </c>
      <c r="AS116" s="19">
        <v>9.4035246420976222</v>
      </c>
      <c r="AT116" s="19">
        <v>5.3058209115724964</v>
      </c>
      <c r="AU116" s="19">
        <v>5.8993657611744226</v>
      </c>
      <c r="AV116" s="19">
        <v>3.0138380788277317</v>
      </c>
      <c r="AW116" s="19">
        <v>6.7881402043545194</v>
      </c>
      <c r="AX116" s="19">
        <v>5.7397821688558963</v>
      </c>
      <c r="AY116" s="19">
        <v>4.9878534734947948</v>
      </c>
      <c r="AZ116" s="19">
        <v>5.3101181469184127</v>
      </c>
      <c r="BA116" s="19">
        <v>-4.4840704921947179</v>
      </c>
      <c r="BB116" s="19">
        <v>-5.0957827553231709</v>
      </c>
      <c r="BC116" s="19">
        <v>1.6829715383597517</v>
      </c>
      <c r="BD116" s="19">
        <v>0.83383014855522219</v>
      </c>
      <c r="BE116" s="19">
        <v>-5.5420106699415328E-3</v>
      </c>
      <c r="BF116" s="19">
        <v>1.1256896459983494</v>
      </c>
      <c r="BG116" s="19">
        <v>8.649350607576082</v>
      </c>
      <c r="BH116" s="19">
        <v>24.370445354698788</v>
      </c>
      <c r="BI116" s="19">
        <v>2.0066541150989252</v>
      </c>
      <c r="BJ116" s="19">
        <v>9.0053424243852902</v>
      </c>
      <c r="BK116" s="19">
        <v>8.5275413914843057</v>
      </c>
      <c r="BL116" s="19">
        <v>5.4409373342381855</v>
      </c>
      <c r="BM116" s="19">
        <v>6.1845380388162283</v>
      </c>
      <c r="BN116" s="19">
        <v>13.588247107954899</v>
      </c>
    </row>
    <row r="117" spans="1:66" x14ac:dyDescent="0.2">
      <c r="A117" s="19" t="s">
        <v>640</v>
      </c>
      <c r="B117" s="19" t="s">
        <v>975</v>
      </c>
      <c r="C117" s="19" t="s">
        <v>863</v>
      </c>
      <c r="D117" s="19" t="s">
        <v>864</v>
      </c>
      <c r="F117" s="19">
        <v>10.390918354993602</v>
      </c>
      <c r="G117" s="19">
        <v>7.9092679296534811</v>
      </c>
      <c r="H117" s="19">
        <v>7.042075229128983</v>
      </c>
      <c r="I117" s="19">
        <v>8.4752282487852</v>
      </c>
      <c r="J117" s="19">
        <v>17.035711520300794</v>
      </c>
      <c r="K117" s="19">
        <v>11.502407284828294</v>
      </c>
      <c r="L117" s="19">
        <v>11.252803096167526</v>
      </c>
      <c r="M117" s="19">
        <v>14.404182675473052</v>
      </c>
      <c r="N117" s="19">
        <v>15.516658908088957</v>
      </c>
      <c r="O117" s="19">
        <v>10.927601629655086</v>
      </c>
      <c r="P117" s="19">
        <v>13.701582993922059</v>
      </c>
      <c r="Q117" s="19">
        <v>14.499015848636731</v>
      </c>
      <c r="R117" s="19">
        <v>7.4416816121086526</v>
      </c>
      <c r="S117" s="19">
        <v>5.801050847820747</v>
      </c>
      <c r="T117" s="19">
        <v>-0.32621624077341949</v>
      </c>
      <c r="U117" s="19">
        <v>18.260435628160778</v>
      </c>
      <c r="V117" s="19">
        <v>-2.7735776916349835</v>
      </c>
      <c r="W117" s="19">
        <v>-12.84085667422876</v>
      </c>
      <c r="X117" s="19">
        <v>-12.020760254791952</v>
      </c>
      <c r="Y117" s="19">
        <v>-21.599649351692292</v>
      </c>
      <c r="Z117" s="19">
        <v>-5.6967872333387675</v>
      </c>
      <c r="AA117" s="19">
        <v>23.171245535579232</v>
      </c>
      <c r="AB117" s="19">
        <v>11.086716846873543</v>
      </c>
      <c r="AC117" s="19">
        <v>-7.1398504989002163</v>
      </c>
      <c r="AD117" s="19">
        <v>1.8676499325072484</v>
      </c>
      <c r="AE117" s="19">
        <v>-9.7849055780178986</v>
      </c>
      <c r="AF117" s="19">
        <v>-0.17210768760570261</v>
      </c>
      <c r="AG117" s="19">
        <v>-6.0819966198655919</v>
      </c>
      <c r="AH117" s="19">
        <v>6.1321156771801526</v>
      </c>
      <c r="AI117" s="19">
        <v>13.594926443583859</v>
      </c>
      <c r="AJ117" s="19">
        <v>12.716148442409917</v>
      </c>
      <c r="AK117" s="19">
        <v>3.2979819195801525</v>
      </c>
      <c r="AL117" s="19">
        <v>-1.4710114821828881</v>
      </c>
      <c r="AM117" s="19">
        <v>-1.6982861190921454</v>
      </c>
      <c r="AN117" s="19">
        <v>2.4010445522004886</v>
      </c>
      <c r="AO117" s="19">
        <v>6.3505260187358203</v>
      </c>
      <c r="AP117" s="19">
        <v>1.3503992743004574</v>
      </c>
      <c r="AQ117" s="19">
        <v>2.080011780271434</v>
      </c>
      <c r="AR117" s="19">
        <v>2.0026962325346176</v>
      </c>
      <c r="AS117" s="19">
        <v>5.8455274757822195</v>
      </c>
      <c r="AT117" s="19">
        <v>2.3921727120783203</v>
      </c>
      <c r="AU117" s="19">
        <v>8.0788292797520711</v>
      </c>
      <c r="AV117" s="19">
        <v>8.6392983972004629</v>
      </c>
      <c r="AW117" s="19">
        <v>4.3366659785105526</v>
      </c>
      <c r="AX117" s="19">
        <v>3.1898040872886213</v>
      </c>
      <c r="AY117" s="19">
        <v>4.9997952618117125</v>
      </c>
      <c r="AZ117" s="19">
        <v>8.1557735235853386</v>
      </c>
      <c r="BA117" s="19">
        <v>0.25085655349408853</v>
      </c>
      <c r="BB117" s="19">
        <v>1.0073854579047463</v>
      </c>
      <c r="BC117" s="19">
        <v>5.7979383016960355</v>
      </c>
      <c r="BD117" s="19">
        <v>2.6457179180625587</v>
      </c>
      <c r="BE117" s="19">
        <v>-3.7471713986413988</v>
      </c>
      <c r="BF117" s="19">
        <v>-1.5219792049416299</v>
      </c>
      <c r="BG117" s="19">
        <v>4.9847750670949438</v>
      </c>
      <c r="BH117" s="19">
        <v>-1.4248849393749055</v>
      </c>
      <c r="BI117" s="19">
        <v>8.815086642518196</v>
      </c>
      <c r="BJ117" s="19">
        <v>2.7585052457887542</v>
      </c>
      <c r="BK117" s="19">
        <v>-2.253863606860989</v>
      </c>
      <c r="BL117" s="19">
        <v>-2.6582066619527183</v>
      </c>
      <c r="BM117" s="19">
        <v>3.3302884592659439</v>
      </c>
      <c r="BN117" s="19">
        <v>4.7197777315716394</v>
      </c>
    </row>
    <row r="118" spans="1:66" x14ac:dyDescent="0.2">
      <c r="A118" s="19" t="s">
        <v>641</v>
      </c>
      <c r="B118" s="19" t="s">
        <v>976</v>
      </c>
      <c r="C118" s="19" t="s">
        <v>863</v>
      </c>
      <c r="D118" s="19" t="s">
        <v>864</v>
      </c>
      <c r="N118" s="19">
        <v>3.2441864602003676</v>
      </c>
      <c r="O118" s="19">
        <v>4.5443570668177671</v>
      </c>
      <c r="P118" s="19">
        <v>5.3745525341309985</v>
      </c>
      <c r="Q118" s="19">
        <v>3.7353037823015143</v>
      </c>
      <c r="R118" s="19">
        <v>4.4187555690364206</v>
      </c>
      <c r="S118" s="19">
        <v>16.113367341804221</v>
      </c>
      <c r="T118" s="19">
        <v>12.490664677955792</v>
      </c>
      <c r="U118" s="19">
        <v>17.175103734312415</v>
      </c>
      <c r="V118" s="19">
        <v>1.8999593927066201</v>
      </c>
      <c r="W118" s="19">
        <v>17.056964666471814</v>
      </c>
      <c r="X118" s="19">
        <v>20.869255433367172</v>
      </c>
      <c r="Y118" s="19">
        <v>24.753726845430137</v>
      </c>
      <c r="Z118" s="19">
        <v>-0.72872750798700281</v>
      </c>
      <c r="AA118" s="19">
        <v>3.4339780300701932</v>
      </c>
      <c r="AB118" s="19">
        <v>-13.073312403423031</v>
      </c>
      <c r="AC118" s="19">
        <v>-1.4852416969366686</v>
      </c>
      <c r="AD118" s="19">
        <v>1.4538962618038624</v>
      </c>
      <c r="AE118" s="19">
        <v>4.6475905735702696</v>
      </c>
      <c r="AF118" s="19">
        <v>9.3052813929186016</v>
      </c>
      <c r="AG118" s="19">
        <v>-1.9036937497745043E-2</v>
      </c>
      <c r="AH118" s="19">
        <v>-3.1185352138824527</v>
      </c>
      <c r="AI118" s="19">
        <v>57.817828343857144</v>
      </c>
      <c r="AJ118" s="19">
        <v>-64.04710697345169</v>
      </c>
      <c r="AK118" s="19">
        <v>32.592211196309819</v>
      </c>
      <c r="AL118" s="19">
        <v>30.289829491157121</v>
      </c>
      <c r="AM118" s="19">
        <v>3.8545324490661699</v>
      </c>
      <c r="AN118" s="19">
        <v>2.1200214975470431</v>
      </c>
      <c r="AO118" s="19">
        <v>11.020785644248193</v>
      </c>
      <c r="AP118" s="19">
        <v>21.23793612886098</v>
      </c>
      <c r="AQ118" s="19">
        <v>34.8570951344918</v>
      </c>
      <c r="AR118" s="19">
        <v>17.582266009787915</v>
      </c>
      <c r="AS118" s="19">
        <v>16.921665685399191</v>
      </c>
      <c r="AT118" s="19">
        <v>1.7614800890791713</v>
      </c>
      <c r="AU118" s="19">
        <v>-8.198469828249884</v>
      </c>
      <c r="AV118" s="19">
        <v>-36.658152674831413</v>
      </c>
      <c r="AW118" s="19">
        <v>53.381794182564136</v>
      </c>
      <c r="AX118" s="19">
        <v>1.6718896225133619</v>
      </c>
      <c r="AY118" s="19">
        <v>5.6462978012687728</v>
      </c>
      <c r="AZ118" s="19">
        <v>1.8855721409683781</v>
      </c>
      <c r="BA118" s="19">
        <v>8.2281071038327696</v>
      </c>
      <c r="BB118" s="19">
        <v>3.3792990944277079</v>
      </c>
      <c r="BC118" s="19">
        <v>6.4025648447119323</v>
      </c>
      <c r="BD118" s="19">
        <v>7.5464712004259979</v>
      </c>
      <c r="BE118" s="19">
        <v>13.936430173753706</v>
      </c>
      <c r="BF118" s="19">
        <v>7.6285711847115891</v>
      </c>
      <c r="BG118" s="19">
        <v>0.19701671035903701</v>
      </c>
      <c r="BH118" s="19">
        <v>4.7228640188413067</v>
      </c>
      <c r="BI118" s="19">
        <v>13.787373018708934</v>
      </c>
      <c r="BJ118" s="19">
        <v>-1.8197503511830888</v>
      </c>
      <c r="BK118" s="19">
        <v>2.6338509910562351</v>
      </c>
      <c r="BL118" s="19">
        <v>5.5137905754232293</v>
      </c>
      <c r="BM118" s="19">
        <v>-11.324199261618645</v>
      </c>
      <c r="BN118" s="19">
        <v>2.7833354353322193</v>
      </c>
    </row>
    <row r="119" spans="1:66" x14ac:dyDescent="0.2">
      <c r="A119" s="19" t="s">
        <v>642</v>
      </c>
      <c r="B119" s="19" t="s">
        <v>977</v>
      </c>
      <c r="C119" s="19" t="s">
        <v>863</v>
      </c>
      <c r="D119" s="19" t="s">
        <v>864</v>
      </c>
      <c r="F119" s="19">
        <v>-8.466194629227175E-2</v>
      </c>
      <c r="G119" s="19">
        <v>8.3137127442352892</v>
      </c>
      <c r="H119" s="19">
        <v>10.283382872050552</v>
      </c>
      <c r="I119" s="19">
        <v>9.9165440144300021</v>
      </c>
      <c r="J119" s="19">
        <v>7.3717292987071517</v>
      </c>
      <c r="K119" s="19">
        <v>8.7359334760698886</v>
      </c>
      <c r="L119" s="19">
        <v>-1.2672618627383798</v>
      </c>
      <c r="M119" s="19">
        <v>-5.4749063460469074</v>
      </c>
      <c r="N119" s="19">
        <v>2.3745880271906827</v>
      </c>
      <c r="AO119" s="19">
        <v>4.5671235867896343</v>
      </c>
      <c r="AP119" s="19">
        <v>5.7716124249294012</v>
      </c>
      <c r="AQ119" s="19">
        <v>7.362800953386909</v>
      </c>
      <c r="AR119" s="19">
        <v>4.0349235267536727</v>
      </c>
      <c r="AS119" s="19">
        <v>4.98504277020335</v>
      </c>
      <c r="AT119" s="19">
        <v>4.0134975547356788</v>
      </c>
      <c r="AU119" s="19">
        <v>0.55951908200762546</v>
      </c>
      <c r="AV119" s="19">
        <v>2.1426883786691064</v>
      </c>
      <c r="AW119" s="19">
        <v>7.8023995075354264</v>
      </c>
      <c r="AX119" s="19">
        <v>6.1244389653361253</v>
      </c>
      <c r="AY119" s="19">
        <v>6.3169930863707435</v>
      </c>
      <c r="AZ119" s="19">
        <v>8.454860096129508</v>
      </c>
      <c r="BA119" s="19">
        <v>2.2094964188209758</v>
      </c>
      <c r="BB119" s="19">
        <v>-7.663809560259466</v>
      </c>
      <c r="BC119" s="19">
        <v>-2.8327749154085495</v>
      </c>
      <c r="BD119" s="19">
        <v>1.8457791562421733</v>
      </c>
      <c r="BE119" s="19">
        <v>1.0636366074376298</v>
      </c>
      <c r="BF119" s="19">
        <v>4.5524603201510843</v>
      </c>
      <c r="BG119" s="19">
        <v>1.6872150175063894</v>
      </c>
      <c r="BH119" s="19">
        <v>4.4366637193717224</v>
      </c>
      <c r="BI119" s="19">
        <v>6.303687106501755</v>
      </c>
      <c r="BJ119" s="19">
        <v>4.1949488290837564</v>
      </c>
      <c r="BK119" s="19">
        <v>4.8887982438344579</v>
      </c>
      <c r="BL119" s="19">
        <v>2.4154560921241739</v>
      </c>
      <c r="BM119" s="19">
        <v>-6.8422960255790599</v>
      </c>
      <c r="BN119" s="19">
        <v>4.4030447859689303</v>
      </c>
    </row>
    <row r="120" spans="1:66" x14ac:dyDescent="0.2">
      <c r="A120" s="19" t="s">
        <v>643</v>
      </c>
      <c r="B120" s="19" t="s">
        <v>978</v>
      </c>
      <c r="C120" s="19" t="s">
        <v>863</v>
      </c>
      <c r="D120" s="19" t="s">
        <v>864</v>
      </c>
      <c r="F120" s="19">
        <v>11.203885617468458</v>
      </c>
      <c r="G120" s="19">
        <v>10.15611715765661</v>
      </c>
      <c r="H120" s="19">
        <v>10.695712975142598</v>
      </c>
      <c r="I120" s="19">
        <v>7.9371919750301316</v>
      </c>
      <c r="J120" s="19">
        <v>9.0939655991649744</v>
      </c>
      <c r="K120" s="19">
        <v>-7.9644772423222321E-2</v>
      </c>
      <c r="L120" s="19">
        <v>2.995020165771777</v>
      </c>
      <c r="M120" s="19">
        <v>16.241956813262462</v>
      </c>
      <c r="N120" s="19">
        <v>13.565703506412575</v>
      </c>
      <c r="AO120" s="19">
        <v>5.9282911324299192</v>
      </c>
      <c r="AP120" s="19">
        <v>3.7904523502451326</v>
      </c>
      <c r="AQ120" s="19">
        <v>4.115555068596862</v>
      </c>
      <c r="AR120" s="19">
        <v>3.3304925287701508</v>
      </c>
      <c r="AS120" s="19">
        <v>8.6716552769917428</v>
      </c>
      <c r="AT120" s="19">
        <v>0.3340706434410663</v>
      </c>
      <c r="AU120" s="19">
        <v>-0.11422092790782301</v>
      </c>
      <c r="AV120" s="19">
        <v>1.3939129640517365</v>
      </c>
      <c r="AW120" s="19">
        <v>4.7844674262581037</v>
      </c>
      <c r="AX120" s="19">
        <v>4.134076618675536</v>
      </c>
      <c r="AY120" s="19">
        <v>5.5826679593243824</v>
      </c>
      <c r="AZ120" s="19">
        <v>6.0332135706836993</v>
      </c>
      <c r="BA120" s="19">
        <v>3.2511633607907271</v>
      </c>
      <c r="BB120" s="19">
        <v>0.88312039356537753</v>
      </c>
      <c r="BC120" s="19">
        <v>5.668515117907333</v>
      </c>
      <c r="BD120" s="19">
        <v>5.5611390758901251</v>
      </c>
      <c r="BE120" s="19">
        <v>2.5876538438434551</v>
      </c>
      <c r="BF120" s="19">
        <v>4.4155015873792394</v>
      </c>
      <c r="BG120" s="19">
        <v>3.9191268928095155</v>
      </c>
      <c r="BH120" s="19">
        <v>2.485826288981059</v>
      </c>
      <c r="BI120" s="19">
        <v>4.5216803088065802</v>
      </c>
      <c r="BJ120" s="19">
        <v>4.2765959511559259</v>
      </c>
      <c r="BK120" s="19">
        <v>4.0703218874397038</v>
      </c>
      <c r="BL120" s="19">
        <v>4.1561379889773349</v>
      </c>
      <c r="BM120" s="19">
        <v>-1.8572892781124182</v>
      </c>
      <c r="BN120" s="19">
        <v>8.6119903484698881</v>
      </c>
    </row>
    <row r="121" spans="1:66" x14ac:dyDescent="0.2">
      <c r="A121" s="19" t="s">
        <v>644</v>
      </c>
      <c r="B121" s="19" t="s">
        <v>979</v>
      </c>
      <c r="C121" s="19" t="s">
        <v>863</v>
      </c>
      <c r="D121" s="19" t="s">
        <v>864</v>
      </c>
      <c r="F121" s="19">
        <v>8.2072459138477143</v>
      </c>
      <c r="G121" s="19">
        <v>6.2036504578714613</v>
      </c>
      <c r="H121" s="19">
        <v>5.6097279781981371</v>
      </c>
      <c r="I121" s="19">
        <v>2.7977022791150716</v>
      </c>
      <c r="J121" s="19">
        <v>3.2680237196416329</v>
      </c>
      <c r="K121" s="19">
        <v>5.984794225197291</v>
      </c>
      <c r="L121" s="19">
        <v>7.178612465561713</v>
      </c>
      <c r="M121" s="19">
        <v>6.5445546547054647</v>
      </c>
      <c r="N121" s="19">
        <v>6.0980599955860129</v>
      </c>
      <c r="O121" s="19">
        <v>5.2686929792099306</v>
      </c>
      <c r="P121" s="19">
        <v>1.818107933668017</v>
      </c>
      <c r="Q121" s="19">
        <v>3.6904858247869896</v>
      </c>
      <c r="R121" s="19">
        <v>7.1258623043649152</v>
      </c>
      <c r="S121" s="19">
        <v>5.5001411013222707</v>
      </c>
      <c r="T121" s="19">
        <v>-2.0901629153585191</v>
      </c>
      <c r="U121" s="19">
        <v>7.1253851371209294</v>
      </c>
      <c r="V121" s="19">
        <v>2.5605008447669775</v>
      </c>
      <c r="W121" s="19">
        <v>3.2401397518489148</v>
      </c>
      <c r="X121" s="19">
        <v>5.9591594262573722</v>
      </c>
      <c r="Y121" s="19">
        <v>3.430016414422596</v>
      </c>
      <c r="Z121" s="19">
        <v>0.84422760724814339</v>
      </c>
      <c r="AA121" s="19">
        <v>0.41358569462796879</v>
      </c>
      <c r="AB121" s="19">
        <v>1.1692034945393885</v>
      </c>
      <c r="AC121" s="19">
        <v>3.2258523152798517</v>
      </c>
      <c r="AD121" s="19">
        <v>2.7980857672086756</v>
      </c>
      <c r="AE121" s="19">
        <v>2.8599718638460843</v>
      </c>
      <c r="AF121" s="19">
        <v>3.1919606284801461</v>
      </c>
      <c r="AG121" s="19">
        <v>4.194377307530047</v>
      </c>
      <c r="AH121" s="19">
        <v>3.3883834540892224</v>
      </c>
      <c r="AI121" s="19">
        <v>1.9857749428717142</v>
      </c>
      <c r="AJ121" s="19">
        <v>1.538447557766176</v>
      </c>
      <c r="AK121" s="19">
        <v>0.83427545355489485</v>
      </c>
      <c r="AL121" s="19">
        <v>-0.85280576383186713</v>
      </c>
      <c r="AM121" s="19">
        <v>2.1510236380256629</v>
      </c>
      <c r="AN121" s="19">
        <v>2.8868367592455257</v>
      </c>
      <c r="AO121" s="19">
        <v>1.2667848019171544</v>
      </c>
      <c r="AP121" s="19">
        <v>1.8302122338843816</v>
      </c>
      <c r="AQ121" s="19">
        <v>1.8106151619762301</v>
      </c>
      <c r="AR121" s="19">
        <v>1.6257275993546045</v>
      </c>
      <c r="AS121" s="19">
        <v>3.7869551432397941</v>
      </c>
      <c r="AT121" s="19">
        <v>1.9513715560523792</v>
      </c>
      <c r="AU121" s="19">
        <v>0.25394299896845496</v>
      </c>
      <c r="AV121" s="19">
        <v>0.13862689077650714</v>
      </c>
      <c r="AW121" s="19">
        <v>1.4235941581790712</v>
      </c>
      <c r="AX121" s="19">
        <v>0.81784897365059805</v>
      </c>
      <c r="AY121" s="19">
        <v>1.7906396808179608</v>
      </c>
      <c r="AZ121" s="19">
        <v>1.4870729803678557</v>
      </c>
      <c r="BA121" s="19">
        <v>-0.96201284057929115</v>
      </c>
      <c r="BB121" s="19">
        <v>-5.2809372082930963</v>
      </c>
      <c r="BC121" s="19">
        <v>1.7132958391692199</v>
      </c>
      <c r="BD121" s="19">
        <v>0.70733334703443518</v>
      </c>
      <c r="BE121" s="19">
        <v>-2.9809057682377187</v>
      </c>
      <c r="BF121" s="19">
        <v>-1.841065450882482</v>
      </c>
      <c r="BG121" s="19">
        <v>-4.5475423638379198E-3</v>
      </c>
      <c r="BH121" s="19">
        <v>0.77830435071658144</v>
      </c>
      <c r="BI121" s="19">
        <v>1.2934627315590745</v>
      </c>
      <c r="BJ121" s="19">
        <v>1.6678590410685672</v>
      </c>
      <c r="BK121" s="19">
        <v>0.92581094101274175</v>
      </c>
      <c r="BL121" s="19">
        <v>0.48319831659715362</v>
      </c>
      <c r="BM121" s="19">
        <v>-9.0399534112288507</v>
      </c>
      <c r="BN121" s="19">
        <v>6.7372771229892408</v>
      </c>
    </row>
    <row r="122" spans="1:66" x14ac:dyDescent="0.2">
      <c r="A122" s="19" t="s">
        <v>645</v>
      </c>
      <c r="B122" s="19" t="s">
        <v>980</v>
      </c>
      <c r="C122" s="19" t="s">
        <v>863</v>
      </c>
      <c r="D122" s="19" t="s">
        <v>864</v>
      </c>
      <c r="L122" s="19">
        <v>1.8086385189193237</v>
      </c>
      <c r="M122" s="19">
        <v>5.7441322156209509</v>
      </c>
      <c r="N122" s="19">
        <v>5.5746738707045864</v>
      </c>
      <c r="O122" s="19">
        <v>12.06440903901786</v>
      </c>
      <c r="P122" s="19">
        <v>2.4580734517392102</v>
      </c>
      <c r="Q122" s="19">
        <v>18.008555291937384</v>
      </c>
      <c r="R122" s="19">
        <v>-5.4855090911617594</v>
      </c>
      <c r="S122" s="19">
        <v>-4.2292613098654357</v>
      </c>
      <c r="T122" s="19">
        <v>-0.25609225691439974</v>
      </c>
      <c r="U122" s="19">
        <v>-6.694245095128224</v>
      </c>
      <c r="V122" s="19">
        <v>-2.5975486976381035</v>
      </c>
      <c r="W122" s="19">
        <v>-5.3700314800963156E-2</v>
      </c>
      <c r="X122" s="19">
        <v>-1.0600413173036571</v>
      </c>
      <c r="Y122" s="19">
        <v>-5.7141592459271493</v>
      </c>
      <c r="Z122" s="19">
        <v>2.6394479940871776</v>
      </c>
      <c r="AA122" s="19">
        <v>2.0692316240256758</v>
      </c>
      <c r="AB122" s="19">
        <v>1.9090784023816383</v>
      </c>
      <c r="AC122" s="19">
        <v>-1.5423457996957524</v>
      </c>
      <c r="AD122" s="19">
        <v>-2.9436355749660805</v>
      </c>
      <c r="AE122" s="19">
        <v>1.8825881854486681</v>
      </c>
      <c r="AF122" s="19">
        <v>7.8503548269060133</v>
      </c>
      <c r="AG122" s="19">
        <v>3.9743020154030262</v>
      </c>
      <c r="AH122" s="19">
        <v>7.1733043456580106</v>
      </c>
      <c r="AI122" s="19">
        <v>4.2005351147029018</v>
      </c>
      <c r="AJ122" s="19">
        <v>4.8382387532441413</v>
      </c>
      <c r="AK122" s="19">
        <v>1.95554250245047</v>
      </c>
      <c r="AL122" s="19">
        <v>9.4171025670875395</v>
      </c>
      <c r="AM122" s="19">
        <v>1.3833898027364882</v>
      </c>
      <c r="AN122" s="19">
        <v>2.3499570414782909</v>
      </c>
      <c r="AO122" s="19">
        <v>-0.11373120611553134</v>
      </c>
      <c r="AP122" s="19">
        <v>-1.1404598723546258</v>
      </c>
      <c r="AQ122" s="19">
        <v>-2.3345535433781635</v>
      </c>
      <c r="AR122" s="19">
        <v>1.0476738707379241</v>
      </c>
      <c r="AS122" s="19">
        <v>0.87870354796235972</v>
      </c>
      <c r="AT122" s="19">
        <v>1.3449295639669714</v>
      </c>
      <c r="AU122" s="19">
        <v>1.9972909440715512</v>
      </c>
      <c r="AV122" s="19">
        <v>3.6663175927902074</v>
      </c>
      <c r="AW122" s="19">
        <v>1.3237250997782724</v>
      </c>
      <c r="AX122" s="19">
        <v>0.89379793594500256</v>
      </c>
      <c r="AY122" s="19">
        <v>2.899125349588715</v>
      </c>
      <c r="AZ122" s="19">
        <v>1.4319540366511774</v>
      </c>
      <c r="BA122" s="19">
        <v>-0.81173670328081471</v>
      </c>
      <c r="BB122" s="19">
        <v>-4.3453018579463958</v>
      </c>
      <c r="BC122" s="19">
        <v>-1.4571472094750249</v>
      </c>
      <c r="BD122" s="19">
        <v>1.7303762674692109</v>
      </c>
      <c r="BE122" s="19">
        <v>-0.61363603986912096</v>
      </c>
      <c r="BF122" s="19">
        <v>0.51768601280240034</v>
      </c>
      <c r="BG122" s="19">
        <v>0.68982235737433939</v>
      </c>
      <c r="BH122" s="19">
        <v>0.92148712538030964</v>
      </c>
      <c r="BI122" s="19">
        <v>1.3752230644553833</v>
      </c>
      <c r="BJ122" s="19">
        <v>0.99712306233519143</v>
      </c>
      <c r="BK122" s="19">
        <v>1.8899236812108597</v>
      </c>
      <c r="BL122" s="19">
        <v>0.89229165382222675</v>
      </c>
      <c r="BM122" s="19">
        <v>-10</v>
      </c>
      <c r="BN122" s="19">
        <v>4.6000000000000085</v>
      </c>
    </row>
    <row r="123" spans="1:66" x14ac:dyDescent="0.2">
      <c r="A123" s="19" t="s">
        <v>646</v>
      </c>
      <c r="B123" s="19" t="s">
        <v>981</v>
      </c>
      <c r="C123" s="19" t="s">
        <v>863</v>
      </c>
      <c r="D123" s="19" t="s">
        <v>864</v>
      </c>
      <c r="V123" s="19">
        <v>8.2984088648956771</v>
      </c>
      <c r="W123" s="19">
        <v>14.679566013500491</v>
      </c>
      <c r="X123" s="19">
        <v>20.802909271157063</v>
      </c>
      <c r="Y123" s="19">
        <v>11.184846464319747</v>
      </c>
      <c r="Z123" s="19">
        <v>17.178717424629511</v>
      </c>
      <c r="AA123" s="19">
        <v>7.0259433890842473</v>
      </c>
      <c r="AB123" s="19">
        <v>-2.2197385546941888</v>
      </c>
      <c r="AC123" s="19">
        <v>4.29168776676552</v>
      </c>
      <c r="AD123" s="19">
        <v>-2.7069471651415</v>
      </c>
      <c r="AE123" s="19">
        <v>5.5046342506772703</v>
      </c>
      <c r="AF123" s="19">
        <v>2.3232743707292371</v>
      </c>
      <c r="AG123" s="19">
        <v>1.4621698230338041</v>
      </c>
      <c r="AH123" s="19">
        <v>-10.729219281299294</v>
      </c>
      <c r="AI123" s="19">
        <v>-0.2759039061109263</v>
      </c>
      <c r="AJ123" s="19">
        <v>1.6085304758032208</v>
      </c>
      <c r="AK123" s="19">
        <v>14.349777075471977</v>
      </c>
      <c r="AL123" s="19">
        <v>4.4869890908729246</v>
      </c>
      <c r="AM123" s="19">
        <v>4.9714773022922856</v>
      </c>
      <c r="AN123" s="19">
        <v>6.2008743645941138</v>
      </c>
      <c r="AO123" s="19">
        <v>2.0870204099267227</v>
      </c>
      <c r="AP123" s="19">
        <v>3.3084756669346405</v>
      </c>
      <c r="AQ123" s="19">
        <v>3.0121728582753491</v>
      </c>
      <c r="AR123" s="19">
        <v>3.3895304661918857</v>
      </c>
      <c r="AS123" s="19">
        <v>4.2457122519454487</v>
      </c>
      <c r="AT123" s="19">
        <v>5.2699570371907072</v>
      </c>
      <c r="AU123" s="19">
        <v>5.7838084218641939</v>
      </c>
      <c r="AV123" s="19">
        <v>4.1616673185156117</v>
      </c>
      <c r="AW123" s="19">
        <v>8.567214617102465</v>
      </c>
      <c r="AX123" s="19">
        <v>8.1465947409844262</v>
      </c>
      <c r="AY123" s="19">
        <v>8.09297510302018</v>
      </c>
      <c r="AZ123" s="19">
        <v>8.1761700121854943</v>
      </c>
      <c r="BA123" s="19">
        <v>7.2203860452607813</v>
      </c>
      <c r="BB123" s="19">
        <v>5.023710196798632</v>
      </c>
      <c r="BC123" s="19">
        <v>2.3148341426053349</v>
      </c>
      <c r="BD123" s="19">
        <v>2.7371798315686249</v>
      </c>
      <c r="BE123" s="19">
        <v>2.4293583345041725</v>
      </c>
      <c r="BF123" s="19">
        <v>2.6099474139346341</v>
      </c>
      <c r="BG123" s="19">
        <v>3.3840781099615072</v>
      </c>
      <c r="BH123" s="19">
        <v>2.4965286954370214</v>
      </c>
      <c r="BI123" s="19">
        <v>1.9941808184547085</v>
      </c>
      <c r="BJ123" s="19">
        <v>2.473598524660872</v>
      </c>
      <c r="BK123" s="19">
        <v>1.9190710496302898</v>
      </c>
      <c r="BL123" s="19">
        <v>1.9273720248106372</v>
      </c>
      <c r="BM123" s="19">
        <v>-1.5694733607980424</v>
      </c>
      <c r="BN123" s="19">
        <v>2.228138412962295</v>
      </c>
    </row>
    <row r="124" spans="1:66" x14ac:dyDescent="0.2">
      <c r="A124" s="19" t="s">
        <v>647</v>
      </c>
      <c r="B124" s="19" t="s">
        <v>982</v>
      </c>
      <c r="C124" s="19" t="s">
        <v>863</v>
      </c>
      <c r="D124" s="19" t="s">
        <v>864</v>
      </c>
      <c r="F124" s="19">
        <v>12.043536408011619</v>
      </c>
      <c r="G124" s="19">
        <v>8.9089729955806689</v>
      </c>
      <c r="H124" s="19">
        <v>8.473642382793912</v>
      </c>
      <c r="I124" s="19">
        <v>11.67670819639774</v>
      </c>
      <c r="J124" s="19">
        <v>5.8197078729826472</v>
      </c>
      <c r="K124" s="19">
        <v>10.638561559162852</v>
      </c>
      <c r="L124" s="19">
        <v>11.08214232469291</v>
      </c>
      <c r="M124" s="19">
        <v>12.882468138323389</v>
      </c>
      <c r="N124" s="19">
        <v>12.477894514497635</v>
      </c>
      <c r="O124" s="19">
        <v>2.4549583839827278</v>
      </c>
      <c r="P124" s="19">
        <v>4.6989920423418994</v>
      </c>
      <c r="Q124" s="19">
        <v>8.4135472551759989</v>
      </c>
      <c r="R124" s="19">
        <v>8.0325999749503865</v>
      </c>
      <c r="S124" s="19">
        <v>-1.2252398277843213</v>
      </c>
      <c r="T124" s="19">
        <v>3.0915759162202221</v>
      </c>
      <c r="U124" s="19">
        <v>3.9749840912121073</v>
      </c>
      <c r="V124" s="19">
        <v>4.3903379503256161</v>
      </c>
      <c r="W124" s="19">
        <v>5.271941502907751</v>
      </c>
      <c r="X124" s="19">
        <v>5.4840418324866107</v>
      </c>
      <c r="Y124" s="19">
        <v>2.8175912076160188</v>
      </c>
      <c r="Z124" s="19">
        <v>4.2606244934686259</v>
      </c>
      <c r="AA124" s="19">
        <v>3.2797427428672847</v>
      </c>
      <c r="AB124" s="19">
        <v>3.6301985722467123</v>
      </c>
      <c r="AC124" s="19">
        <v>4.4108801536153521</v>
      </c>
      <c r="AD124" s="19">
        <v>5.1598079047127356</v>
      </c>
      <c r="AE124" s="19">
        <v>3.2940476133705943</v>
      </c>
      <c r="AF124" s="19">
        <v>4.6488613975449056</v>
      </c>
      <c r="AG124" s="19">
        <v>6.6616365220159395</v>
      </c>
      <c r="AH124" s="19">
        <v>4.925785413063835</v>
      </c>
      <c r="AI124" s="19">
        <v>4.8409290574523425</v>
      </c>
      <c r="AJ124" s="19">
        <v>3.5233572353322842</v>
      </c>
      <c r="AK124" s="19">
        <v>0.90058606636046079</v>
      </c>
      <c r="AL124" s="19">
        <v>-0.45921971615079826</v>
      </c>
      <c r="AM124" s="19">
        <v>1.0833831742994562</v>
      </c>
      <c r="AN124" s="19">
        <v>2.6309996164489746</v>
      </c>
      <c r="AO124" s="19">
        <v>3.1338709928044466</v>
      </c>
      <c r="AP124" s="19">
        <v>0.98122873213222306</v>
      </c>
      <c r="AQ124" s="19">
        <v>-1.2703304946397509</v>
      </c>
      <c r="AR124" s="19">
        <v>-0.33392995774741507</v>
      </c>
      <c r="AS124" s="19">
        <v>2.7646475514364823</v>
      </c>
      <c r="AT124" s="19">
        <v>0.38610342614575188</v>
      </c>
      <c r="AU124" s="19">
        <v>4.1962499312560908E-2</v>
      </c>
      <c r="AV124" s="19">
        <v>1.5351254992801273</v>
      </c>
      <c r="AW124" s="19">
        <v>2.186115694421602</v>
      </c>
      <c r="AX124" s="19">
        <v>1.8039008722737151</v>
      </c>
      <c r="AY124" s="19">
        <v>1.3723501276203791</v>
      </c>
      <c r="AZ124" s="19">
        <v>1.4839694116349165</v>
      </c>
      <c r="BA124" s="19">
        <v>-1.2242890007282767</v>
      </c>
      <c r="BB124" s="19">
        <v>-5.6932363588226593</v>
      </c>
      <c r="BC124" s="19">
        <v>4.0979179193013664</v>
      </c>
      <c r="BD124" s="19">
        <v>2.38095237748297E-2</v>
      </c>
      <c r="BE124" s="19">
        <v>1.374750999208743</v>
      </c>
      <c r="BF124" s="19">
        <v>2.0051001767726007</v>
      </c>
      <c r="BG124" s="19">
        <v>0.29620551414262764</v>
      </c>
      <c r="BH124" s="19">
        <v>1.5606266967490399</v>
      </c>
      <c r="BI124" s="19">
        <v>0.75382674590353815</v>
      </c>
      <c r="BJ124" s="19">
        <v>1.675331751665027</v>
      </c>
      <c r="BK124" s="19">
        <v>0.58406806724286753</v>
      </c>
      <c r="BL124" s="19">
        <v>-0.24035084092271575</v>
      </c>
      <c r="BM124" s="19">
        <v>-4.5069045422663407</v>
      </c>
      <c r="BN124" s="19">
        <v>1.6570711173229427</v>
      </c>
    </row>
    <row r="125" spans="1:66" x14ac:dyDescent="0.2">
      <c r="A125" s="19" t="s">
        <v>648</v>
      </c>
      <c r="B125" s="19" t="s">
        <v>983</v>
      </c>
      <c r="C125" s="19" t="s">
        <v>863</v>
      </c>
      <c r="D125" s="19" t="s">
        <v>864</v>
      </c>
      <c r="AJ125" s="19">
        <v>-11.00000000169257</v>
      </c>
      <c r="AK125" s="19">
        <v>-5.2999999989346804</v>
      </c>
      <c r="AL125" s="19">
        <v>-9.2000000020330788</v>
      </c>
      <c r="AM125" s="19">
        <v>-12.599999998316775</v>
      </c>
      <c r="AN125" s="19">
        <v>-8.2000000011824028</v>
      </c>
      <c r="AO125" s="19">
        <v>0.50000000207350581</v>
      </c>
      <c r="AP125" s="19">
        <v>1.6999999994951338</v>
      </c>
      <c r="AQ125" s="19">
        <v>-1.8999999994247929</v>
      </c>
      <c r="AR125" s="19">
        <v>2.6999999978419851</v>
      </c>
      <c r="AS125" s="19">
        <v>9.8000000021415588</v>
      </c>
      <c r="AT125" s="19">
        <v>13.499999998435783</v>
      </c>
      <c r="AU125" s="19">
        <v>9.7999999996084171</v>
      </c>
      <c r="AV125" s="19">
        <v>9.3000000003375902</v>
      </c>
      <c r="AW125" s="19">
        <v>9.6000000013685423</v>
      </c>
      <c r="AX125" s="19">
        <v>9.6999999992268187</v>
      </c>
      <c r="AY125" s="19">
        <v>10.7</v>
      </c>
      <c r="AZ125" s="19">
        <v>8.8999999999940513</v>
      </c>
      <c r="BA125" s="19">
        <v>3.3000000002109147</v>
      </c>
      <c r="BB125" s="19">
        <v>1.1999999994287265</v>
      </c>
      <c r="BC125" s="19">
        <v>7.3000000001620151</v>
      </c>
      <c r="BD125" s="19">
        <v>7.4000000006839315</v>
      </c>
      <c r="BE125" s="19">
        <v>4.7999999999927496</v>
      </c>
      <c r="BF125" s="19">
        <v>5.999999999255607</v>
      </c>
      <c r="BG125" s="19">
        <v>4.2000000006303821</v>
      </c>
      <c r="BH125" s="19">
        <v>1.1999999997680248</v>
      </c>
      <c r="BI125" s="19">
        <v>1.099999999901641</v>
      </c>
      <c r="BJ125" s="19">
        <v>4.1000000003385395</v>
      </c>
      <c r="BK125" s="19">
        <v>4.0999999998712298</v>
      </c>
      <c r="BL125" s="19">
        <v>4.5000000000848104</v>
      </c>
      <c r="BM125" s="19">
        <v>-2.5</v>
      </c>
      <c r="BN125" s="19">
        <v>4.2999999999998124</v>
      </c>
    </row>
    <row r="126" spans="1:66" x14ac:dyDescent="0.2">
      <c r="A126" s="19" t="s">
        <v>649</v>
      </c>
      <c r="B126" s="19" t="s">
        <v>984</v>
      </c>
      <c r="C126" s="19" t="s">
        <v>863</v>
      </c>
      <c r="D126" s="19" t="s">
        <v>864</v>
      </c>
      <c r="F126" s="19">
        <v>-7.7746349037165459</v>
      </c>
      <c r="G126" s="19">
        <v>9.4573587407212614</v>
      </c>
      <c r="H126" s="19">
        <v>8.7783402162118449</v>
      </c>
      <c r="I126" s="19">
        <v>4.9644672884409147</v>
      </c>
      <c r="J126" s="19">
        <v>2.0090941710309949</v>
      </c>
      <c r="K126" s="19">
        <v>14.728566401568727</v>
      </c>
      <c r="L126" s="19">
        <v>3.361232032585562</v>
      </c>
      <c r="M126" s="19">
        <v>7.9826899693479021</v>
      </c>
      <c r="N126" s="19">
        <v>7.9592244594956014</v>
      </c>
      <c r="O126" s="19">
        <v>-4.6554469164762082</v>
      </c>
      <c r="P126" s="19">
        <v>22.173891925576442</v>
      </c>
      <c r="Q126" s="19">
        <v>17.082429349983002</v>
      </c>
      <c r="R126" s="19">
        <v>5.896580210166718</v>
      </c>
      <c r="S126" s="19">
        <v>4.0656173489373515</v>
      </c>
      <c r="T126" s="19">
        <v>0.88220317531914816</v>
      </c>
      <c r="U126" s="19">
        <v>2.153964503225609</v>
      </c>
      <c r="V126" s="19">
        <v>9.4537978440808672</v>
      </c>
      <c r="W126" s="19">
        <v>6.9124935462619703</v>
      </c>
      <c r="X126" s="19">
        <v>7.615226045919826</v>
      </c>
      <c r="Y126" s="19">
        <v>5.591976205967697</v>
      </c>
      <c r="Z126" s="19">
        <v>3.7735441940282186</v>
      </c>
      <c r="AA126" s="19">
        <v>1.5064782575770579</v>
      </c>
      <c r="AB126" s="19">
        <v>1.3090502411485971</v>
      </c>
      <c r="AC126" s="19">
        <v>1.7552169770347348</v>
      </c>
      <c r="AD126" s="19">
        <v>4.3005618187961261</v>
      </c>
      <c r="AE126" s="19">
        <v>7.1775553906596343</v>
      </c>
      <c r="AF126" s="19">
        <v>5.937107444208948</v>
      </c>
      <c r="AG126" s="19">
        <v>6.2031838231459062</v>
      </c>
      <c r="AH126" s="19">
        <v>4.6903487679204687</v>
      </c>
      <c r="AI126" s="19">
        <v>4.1920509715516658</v>
      </c>
      <c r="AJ126" s="19">
        <v>1.4383467917155883</v>
      </c>
      <c r="AK126" s="19">
        <v>-0.79949395864134942</v>
      </c>
      <c r="AL126" s="19">
        <v>0.35319725622724718</v>
      </c>
      <c r="AM126" s="19">
        <v>2.6327845178369955</v>
      </c>
      <c r="AN126" s="19">
        <v>4.4062165248228666</v>
      </c>
      <c r="AO126" s="19">
        <v>4.1468392687601323</v>
      </c>
      <c r="AP126" s="19">
        <v>0.47490192129357922</v>
      </c>
      <c r="AQ126" s="19">
        <v>3.2902137224906483</v>
      </c>
      <c r="AR126" s="19">
        <v>2.305388595224116</v>
      </c>
      <c r="AS126" s="19">
        <v>0.59969539080742607</v>
      </c>
      <c r="AT126" s="19">
        <v>3.7799064979534336</v>
      </c>
      <c r="AU126" s="19">
        <v>0.54685953017559541</v>
      </c>
      <c r="AV126" s="19">
        <v>2.932475545709039</v>
      </c>
      <c r="AW126" s="19">
        <v>5.1042997762973812</v>
      </c>
      <c r="AX126" s="19">
        <v>5.9066660798005728</v>
      </c>
      <c r="AY126" s="19">
        <v>6.4724943001548354</v>
      </c>
      <c r="AZ126" s="19">
        <v>6.8507297699878364</v>
      </c>
      <c r="BA126" s="19">
        <v>0.23228274481297717</v>
      </c>
      <c r="BB126" s="19">
        <v>3.3069398163108872</v>
      </c>
      <c r="BC126" s="19">
        <v>8.0584736029090607</v>
      </c>
      <c r="BD126" s="19">
        <v>5.1211061197056011</v>
      </c>
      <c r="BE126" s="19">
        <v>4.5686796144498203</v>
      </c>
      <c r="BF126" s="19">
        <v>3.7978483925754034</v>
      </c>
      <c r="BG126" s="19">
        <v>5.020111002324839</v>
      </c>
      <c r="BH126" s="19">
        <v>4.9677211275976703</v>
      </c>
      <c r="BI126" s="19">
        <v>4.2135170681474392</v>
      </c>
      <c r="BJ126" s="19">
        <v>3.837958173647209</v>
      </c>
      <c r="BK126" s="19">
        <v>5.6479464070921921</v>
      </c>
      <c r="BL126" s="19">
        <v>5.1141588576780066</v>
      </c>
      <c r="BM126" s="19">
        <v>-0.25015570496837825</v>
      </c>
      <c r="BN126" s="19">
        <v>7.5173553870388616</v>
      </c>
    </row>
    <row r="127" spans="1:66" x14ac:dyDescent="0.2">
      <c r="A127" s="19" t="s">
        <v>650</v>
      </c>
      <c r="B127" s="19" t="s">
        <v>985</v>
      </c>
      <c r="C127" s="19" t="s">
        <v>863</v>
      </c>
      <c r="D127" s="19" t="s">
        <v>864</v>
      </c>
      <c r="AF127" s="19">
        <v>3.2999683718901736</v>
      </c>
      <c r="AG127" s="19">
        <v>13.200030055759427</v>
      </c>
      <c r="AH127" s="19">
        <v>2.7897509388339756</v>
      </c>
      <c r="AI127" s="19">
        <v>5.7027966331172593</v>
      </c>
      <c r="AJ127" s="19">
        <v>-7.9439252272878491</v>
      </c>
      <c r="AK127" s="19">
        <v>-13.837837818252453</v>
      </c>
      <c r="AL127" s="19">
        <v>-15.459328221823569</v>
      </c>
      <c r="AM127" s="19">
        <v>-20.085158836150882</v>
      </c>
      <c r="AN127" s="19">
        <v>-5.4238219104016423</v>
      </c>
      <c r="AO127" s="19">
        <v>7.0845024080290244</v>
      </c>
      <c r="AP127" s="19">
        <v>9.9152538938728725</v>
      </c>
      <c r="AQ127" s="19">
        <v>2.1218352638201736</v>
      </c>
      <c r="AR127" s="19">
        <v>3.6557893904150234</v>
      </c>
      <c r="AS127" s="19">
        <v>5.4433366331404471</v>
      </c>
      <c r="AT127" s="19">
        <v>5.3216214220863378</v>
      </c>
      <c r="AU127" s="19">
        <v>-1.7324601951017371E-2</v>
      </c>
      <c r="AV127" s="19">
        <v>7.0302932008787309</v>
      </c>
      <c r="AW127" s="19">
        <v>7.0268124154416682</v>
      </c>
      <c r="AX127" s="19">
        <v>-0.17551541253479286</v>
      </c>
      <c r="AY127" s="19">
        <v>3.1028987453346417</v>
      </c>
      <c r="AZ127" s="19">
        <v>8.5428747644519092</v>
      </c>
      <c r="BA127" s="19">
        <v>8.4016160598996805</v>
      </c>
      <c r="BB127" s="19">
        <v>2.8862945753758993</v>
      </c>
      <c r="BC127" s="19">
        <v>-0.47156660113014937</v>
      </c>
      <c r="BD127" s="19">
        <v>5.9562743086264618</v>
      </c>
      <c r="BE127" s="19">
        <v>-8.8150201010634532E-2</v>
      </c>
      <c r="BF127" s="19">
        <v>10.915469454314433</v>
      </c>
      <c r="BG127" s="19">
        <v>4.0240386257686112</v>
      </c>
      <c r="BH127" s="19">
        <v>3.875825448214016</v>
      </c>
      <c r="BI127" s="19">
        <v>4.3358559171596767</v>
      </c>
      <c r="BJ127" s="19">
        <v>4.7399372253946552</v>
      </c>
      <c r="BK127" s="19">
        <v>3.7579101248048374</v>
      </c>
      <c r="BL127" s="19">
        <v>4.6006256664676215</v>
      </c>
      <c r="BM127" s="19">
        <v>-8.3983642956172275</v>
      </c>
      <c r="BN127" s="19">
        <v>3.6106126954700528</v>
      </c>
    </row>
    <row r="128" spans="1:66" x14ac:dyDescent="0.2">
      <c r="A128" s="19" t="s">
        <v>651</v>
      </c>
      <c r="B128" s="19" t="s">
        <v>986</v>
      </c>
      <c r="C128" s="19" t="s">
        <v>863</v>
      </c>
      <c r="D128" s="19" t="s">
        <v>864</v>
      </c>
      <c r="AM128" s="19">
        <v>-34.808638772414511</v>
      </c>
      <c r="AN128" s="19">
        <v>9.9034689010939871</v>
      </c>
      <c r="AO128" s="19">
        <v>5.8975056097743845</v>
      </c>
      <c r="AP128" s="19">
        <v>4.0066210731153404</v>
      </c>
      <c r="AQ128" s="19">
        <v>4.6816321080581815</v>
      </c>
      <c r="AR128" s="19">
        <v>12.705381134354127</v>
      </c>
      <c r="AS128" s="19">
        <v>9.9935803216181966</v>
      </c>
      <c r="AT128" s="19">
        <v>8.1483860984854886</v>
      </c>
      <c r="AU128" s="19">
        <v>6.5789395027968283</v>
      </c>
      <c r="AV128" s="19">
        <v>8.505895557076343</v>
      </c>
      <c r="AW128" s="19">
        <v>10.340528776846952</v>
      </c>
      <c r="AX128" s="19">
        <v>13.250086913643571</v>
      </c>
      <c r="AY128" s="19">
        <v>10.771083670177134</v>
      </c>
      <c r="AZ128" s="19">
        <v>10.212573912630901</v>
      </c>
      <c r="BA128" s="19">
        <v>6.6915774747107832</v>
      </c>
      <c r="BB128" s="19">
        <v>8.6696959270611273E-2</v>
      </c>
      <c r="BC128" s="19">
        <v>5.9630785753869588</v>
      </c>
      <c r="BD128" s="19">
        <v>7.0695699458918</v>
      </c>
      <c r="BE128" s="19">
        <v>7.3133455053000773</v>
      </c>
      <c r="BF128" s="19">
        <v>7.3566651488797135</v>
      </c>
      <c r="BG128" s="19">
        <v>7.1425711007429697</v>
      </c>
      <c r="BH128" s="19">
        <v>6.9657978144495303</v>
      </c>
      <c r="BI128" s="19">
        <v>6.9333139730861006</v>
      </c>
      <c r="BJ128" s="19">
        <v>6.9969036993419564</v>
      </c>
      <c r="BK128" s="19">
        <v>7.4691692069989983</v>
      </c>
      <c r="BL128" s="19">
        <v>7.0541069323306544</v>
      </c>
      <c r="BM128" s="19">
        <v>-3.0960067306119043</v>
      </c>
      <c r="BN128" s="19">
        <v>3.026389362777465</v>
      </c>
    </row>
    <row r="129" spans="1:66" x14ac:dyDescent="0.2">
      <c r="A129" s="19" t="s">
        <v>652</v>
      </c>
      <c r="B129" s="19" t="s">
        <v>987</v>
      </c>
      <c r="C129" s="19" t="s">
        <v>863</v>
      </c>
      <c r="D129" s="19" t="s">
        <v>864</v>
      </c>
      <c r="P129" s="19">
        <v>-2.2900603437659584</v>
      </c>
      <c r="Q129" s="19">
        <v>12.079226849435983</v>
      </c>
      <c r="R129" s="19">
        <v>20.909882916898454</v>
      </c>
      <c r="S129" s="19">
        <v>45.302753624144486</v>
      </c>
      <c r="T129" s="19">
        <v>5.344419884288925</v>
      </c>
      <c r="U129" s="19">
        <v>-26.768232519017872</v>
      </c>
      <c r="V129" s="19">
        <v>-4.6126295670070903</v>
      </c>
      <c r="W129" s="19">
        <v>1.0595933395934054</v>
      </c>
      <c r="X129" s="19">
        <v>-11.584994225591913</v>
      </c>
      <c r="Y129" s="19">
        <v>-16.507732350010656</v>
      </c>
      <c r="Z129" s="19">
        <v>0</v>
      </c>
      <c r="AA129" s="19">
        <v>0.8928571428571388</v>
      </c>
      <c r="AB129" s="19">
        <v>-2.6548672566371749</v>
      </c>
      <c r="AC129" s="19">
        <v>1.818181818181813</v>
      </c>
      <c r="AD129" s="19">
        <v>-4.4642857142857082</v>
      </c>
      <c r="AE129" s="19">
        <v>0.93457943925233167</v>
      </c>
      <c r="AF129" s="19">
        <v>0.92592592592592382</v>
      </c>
      <c r="AG129" s="19">
        <v>9.1743119266054975</v>
      </c>
      <c r="AH129" s="19">
        <v>-3.3613445378151283</v>
      </c>
      <c r="AI129" s="19">
        <v>-0.86956521739129755</v>
      </c>
      <c r="AJ129" s="19">
        <v>0</v>
      </c>
      <c r="AK129" s="19">
        <v>0.87719298245613686</v>
      </c>
      <c r="AL129" s="19">
        <v>0.86956521739129755</v>
      </c>
      <c r="AM129" s="19">
        <v>1.7241379310344769</v>
      </c>
      <c r="AN129" s="19">
        <v>0</v>
      </c>
      <c r="AO129" s="19">
        <v>1.6949152542372872</v>
      </c>
      <c r="AP129" s="19">
        <v>1.6666666666666572</v>
      </c>
      <c r="AQ129" s="19">
        <v>6.5573770491803316</v>
      </c>
      <c r="AR129" s="19">
        <v>-1.538461538461533</v>
      </c>
      <c r="AS129" s="19">
        <v>6.25</v>
      </c>
      <c r="AT129" s="19">
        <v>-1.470588235294116</v>
      </c>
      <c r="AU129" s="19">
        <v>3.787462686567153</v>
      </c>
      <c r="AV129" s="19">
        <v>2.0063246358804463</v>
      </c>
      <c r="AW129" s="19">
        <v>-1.6293602038550574</v>
      </c>
      <c r="AX129" s="19">
        <v>4.9516316264671616</v>
      </c>
      <c r="AY129" s="19">
        <v>-4.9295322679526521E-2</v>
      </c>
      <c r="AZ129" s="19">
        <v>2.0349472648778715</v>
      </c>
      <c r="BA129" s="19">
        <v>-2.0914367581391247</v>
      </c>
      <c r="BB129" s="19">
        <v>0.80281988690367712</v>
      </c>
      <c r="BC129" s="19">
        <v>-1.1202602612516159</v>
      </c>
      <c r="BD129" s="19">
        <v>1.7625760103615562</v>
      </c>
      <c r="BE129" s="19">
        <v>5.1361443289656279</v>
      </c>
      <c r="BF129" s="19">
        <v>4.1615744771983145</v>
      </c>
      <c r="BG129" s="19">
        <v>-1.096288599251082</v>
      </c>
      <c r="BH129" s="19">
        <v>9.8651747214117051</v>
      </c>
      <c r="BI129" s="19">
        <v>-0.4781967546523731</v>
      </c>
      <c r="BJ129" s="19">
        <v>-0.24465883242292819</v>
      </c>
      <c r="BK129" s="19">
        <v>5.2741501249119693</v>
      </c>
      <c r="BL129" s="19">
        <v>-0.53960734147848655</v>
      </c>
      <c r="BM129" s="19">
        <v>-0.54700379583684366</v>
      </c>
      <c r="BN129" s="19">
        <v>1.4999989040303205</v>
      </c>
    </row>
    <row r="130" spans="1:66" x14ac:dyDescent="0.2">
      <c r="A130" s="19" t="s">
        <v>653</v>
      </c>
      <c r="B130" s="19" t="s">
        <v>988</v>
      </c>
      <c r="C130" s="19" t="s">
        <v>863</v>
      </c>
      <c r="D130" s="19" t="s">
        <v>864</v>
      </c>
      <c r="W130" s="19">
        <v>3.9099041823713776</v>
      </c>
      <c r="X130" s="19">
        <v>7.5976750284065986</v>
      </c>
      <c r="Y130" s="19">
        <v>8.4401210373469269</v>
      </c>
      <c r="Z130" s="19">
        <v>1.5469033840852546</v>
      </c>
      <c r="AA130" s="19">
        <v>0.54773804474115195</v>
      </c>
      <c r="AB130" s="19">
        <v>1.1867204695524549</v>
      </c>
      <c r="AC130" s="19">
        <v>8.8658074573567376</v>
      </c>
      <c r="AD130" s="19">
        <v>8.5500682673415724</v>
      </c>
      <c r="AE130" s="19">
        <v>10.856993849032875</v>
      </c>
      <c r="AF130" s="19">
        <v>6.5503452283765142</v>
      </c>
      <c r="AG130" s="19">
        <v>9.2253749756509222</v>
      </c>
      <c r="AH130" s="19">
        <v>5.4797940767337536</v>
      </c>
      <c r="AI130" s="19">
        <v>4.8772515160395926</v>
      </c>
      <c r="AJ130" s="19">
        <v>-1.864689128916126</v>
      </c>
      <c r="AK130" s="19">
        <v>4.2689738254298533</v>
      </c>
      <c r="AL130" s="19">
        <v>6.8019494160154608</v>
      </c>
      <c r="AM130" s="19">
        <v>5.3017190511781536</v>
      </c>
      <c r="AN130" s="19">
        <v>5.3831426570161227</v>
      </c>
      <c r="AO130" s="19">
        <v>5.842838025859848</v>
      </c>
      <c r="AP130" s="19">
        <v>6.8239667760734193</v>
      </c>
      <c r="AQ130" s="19">
        <v>-0.48674577918515638</v>
      </c>
      <c r="AR130" s="19">
        <v>3.2198864218145644</v>
      </c>
      <c r="AS130" s="19">
        <v>10.042808415172956</v>
      </c>
      <c r="AT130" s="19">
        <v>5.2534498301088632</v>
      </c>
      <c r="AU130" s="19">
        <v>1.3677150725363276</v>
      </c>
      <c r="AV130" s="19">
        <v>-3.9333948603293862</v>
      </c>
      <c r="AW130" s="19">
        <v>3.9963466612543073</v>
      </c>
      <c r="AX130" s="19">
        <v>9.7328207029801632</v>
      </c>
      <c r="AY130" s="19">
        <v>3.1503811996822293</v>
      </c>
      <c r="AZ130" s="19">
        <v>0.60060232654375056</v>
      </c>
      <c r="BA130" s="19">
        <v>11.178527968372393</v>
      </c>
      <c r="BB130" s="19">
        <v>-3.3793061134133353</v>
      </c>
      <c r="BC130" s="19">
        <v>4.3695780150244445E-2</v>
      </c>
      <c r="BD130" s="19">
        <v>1.6167394443246366</v>
      </c>
      <c r="BE130" s="19">
        <v>-0.51691149878543285</v>
      </c>
      <c r="BF130" s="19">
        <v>5.7056005167787021</v>
      </c>
      <c r="BG130" s="19">
        <v>7.5773627069553697</v>
      </c>
      <c r="BH130" s="19">
        <v>0.71308336878711032</v>
      </c>
      <c r="BI130" s="19">
        <v>3.9304638498342399</v>
      </c>
      <c r="BJ130" s="19">
        <v>7.0688238360787636E-3</v>
      </c>
      <c r="BK130" s="19">
        <v>2.0524646362905372</v>
      </c>
      <c r="BL130" s="19">
        <v>4.0474788751904782</v>
      </c>
      <c r="BM130" s="19">
        <v>-14.532072991121581</v>
      </c>
      <c r="BN130" s="19">
        <v>-0.87962264334636586</v>
      </c>
    </row>
    <row r="131" spans="1:66" x14ac:dyDescent="0.2">
      <c r="A131" s="19" t="s">
        <v>654</v>
      </c>
      <c r="B131" s="19" t="s">
        <v>989</v>
      </c>
      <c r="C131" s="19" t="s">
        <v>863</v>
      </c>
      <c r="D131" s="19" t="s">
        <v>864</v>
      </c>
      <c r="F131" s="19">
        <v>6.9359926522440531</v>
      </c>
      <c r="G131" s="19">
        <v>3.8952725307529903</v>
      </c>
      <c r="H131" s="19">
        <v>9.0205682827976261</v>
      </c>
      <c r="I131" s="19">
        <v>9.4738247180544448</v>
      </c>
      <c r="J131" s="19">
        <v>7.3184335802212814</v>
      </c>
      <c r="K131" s="19">
        <v>11.99395660844867</v>
      </c>
      <c r="L131" s="19">
        <v>9.0796065539800992</v>
      </c>
      <c r="M131" s="19">
        <v>13.165768290076699</v>
      </c>
      <c r="N131" s="19">
        <v>14.561366696392653</v>
      </c>
      <c r="O131" s="19">
        <v>10.052734807262297</v>
      </c>
      <c r="P131" s="19">
        <v>10.545513552197079</v>
      </c>
      <c r="Q131" s="19">
        <v>7.2143607217999062</v>
      </c>
      <c r="R131" s="19">
        <v>14.898322657348871</v>
      </c>
      <c r="S131" s="19">
        <v>9.5118354344004672</v>
      </c>
      <c r="T131" s="19">
        <v>7.8399333381073006</v>
      </c>
      <c r="U131" s="19">
        <v>13.221447802562651</v>
      </c>
      <c r="V131" s="19">
        <v>12.335982195018474</v>
      </c>
      <c r="W131" s="19">
        <v>10.952985695484756</v>
      </c>
      <c r="X131" s="19">
        <v>8.6712267070971478</v>
      </c>
      <c r="Y131" s="19">
        <v>-1.645687640444379</v>
      </c>
      <c r="Z131" s="19">
        <v>7.2461762851061167</v>
      </c>
      <c r="AA131" s="19">
        <v>8.3380780869153597</v>
      </c>
      <c r="AB131" s="19">
        <v>13.376174490369337</v>
      </c>
      <c r="AC131" s="19">
        <v>10.551640354985253</v>
      </c>
      <c r="AD131" s="19">
        <v>7.8388640217408749</v>
      </c>
      <c r="AE131" s="19">
        <v>11.327261196306623</v>
      </c>
      <c r="AF131" s="19">
        <v>12.723692119326884</v>
      </c>
      <c r="AG131" s="19">
        <v>11.987715559382423</v>
      </c>
      <c r="AH131" s="19">
        <v>7.0728936053141638</v>
      </c>
      <c r="AI131" s="19">
        <v>9.8775525016936001</v>
      </c>
      <c r="AJ131" s="19">
        <v>10.778056126896658</v>
      </c>
      <c r="AK131" s="19">
        <v>6.1986427983637356</v>
      </c>
      <c r="AL131" s="19">
        <v>6.8774741286855772</v>
      </c>
      <c r="AM131" s="19">
        <v>9.2686663377837561</v>
      </c>
      <c r="AN131" s="19">
        <v>9.6145653931996549</v>
      </c>
      <c r="AO131" s="19">
        <v>7.8907033260066726</v>
      </c>
      <c r="AP131" s="19">
        <v>6.1705524265897651</v>
      </c>
      <c r="AQ131" s="19">
        <v>-5.129448165209638</v>
      </c>
      <c r="AR131" s="19">
        <v>11.466942426742492</v>
      </c>
      <c r="AS131" s="19">
        <v>9.0608333250853406</v>
      </c>
      <c r="AT131" s="19">
        <v>4.8523995715128052</v>
      </c>
      <c r="AU131" s="19">
        <v>7.7251426754717301</v>
      </c>
      <c r="AV131" s="19">
        <v>3.1472911937340911</v>
      </c>
      <c r="AW131" s="19">
        <v>5.197391363243824</v>
      </c>
      <c r="AX131" s="19">
        <v>4.3085427141123631</v>
      </c>
      <c r="AY131" s="19">
        <v>5.2643265946672386</v>
      </c>
      <c r="AZ131" s="19">
        <v>5.799548415032163</v>
      </c>
      <c r="BA131" s="19">
        <v>3.0129848728116713</v>
      </c>
      <c r="BB131" s="19">
        <v>0.79269898951818618</v>
      </c>
      <c r="BC131" s="19">
        <v>6.8048249178367115</v>
      </c>
      <c r="BD131" s="19">
        <v>3.6856677821252646</v>
      </c>
      <c r="BE131" s="19">
        <v>2.4025309924618625</v>
      </c>
      <c r="BF131" s="19">
        <v>3.1647086364718433</v>
      </c>
      <c r="BG131" s="19">
        <v>3.2024537945736</v>
      </c>
      <c r="BH131" s="19">
        <v>2.8091032682413299</v>
      </c>
      <c r="BI131" s="19">
        <v>2.9468817150862634</v>
      </c>
      <c r="BJ131" s="19">
        <v>3.1596357401277686</v>
      </c>
      <c r="BK131" s="19">
        <v>2.9074037737713496</v>
      </c>
      <c r="BL131" s="19">
        <v>2.243977860110121</v>
      </c>
      <c r="BM131" s="19">
        <v>-0.7094153593976813</v>
      </c>
      <c r="BN131" s="19">
        <v>4.1453239543092479</v>
      </c>
    </row>
    <row r="132" spans="1:66" x14ac:dyDescent="0.2">
      <c r="A132" s="19" t="s">
        <v>655</v>
      </c>
      <c r="B132" s="19" t="s">
        <v>990</v>
      </c>
      <c r="C132" s="19" t="s">
        <v>863</v>
      </c>
      <c r="D132" s="19" t="s">
        <v>864</v>
      </c>
      <c r="AL132" s="19">
        <v>33.990467555900779</v>
      </c>
      <c r="AM132" s="19">
        <v>8.4361656447220099</v>
      </c>
      <c r="AN132" s="19">
        <v>4.8582912520274135</v>
      </c>
      <c r="AO132" s="19">
        <v>0.60512715880707901</v>
      </c>
      <c r="AP132" s="19">
        <v>2.4733252580408447</v>
      </c>
      <c r="AQ132" s="19">
        <v>3.6620547279544269</v>
      </c>
      <c r="AR132" s="19">
        <v>-1.7890091245007937</v>
      </c>
      <c r="AS132" s="19">
        <v>4.6945818707921063</v>
      </c>
      <c r="AT132" s="19">
        <v>0.21333257649935433</v>
      </c>
      <c r="AU132" s="19">
        <v>3.0142831519225126</v>
      </c>
      <c r="AV132" s="19">
        <v>17.326020417514343</v>
      </c>
      <c r="AW132" s="19">
        <v>10.240298058635375</v>
      </c>
      <c r="AX132" s="19">
        <v>10.609044984022844</v>
      </c>
      <c r="AY132" s="19">
        <v>7.5147730002402113</v>
      </c>
      <c r="AZ132" s="19">
        <v>5.9915755105931794</v>
      </c>
      <c r="BA132" s="19">
        <v>2.4797569427854427</v>
      </c>
      <c r="BB132" s="19">
        <v>-7.0760564307341269</v>
      </c>
      <c r="BC132" s="19">
        <v>-2.3702641202043537</v>
      </c>
      <c r="BD132" s="19">
        <v>9.6284069747757002</v>
      </c>
      <c r="BE132" s="19">
        <v>6.6258183001417308</v>
      </c>
      <c r="BF132" s="19">
        <v>1.1493004370652073</v>
      </c>
      <c r="BG132" s="19">
        <v>0.50087698215865828</v>
      </c>
      <c r="BH132" s="19">
        <v>0.59301961722123053</v>
      </c>
      <c r="BI132" s="19">
        <v>2.9258682259157638</v>
      </c>
      <c r="BJ132" s="19">
        <v>-4.7121062085199696</v>
      </c>
      <c r="BK132" s="19">
        <v>2.4339812682941755</v>
      </c>
      <c r="BL132" s="19">
        <v>-0.55195928783527393</v>
      </c>
      <c r="BM132" s="19">
        <v>-8.8552789234908573</v>
      </c>
    </row>
    <row r="133" spans="1:66" x14ac:dyDescent="0.2">
      <c r="A133" s="19" t="s">
        <v>656</v>
      </c>
      <c r="B133" s="19" t="s">
        <v>991</v>
      </c>
      <c r="C133" s="19" t="s">
        <v>863</v>
      </c>
      <c r="D133" s="19" t="s">
        <v>864</v>
      </c>
      <c r="F133" s="19">
        <v>6.1791808988849795</v>
      </c>
      <c r="G133" s="19">
        <v>4.3319434948313216</v>
      </c>
      <c r="H133" s="19">
        <v>1.6079262200038471</v>
      </c>
      <c r="I133" s="19">
        <v>7.5335698030700229</v>
      </c>
      <c r="J133" s="19">
        <v>5.8519800497731183</v>
      </c>
      <c r="K133" s="19">
        <v>4.6037280580205788</v>
      </c>
      <c r="L133" s="19">
        <v>4.4208166926161994</v>
      </c>
      <c r="M133" s="19">
        <v>7.3866017069158971</v>
      </c>
      <c r="N133" s="19">
        <v>6.9735489283676344</v>
      </c>
      <c r="O133" s="19">
        <v>6.8116565753573326</v>
      </c>
      <c r="P133" s="19">
        <v>7.0311021590387952</v>
      </c>
      <c r="Q133" s="19">
        <v>7.6921637210351577</v>
      </c>
      <c r="R133" s="19">
        <v>8.7040013069791655</v>
      </c>
      <c r="S133" s="19">
        <v>6.6679380345466228</v>
      </c>
      <c r="T133" s="19">
        <v>4.2209258955075768</v>
      </c>
      <c r="U133" s="19">
        <v>5.518555234775647</v>
      </c>
      <c r="V133" s="19">
        <v>4.7676670705785398</v>
      </c>
      <c r="W133" s="19">
        <v>4.2099850882554364</v>
      </c>
      <c r="X133" s="19">
        <v>7.2967886068951344</v>
      </c>
      <c r="Y133" s="19">
        <v>6.7067812963697406</v>
      </c>
      <c r="Z133" s="19">
        <v>0.60678263474316907</v>
      </c>
      <c r="AA133" s="19">
        <v>0.11073017072635594</v>
      </c>
      <c r="AB133" s="19">
        <v>-1.6918805315950607</v>
      </c>
      <c r="AC133" s="19">
        <v>3.8854201643636372</v>
      </c>
      <c r="AD133" s="19">
        <v>3.2464730124983845</v>
      </c>
      <c r="AE133" s="19">
        <v>3.7494437258978479</v>
      </c>
      <c r="AF133" s="19">
        <v>3.0876541819683752</v>
      </c>
      <c r="AG133" s="19">
        <v>0.36168821627914838</v>
      </c>
      <c r="AH133" s="19">
        <v>1.4754822601069861</v>
      </c>
      <c r="AI133" s="19">
        <v>-0.5790230618414256</v>
      </c>
      <c r="AJ133" s="19">
        <v>2.8536065934406452</v>
      </c>
      <c r="AK133" s="19">
        <v>2.1086676452856068</v>
      </c>
      <c r="AL133" s="19">
        <v>4.1136568576771708</v>
      </c>
      <c r="AM133" s="19">
        <v>5.4396098660055543</v>
      </c>
      <c r="AN133" s="19">
        <v>0.42963180156114333</v>
      </c>
      <c r="AO133" s="19">
        <v>3.9756501549158543</v>
      </c>
      <c r="AP133" s="19">
        <v>5.1549810746734011</v>
      </c>
      <c r="AQ133" s="19">
        <v>2.4402258767194809</v>
      </c>
      <c r="AR133" s="19">
        <v>0.4748706661139579</v>
      </c>
      <c r="AS133" s="19">
        <v>3.5576074235865747</v>
      </c>
      <c r="AT133" s="19">
        <v>0.20657588994414766</v>
      </c>
      <c r="AU133" s="19">
        <v>0.42824336304887822</v>
      </c>
      <c r="AV133" s="19">
        <v>2.5028827429371034</v>
      </c>
      <c r="AW133" s="19">
        <v>5.4349891261597207</v>
      </c>
      <c r="AX133" s="19">
        <v>4.0742477842681524</v>
      </c>
      <c r="AY133" s="19">
        <v>5.1759017957247409</v>
      </c>
      <c r="AZ133" s="19">
        <v>5.459771118925886</v>
      </c>
      <c r="BA133" s="19">
        <v>3.8412863034527902</v>
      </c>
      <c r="BB133" s="19">
        <v>-2.079352751945919</v>
      </c>
      <c r="BC133" s="19">
        <v>6.7170224061458157</v>
      </c>
      <c r="BD133" s="19">
        <v>4.4858199641251133</v>
      </c>
      <c r="BE133" s="19">
        <v>2.3809161555680305</v>
      </c>
      <c r="BF133" s="19">
        <v>2.8713305849124424</v>
      </c>
      <c r="BG133" s="19">
        <v>1.3560118117398048</v>
      </c>
      <c r="BH133" s="19">
        <v>0.41720187189314117</v>
      </c>
      <c r="BI133" s="19">
        <v>-0.29289639913923793</v>
      </c>
      <c r="BJ133" s="19">
        <v>2.0078249425354358</v>
      </c>
      <c r="BK133" s="19">
        <v>1.6295791997712712</v>
      </c>
      <c r="BL133" s="19">
        <v>0.68418187677133346</v>
      </c>
      <c r="BM133" s="19">
        <v>-6.5037837427041296</v>
      </c>
      <c r="BN133" s="19">
        <v>6.3498987170909231</v>
      </c>
    </row>
    <row r="134" spans="1:66" x14ac:dyDescent="0.2">
      <c r="A134" s="19" t="s">
        <v>657</v>
      </c>
      <c r="B134" s="19" t="s">
        <v>992</v>
      </c>
      <c r="C134" s="19" t="s">
        <v>863</v>
      </c>
      <c r="D134" s="19" t="s">
        <v>864</v>
      </c>
      <c r="AD134" s="19">
        <v>5.0699639472483682</v>
      </c>
      <c r="AE134" s="19">
        <v>4.885133262754124</v>
      </c>
      <c r="AF134" s="19">
        <v>-1.4257923829339489</v>
      </c>
      <c r="AG134" s="19">
        <v>-2.0102010530500252</v>
      </c>
      <c r="AH134" s="19">
        <v>14.190636629099799</v>
      </c>
      <c r="AI134" s="19">
        <v>6.7045786908151399</v>
      </c>
      <c r="AJ134" s="19">
        <v>4.2965636395472018</v>
      </c>
      <c r="AK134" s="19">
        <v>5.559857767761514</v>
      </c>
      <c r="AL134" s="19">
        <v>5.9125565563149109</v>
      </c>
      <c r="AM134" s="19">
        <v>8.1590185304964535</v>
      </c>
      <c r="AN134" s="19">
        <v>7.0312543276209709</v>
      </c>
      <c r="AO134" s="19">
        <v>6.9283237251818122</v>
      </c>
      <c r="AP134" s="19">
        <v>6.872091273125065</v>
      </c>
      <c r="AQ134" s="19">
        <v>3.9676080913052374</v>
      </c>
      <c r="AR134" s="19">
        <v>7.3063760730441913</v>
      </c>
      <c r="AS134" s="19">
        <v>5.7987823261587295</v>
      </c>
      <c r="AT134" s="19">
        <v>5.7514128821902375</v>
      </c>
      <c r="AU134" s="19">
        <v>5.9187436817742736</v>
      </c>
      <c r="AV134" s="19">
        <v>6.0670023037584286</v>
      </c>
      <c r="AW134" s="19">
        <v>6.3576954801280294</v>
      </c>
      <c r="AX134" s="19">
        <v>7.1075683690614824</v>
      </c>
      <c r="AY134" s="19">
        <v>8.6192662087304655</v>
      </c>
      <c r="AZ134" s="19">
        <v>7.5968288005046531</v>
      </c>
      <c r="BA134" s="19">
        <v>7.824902762608275</v>
      </c>
      <c r="BB134" s="19">
        <v>7.5017749126047306</v>
      </c>
      <c r="BC134" s="19">
        <v>8.5269055172287267</v>
      </c>
      <c r="BD134" s="19">
        <v>8.0386526808092924</v>
      </c>
      <c r="BE134" s="19">
        <v>8.026098434040847</v>
      </c>
      <c r="BF134" s="19">
        <v>8.0263002263775149</v>
      </c>
      <c r="BG134" s="19">
        <v>7.6119634407437928</v>
      </c>
      <c r="BH134" s="19">
        <v>7.2700658433986405</v>
      </c>
      <c r="BI134" s="19">
        <v>7.0228362550113843</v>
      </c>
      <c r="BJ134" s="19">
        <v>6.8925308726988987</v>
      </c>
      <c r="BK134" s="19">
        <v>6.2479600075587172</v>
      </c>
      <c r="BL134" s="19">
        <v>5.4577350924847963</v>
      </c>
      <c r="BM134" s="19">
        <v>0.50303182970861826</v>
      </c>
      <c r="BN134" s="19">
        <v>2.5283510010298613</v>
      </c>
    </row>
    <row r="135" spans="1:66" x14ac:dyDescent="0.2">
      <c r="A135" s="19" t="s">
        <v>658</v>
      </c>
      <c r="B135" s="19" t="s">
        <v>993</v>
      </c>
      <c r="C135" s="19" t="s">
        <v>863</v>
      </c>
      <c r="D135" s="19" t="s">
        <v>864</v>
      </c>
      <c r="AH135" s="19">
        <v>-42.45111821576981</v>
      </c>
      <c r="AI135" s="19">
        <v>26.533160093249137</v>
      </c>
      <c r="AJ135" s="19">
        <v>49.44737918333982</v>
      </c>
      <c r="AK135" s="19">
        <v>16.43834570737954</v>
      </c>
      <c r="AL135" s="19">
        <v>10.76566979568571</v>
      </c>
      <c r="AM135" s="19">
        <v>8.1052419781617999</v>
      </c>
      <c r="AN135" s="19">
        <v>6.4488625675372049</v>
      </c>
      <c r="AO135" s="19">
        <v>11.285935717391666</v>
      </c>
      <c r="AP135" s="19">
        <v>1.0549666686856085</v>
      </c>
      <c r="AQ135" s="19">
        <v>3.6657237837598444</v>
      </c>
      <c r="AR135" s="19">
        <v>-0.52558463448026771</v>
      </c>
      <c r="AS135" s="19">
        <v>1.3418716193980487</v>
      </c>
      <c r="AT135" s="19">
        <v>3.8396692782492181</v>
      </c>
      <c r="AU135" s="19">
        <v>3.4231498272447141</v>
      </c>
      <c r="AV135" s="19">
        <v>3.2270982685183043</v>
      </c>
      <c r="AW135" s="19">
        <v>6.6794446167197918</v>
      </c>
      <c r="AX135" s="19">
        <v>2.6857793099149774</v>
      </c>
      <c r="AY135" s="19">
        <v>1.5495150020830977</v>
      </c>
      <c r="AZ135" s="19">
        <v>9.3106225246290677</v>
      </c>
      <c r="BA135" s="19">
        <v>9.0691282693160673</v>
      </c>
      <c r="BB135" s="19">
        <v>10.232155577117879</v>
      </c>
      <c r="BC135" s="19">
        <v>7.9751355592094342</v>
      </c>
      <c r="BD135" s="19">
        <v>0.86733987716786487</v>
      </c>
      <c r="BE135" s="19">
        <v>2.5647913373355351</v>
      </c>
      <c r="BF135" s="19">
        <v>3.8278734984476017</v>
      </c>
      <c r="BG135" s="19">
        <v>2.4840601055013281</v>
      </c>
      <c r="BH135" s="19">
        <v>0.46232079181385188</v>
      </c>
      <c r="BI135" s="19">
        <v>1.554549409517719</v>
      </c>
      <c r="BJ135" s="19">
        <v>0.78201400082895134</v>
      </c>
      <c r="BK135" s="19">
        <v>-1.7021748074867418</v>
      </c>
      <c r="BL135" s="19">
        <v>-7.1572470699839243</v>
      </c>
      <c r="BM135" s="19">
        <v>-21.399899924462929</v>
      </c>
      <c r="BN135" s="19">
        <v>-7.0012393603983014</v>
      </c>
    </row>
    <row r="136" spans="1:66" x14ac:dyDescent="0.2">
      <c r="A136" s="19" t="s">
        <v>659</v>
      </c>
      <c r="B136" s="19" t="s">
        <v>994</v>
      </c>
      <c r="C136" s="19" t="s">
        <v>863</v>
      </c>
      <c r="D136" s="19" t="s">
        <v>864</v>
      </c>
      <c r="AT136" s="19">
        <v>2.9202747656978119</v>
      </c>
      <c r="AU136" s="19">
        <v>3.7630176170007132</v>
      </c>
      <c r="AV136" s="19">
        <v>-30.145132727942027</v>
      </c>
      <c r="AW136" s="19">
        <v>2.6198468947741276</v>
      </c>
      <c r="AX136" s="19">
        <v>5.2812124530929481</v>
      </c>
      <c r="AY136" s="19">
        <v>8.0439099719005895</v>
      </c>
      <c r="AZ136" s="19">
        <v>9.5352753628228157</v>
      </c>
      <c r="BA136" s="19">
        <v>7.1456911281147626</v>
      </c>
      <c r="BB136" s="19">
        <v>5.300540502915311</v>
      </c>
      <c r="BC136" s="19">
        <v>6.0998252400414685</v>
      </c>
      <c r="BD136" s="19">
        <v>8.2007682249706448</v>
      </c>
      <c r="BE136" s="19">
        <v>7.9938144455536673</v>
      </c>
      <c r="BF136" s="19">
        <v>8.6872878163968323</v>
      </c>
      <c r="BG136" s="19">
        <v>0.70139310028751822</v>
      </c>
      <c r="BH136" s="19">
        <v>-1.8564969559093925E-2</v>
      </c>
      <c r="BI136" s="19">
        <v>-1.5549586174877987</v>
      </c>
      <c r="BJ136" s="19">
        <v>2.4551559201223938</v>
      </c>
      <c r="BK136" s="19">
        <v>1.1575751220735526</v>
      </c>
      <c r="BL136" s="19">
        <v>-2.4672976353268581</v>
      </c>
      <c r="BM136" s="19">
        <v>-2.9824912764947271</v>
      </c>
      <c r="BN136" s="19">
        <v>4.9867128348161742</v>
      </c>
    </row>
    <row r="137" spans="1:66" x14ac:dyDescent="0.2">
      <c r="A137" s="19" t="s">
        <v>660</v>
      </c>
      <c r="B137" s="19" t="s">
        <v>995</v>
      </c>
      <c r="C137" s="19" t="s">
        <v>863</v>
      </c>
      <c r="D137" s="19" t="s">
        <v>864</v>
      </c>
      <c r="AS137" s="19">
        <v>3.6792704081999972</v>
      </c>
      <c r="AT137" s="19">
        <v>-1.7628388706260267</v>
      </c>
      <c r="AU137" s="19">
        <v>-0.95889733284963086</v>
      </c>
      <c r="AV137" s="19">
        <v>13.016037247801336</v>
      </c>
      <c r="AW137" s="19">
        <v>4.4616389964863714</v>
      </c>
      <c r="AX137" s="19">
        <v>11.870756522615096</v>
      </c>
      <c r="AY137" s="19">
        <v>6.5005254195927904</v>
      </c>
      <c r="AZ137" s="19">
        <v>6.2299827856183754</v>
      </c>
      <c r="BA137" s="19">
        <v>-0.16204823879988339</v>
      </c>
      <c r="BB137" s="19">
        <v>-4.400181763102097</v>
      </c>
      <c r="BC137" s="19">
        <v>5.0272476723774986</v>
      </c>
      <c r="BD137" s="19">
        <v>-50.338515138498622</v>
      </c>
      <c r="BE137" s="19">
        <v>86.826748439578438</v>
      </c>
      <c r="BF137" s="19">
        <v>-17.997961574568123</v>
      </c>
      <c r="BG137" s="19">
        <v>-23.042805828221503</v>
      </c>
      <c r="BH137" s="19">
        <v>-0.84265625211884299</v>
      </c>
      <c r="BI137" s="19">
        <v>-1.4909411172621958</v>
      </c>
      <c r="BJ137" s="19">
        <v>32.491802186268757</v>
      </c>
      <c r="BK137" s="19">
        <v>7.9413678529104033</v>
      </c>
      <c r="BL137" s="19">
        <v>-11.195694590863809</v>
      </c>
      <c r="BM137" s="19">
        <v>-23.929782447579512</v>
      </c>
      <c r="BN137" s="19">
        <v>31.37242222672478</v>
      </c>
    </row>
    <row r="138" spans="1:66" x14ac:dyDescent="0.2">
      <c r="A138" s="19" t="s">
        <v>661</v>
      </c>
      <c r="B138" s="19" t="s">
        <v>996</v>
      </c>
      <c r="C138" s="19" t="s">
        <v>863</v>
      </c>
      <c r="D138" s="19" t="s">
        <v>864</v>
      </c>
      <c r="W138" s="19">
        <v>10.311940707651132</v>
      </c>
      <c r="X138" s="19">
        <v>3.7927344039377289</v>
      </c>
      <c r="Y138" s="19">
        <v>-2.2205280913928789</v>
      </c>
      <c r="Z138" s="19">
        <v>6.3102531827511967</v>
      </c>
      <c r="AA138" s="19">
        <v>2.0863421064560441</v>
      </c>
      <c r="AB138" s="19">
        <v>4.965383971970283</v>
      </c>
      <c r="AC138" s="19">
        <v>7.2655736396341837</v>
      </c>
      <c r="AD138" s="19">
        <v>8.2877650711921262</v>
      </c>
      <c r="AE138" s="19">
        <v>14.402019295450771</v>
      </c>
      <c r="AF138" s="19">
        <v>3.9237313851513846</v>
      </c>
      <c r="AG138" s="19">
        <v>13.899663839310449</v>
      </c>
      <c r="AH138" s="19">
        <v>8.9810042032052166</v>
      </c>
      <c r="AI138" s="19">
        <v>9.8907015304415751</v>
      </c>
      <c r="AJ138" s="19">
        <v>0.37567802889731183</v>
      </c>
      <c r="AK138" s="19">
        <v>7.9530753604442026</v>
      </c>
      <c r="AL138" s="19">
        <v>0.58319975822205095</v>
      </c>
      <c r="AM138" s="19">
        <v>1.5985601620634071</v>
      </c>
      <c r="AN138" s="19">
        <v>1.7482258650376679</v>
      </c>
      <c r="AO138" s="19">
        <v>2.9225879574221949</v>
      </c>
      <c r="AP138" s="19">
        <v>-0.69413014205930779</v>
      </c>
      <c r="AQ138" s="19">
        <v>6.2864712151186239</v>
      </c>
      <c r="AR138" s="19">
        <v>2.6706035112741944</v>
      </c>
      <c r="AS138" s="19">
        <v>4.8748553520113092E-2</v>
      </c>
      <c r="AT138" s="19">
        <v>-3.4080639618940438</v>
      </c>
      <c r="AU138" s="19">
        <v>0.41645049304321446</v>
      </c>
      <c r="AV138" s="19">
        <v>4.2646114873822256</v>
      </c>
      <c r="AW138" s="19">
        <v>7.2674088699471042</v>
      </c>
      <c r="AX138" s="19">
        <v>-0.41030472629023507</v>
      </c>
      <c r="AY138" s="19">
        <v>6.1952572914104849</v>
      </c>
      <c r="AZ138" s="19">
        <v>1.691618574339131</v>
      </c>
      <c r="BA138" s="19">
        <v>4.9493219402805693</v>
      </c>
      <c r="BB138" s="19">
        <v>-2.828899548306282</v>
      </c>
      <c r="BC138" s="19">
        <v>1.6038623849959066</v>
      </c>
      <c r="BD138" s="19">
        <v>5.4834113334570844</v>
      </c>
      <c r="BE138" s="19">
        <v>-0.19985174043647191</v>
      </c>
      <c r="BF138" s="19">
        <v>-3.1743776044531558</v>
      </c>
      <c r="BG138" s="19">
        <v>1.4161571860856554</v>
      </c>
      <c r="BH138" s="19">
        <v>-1.3620371955719861</v>
      </c>
      <c r="BI138" s="19">
        <v>3.7530214784270157</v>
      </c>
      <c r="BJ138" s="19">
        <v>3.3870565076863386</v>
      </c>
      <c r="BK138" s="19">
        <v>2.8808205780406411</v>
      </c>
      <c r="BL138" s="19">
        <v>-0.65015750452825216</v>
      </c>
      <c r="BM138" s="19">
        <v>-24.364618782022362</v>
      </c>
      <c r="BN138" s="19">
        <v>12.229862212951417</v>
      </c>
    </row>
    <row r="139" spans="1:66" x14ac:dyDescent="0.2">
      <c r="A139" s="19" t="s">
        <v>662</v>
      </c>
      <c r="B139" s="19" t="s">
        <v>997</v>
      </c>
      <c r="C139" s="19" t="s">
        <v>863</v>
      </c>
      <c r="D139" s="19" t="s">
        <v>864</v>
      </c>
      <c r="F139" s="19">
        <v>6.1539862383616253</v>
      </c>
      <c r="G139" s="19">
        <v>4.3065830918167762</v>
      </c>
      <c r="H139" s="19">
        <v>2.006472126517167</v>
      </c>
      <c r="I139" s="19">
        <v>7.2008924562562981</v>
      </c>
      <c r="J139" s="19">
        <v>5.6476459021588994</v>
      </c>
      <c r="K139" s="19">
        <v>4.9323101665664382</v>
      </c>
      <c r="L139" s="19">
        <v>4.3168827051931515</v>
      </c>
      <c r="M139" s="19">
        <v>7.0727671069642781</v>
      </c>
      <c r="N139" s="19">
        <v>6.8968253434291</v>
      </c>
      <c r="O139" s="19">
        <v>6.5197717004780174</v>
      </c>
      <c r="P139" s="19">
        <v>6.9473479062803563</v>
      </c>
      <c r="Q139" s="19">
        <v>7.167016790650564</v>
      </c>
      <c r="R139" s="19">
        <v>8.0214015956012474</v>
      </c>
      <c r="S139" s="19">
        <v>6.2801911401249413</v>
      </c>
      <c r="T139" s="19">
        <v>3.5527423977102188</v>
      </c>
      <c r="U139" s="19">
        <v>5.4582131145960204</v>
      </c>
      <c r="V139" s="19">
        <v>4.896013751516179</v>
      </c>
      <c r="W139" s="19">
        <v>4.4528489501949053</v>
      </c>
      <c r="X139" s="19">
        <v>7.3461834624303606</v>
      </c>
      <c r="Y139" s="19">
        <v>6.7103824819480025</v>
      </c>
      <c r="Z139" s="19">
        <v>0.81291664683141107</v>
      </c>
      <c r="AA139" s="19">
        <v>-0.28799675317799256</v>
      </c>
      <c r="AB139" s="19">
        <v>-1.9165159202778881</v>
      </c>
      <c r="AC139" s="19">
        <v>3.8752759385740916</v>
      </c>
      <c r="AD139" s="19">
        <v>3.2275319636987376</v>
      </c>
      <c r="AE139" s="19">
        <v>3.8338545555751722</v>
      </c>
      <c r="AF139" s="19">
        <v>3.2315433433945913</v>
      </c>
      <c r="AG139" s="19">
        <v>0.61981543410365703</v>
      </c>
      <c r="AH139" s="19">
        <v>1.7944937977209605</v>
      </c>
      <c r="AI139" s="19">
        <v>-0.47757676384925674</v>
      </c>
      <c r="AJ139" s="19">
        <v>2.9931636194831839</v>
      </c>
      <c r="AK139" s="19">
        <v>2.5429389294783675</v>
      </c>
      <c r="AL139" s="19">
        <v>4.1744822604411667</v>
      </c>
      <c r="AM139" s="19">
        <v>5.3792970373187217</v>
      </c>
      <c r="AN139" s="19">
        <v>0.84633396348594658</v>
      </c>
      <c r="AO139" s="19">
        <v>4.0597527099756689</v>
      </c>
      <c r="AP139" s="19">
        <v>5.2892082525320347</v>
      </c>
      <c r="AQ139" s="19">
        <v>2.6442748325209493</v>
      </c>
      <c r="AR139" s="19">
        <v>0.64360358750687396</v>
      </c>
      <c r="AS139" s="19">
        <v>3.5613958179403227</v>
      </c>
      <c r="AT139" s="19">
        <v>0.48842908933339402</v>
      </c>
      <c r="AU139" s="19">
        <v>0.52689470055007348</v>
      </c>
      <c r="AV139" s="19">
        <v>2.5459161685163565</v>
      </c>
      <c r="AW139" s="19">
        <v>5.5863490351552656</v>
      </c>
      <c r="AX139" s="19">
        <v>4.0099208085397748</v>
      </c>
      <c r="AY139" s="19">
        <v>5.0592133005113737</v>
      </c>
      <c r="AZ139" s="19">
        <v>5.2884230460349784</v>
      </c>
      <c r="BA139" s="19">
        <v>3.7291795626917406</v>
      </c>
      <c r="BB139" s="19">
        <v>-1.9917616222988102</v>
      </c>
      <c r="BC139" s="19">
        <v>6.4273840219945697</v>
      </c>
      <c r="BD139" s="19">
        <v>4.4487322569963794</v>
      </c>
      <c r="BE139" s="19">
        <v>2.5706332447043962</v>
      </c>
      <c r="BF139" s="19">
        <v>2.854447192232584</v>
      </c>
      <c r="BG139" s="19">
        <v>1.3873687350141495</v>
      </c>
      <c r="BH139" s="19">
        <v>0.52391955163903958</v>
      </c>
      <c r="BI139" s="19">
        <v>-0.16250612048227708</v>
      </c>
      <c r="BJ139" s="19">
        <v>1.8784899902369716</v>
      </c>
      <c r="BK139" s="19">
        <v>1.6301666028903696</v>
      </c>
      <c r="BL139" s="19">
        <v>0.73439535627714747</v>
      </c>
      <c r="BM139" s="19">
        <v>-6.644701270345692</v>
      </c>
      <c r="BN139" s="19">
        <v>6.5482694256097034</v>
      </c>
    </row>
    <row r="140" spans="1:66" x14ac:dyDescent="0.2">
      <c r="A140" s="19" t="s">
        <v>663</v>
      </c>
      <c r="B140" s="19" t="s">
        <v>998</v>
      </c>
      <c r="C140" s="19" t="s">
        <v>863</v>
      </c>
      <c r="D140" s="19" t="s">
        <v>864</v>
      </c>
      <c r="Z140" s="19">
        <v>3.1280849810797235</v>
      </c>
      <c r="AA140" s="19">
        <v>1.545210701534387</v>
      </c>
      <c r="AB140" s="19">
        <v>2.0199479698257221</v>
      </c>
      <c r="AC140" s="19">
        <v>1.8607416720668652</v>
      </c>
      <c r="AD140" s="19">
        <v>1.2049455767498216</v>
      </c>
      <c r="AE140" s="19">
        <v>3.6735222408989188</v>
      </c>
      <c r="AF140" s="19">
        <v>4.5269970225738803</v>
      </c>
      <c r="AG140" s="19">
        <v>2.339411916667089</v>
      </c>
      <c r="AH140" s="19">
        <v>2.3536318596348167</v>
      </c>
      <c r="AI140" s="19">
        <v>0.38436733252187594</v>
      </c>
      <c r="AJ140" s="19">
        <v>2.0090740694102607</v>
      </c>
      <c r="AK140" s="19">
        <v>0.82495639981463853</v>
      </c>
      <c r="AL140" s="19">
        <v>0.11982647381489642</v>
      </c>
      <c r="AM140" s="19">
        <v>0.95748321637290701</v>
      </c>
      <c r="AN140" s="19">
        <v>5.8043192838428155</v>
      </c>
      <c r="AO140" s="19">
        <v>5.5832720261729207</v>
      </c>
      <c r="AP140" s="19">
        <v>5.9193723028947431</v>
      </c>
      <c r="AQ140" s="19">
        <v>3.9637183346731746</v>
      </c>
      <c r="AR140" s="19">
        <v>3.9598826961020848</v>
      </c>
      <c r="AS140" s="19">
        <v>4.2883841655381332</v>
      </c>
      <c r="AT140" s="19">
        <v>5.2672133926418496</v>
      </c>
      <c r="AU140" s="19">
        <v>5.0031660822559729</v>
      </c>
      <c r="AV140" s="19">
        <v>5.0457273916618703</v>
      </c>
      <c r="AW140" s="19">
        <v>6.3285671934478529</v>
      </c>
      <c r="AX140" s="19">
        <v>7.3619174313491555</v>
      </c>
      <c r="AY140" s="19">
        <v>6.8769404329183601</v>
      </c>
      <c r="AZ140" s="19">
        <v>7.2345388714710026</v>
      </c>
      <c r="BA140" s="19">
        <v>6.3376571268764366</v>
      </c>
      <c r="BB140" s="19">
        <v>3.9121695095474678</v>
      </c>
      <c r="BC140" s="19">
        <v>6.2143438978568923</v>
      </c>
      <c r="BD140" s="19">
        <v>2.9995634548345436</v>
      </c>
      <c r="BE140" s="19">
        <v>2.1598986862957616</v>
      </c>
      <c r="BF140" s="19">
        <v>5.6051214563289449</v>
      </c>
      <c r="BG140" s="19">
        <v>5.5742197188832989</v>
      </c>
      <c r="BH140" s="19">
        <v>2.4644143578059357</v>
      </c>
      <c r="BI140" s="19">
        <v>4.0116014808052398</v>
      </c>
      <c r="BJ140" s="19">
        <v>4.3202953342406829</v>
      </c>
      <c r="BK140" s="19">
        <v>4.3772255914004319</v>
      </c>
      <c r="BL140" s="19">
        <v>4.8649917924943793</v>
      </c>
      <c r="BM140" s="19">
        <v>0.68246080657401365</v>
      </c>
      <c r="BN140" s="19">
        <v>1.8645758472700038</v>
      </c>
    </row>
    <row r="141" spans="1:66" x14ac:dyDescent="0.2">
      <c r="A141" s="19" t="s">
        <v>664</v>
      </c>
      <c r="B141" s="19" t="s">
        <v>999</v>
      </c>
      <c r="C141" s="19" t="s">
        <v>863</v>
      </c>
      <c r="D141" s="19" t="s">
        <v>864</v>
      </c>
      <c r="AA141" s="19">
        <v>1.586675187699484</v>
      </c>
      <c r="AB141" s="19">
        <v>1.7685378378691894</v>
      </c>
      <c r="AC141" s="19">
        <v>-1.2794296827485283</v>
      </c>
      <c r="AD141" s="19">
        <v>-6.7936570349189651E-3</v>
      </c>
      <c r="AE141" s="19">
        <v>3.0802161075913688</v>
      </c>
      <c r="AF141" s="19">
        <v>5.9277075350855313</v>
      </c>
      <c r="AG141" s="19">
        <v>3.5490805741440283</v>
      </c>
      <c r="AH141" s="19">
        <v>1.5224253086869766</v>
      </c>
      <c r="AI141" s="19">
        <v>-1.7585431217546272</v>
      </c>
      <c r="AJ141" s="19">
        <v>1.8031075037401791</v>
      </c>
      <c r="AK141" s="19">
        <v>1.1025758586667962</v>
      </c>
      <c r="AL141" s="19">
        <v>1.8672759359547939</v>
      </c>
      <c r="AM141" s="19">
        <v>1.5444582777729607</v>
      </c>
      <c r="AN141" s="19">
        <v>5.0284209719860087</v>
      </c>
      <c r="AO141" s="19">
        <v>5.7136194978526476</v>
      </c>
      <c r="AP141" s="19">
        <v>6.9389920004484935</v>
      </c>
      <c r="AQ141" s="19">
        <v>3.73752045152618</v>
      </c>
      <c r="AR141" s="19">
        <v>2.5880539879207731</v>
      </c>
      <c r="AS141" s="19">
        <v>3.3413003275784661</v>
      </c>
      <c r="AT141" s="19">
        <v>4.9476564925709425</v>
      </c>
      <c r="AU141" s="19">
        <v>4.3811888767810672</v>
      </c>
      <c r="AV141" s="19">
        <v>4.9630766715089862</v>
      </c>
      <c r="AW141" s="19">
        <v>6.0004323253370444</v>
      </c>
      <c r="AX141" s="19">
        <v>6.4976832006263834</v>
      </c>
      <c r="AY141" s="19">
        <v>5.9639191653330812</v>
      </c>
      <c r="AZ141" s="19">
        <v>6.1826852710244822</v>
      </c>
      <c r="BA141" s="19">
        <v>5.4075778060712025</v>
      </c>
      <c r="BB141" s="19">
        <v>3.5546025904305054</v>
      </c>
      <c r="BC141" s="19">
        <v>6.7909146558163798</v>
      </c>
      <c r="BD141" s="19">
        <v>0.59576615445367054</v>
      </c>
      <c r="BE141" s="19">
        <v>-3.9737157842647406</v>
      </c>
      <c r="BF141" s="19">
        <v>3.3616488777536944</v>
      </c>
      <c r="BG141" s="19">
        <v>4.3811497514536057</v>
      </c>
      <c r="BH141" s="19">
        <v>-0.20110014834557433</v>
      </c>
      <c r="BI141" s="19">
        <v>2.3569279793517239</v>
      </c>
      <c r="BJ141" s="19">
        <v>2.9691689973819564</v>
      </c>
      <c r="BK141" s="19">
        <v>3.1099144960003571</v>
      </c>
      <c r="BL141" s="19">
        <v>3.7370029725737339</v>
      </c>
      <c r="BM141" s="19">
        <v>-1.2278640106572425E-2</v>
      </c>
      <c r="BN141" s="19">
        <v>1.8904666246467627</v>
      </c>
    </row>
    <row r="142" spans="1:66" x14ac:dyDescent="0.2">
      <c r="A142" s="19" t="s">
        <v>665</v>
      </c>
      <c r="B142" s="19" t="s">
        <v>1000</v>
      </c>
      <c r="C142" s="19" t="s">
        <v>863</v>
      </c>
      <c r="D142" s="19" t="s">
        <v>864</v>
      </c>
      <c r="P142" s="19">
        <v>1.6692220050326938</v>
      </c>
      <c r="Q142" s="19">
        <v>1.6692195638659939</v>
      </c>
      <c r="R142" s="19">
        <v>1.669225645767014</v>
      </c>
      <c r="S142" s="19">
        <v>1.6692225046974158</v>
      </c>
      <c r="T142" s="19">
        <v>1.6692322751372188</v>
      </c>
      <c r="U142" s="19">
        <v>4.7586720418916713</v>
      </c>
      <c r="V142" s="19">
        <v>4.7586770940503982</v>
      </c>
      <c r="W142" s="19">
        <v>4.758676836399971</v>
      </c>
      <c r="X142" s="19">
        <v>4.7586714785004887</v>
      </c>
      <c r="Y142" s="19">
        <v>4.75867252328473</v>
      </c>
      <c r="Z142" s="19">
        <v>4.8148202157386919</v>
      </c>
      <c r="AA142" s="19">
        <v>-1.5901068797025175</v>
      </c>
      <c r="AB142" s="19">
        <v>0.53859993923639138</v>
      </c>
      <c r="AC142" s="19">
        <v>4.2857094167711267</v>
      </c>
      <c r="AD142" s="19">
        <v>7.0205544905280277</v>
      </c>
      <c r="AE142" s="19">
        <v>3.999999999122366</v>
      </c>
      <c r="AF142" s="19">
        <v>9.2307679851700897</v>
      </c>
      <c r="AG142" s="19">
        <v>5.6337983064256036</v>
      </c>
      <c r="AH142" s="19">
        <v>4.4919853068495286</v>
      </c>
      <c r="AI142" s="19">
        <v>2.2528709690589892</v>
      </c>
      <c r="AJ142" s="19">
        <v>1.8011700759603428</v>
      </c>
      <c r="AK142" s="19">
        <v>3.6082938438715644</v>
      </c>
      <c r="AL142" s="19">
        <v>4.3321012056107406</v>
      </c>
      <c r="AM142" s="19">
        <v>6.8661441321976184</v>
      </c>
      <c r="AN142" s="19">
        <v>5.8755504001748022</v>
      </c>
      <c r="AO142" s="19">
        <v>6.9053017997363639</v>
      </c>
      <c r="AP142" s="19">
        <v>7.2251348545687506</v>
      </c>
      <c r="AQ142" s="19">
        <v>7.7612628369469121</v>
      </c>
      <c r="AR142" s="19">
        <v>10.410923201023621</v>
      </c>
      <c r="AS142" s="19">
        <v>3.2201930823960936</v>
      </c>
      <c r="AT142" s="19">
        <v>-0.73309245529799227</v>
      </c>
      <c r="AU142" s="19">
        <v>-0.99391994715929854</v>
      </c>
      <c r="AV142" s="19">
        <v>-1.937565341250135</v>
      </c>
      <c r="AW142" s="19">
        <v>3.0391721030650132</v>
      </c>
      <c r="AX142" s="19">
        <v>4.8280767774352427</v>
      </c>
      <c r="AY142" s="19">
        <v>8.6449685726728092</v>
      </c>
      <c r="AZ142" s="19">
        <v>3.3259635093690036</v>
      </c>
      <c r="BA142" s="19">
        <v>1.7980884783641073</v>
      </c>
      <c r="BB142" s="19">
        <v>-1.1574829197563616</v>
      </c>
    </row>
    <row r="143" spans="1:66" x14ac:dyDescent="0.2">
      <c r="A143" s="19" t="s">
        <v>666</v>
      </c>
      <c r="B143" s="19" t="s">
        <v>1001</v>
      </c>
      <c r="C143" s="19" t="s">
        <v>863</v>
      </c>
      <c r="D143" s="19" t="s">
        <v>864</v>
      </c>
      <c r="G143" s="19">
        <v>3.8180195580447531</v>
      </c>
      <c r="H143" s="19">
        <v>2.5167485942693872</v>
      </c>
      <c r="I143" s="19">
        <v>3.9064338367952303</v>
      </c>
      <c r="J143" s="19">
        <v>2.5369535357197179</v>
      </c>
      <c r="K143" s="19">
        <v>5.0237894383739672</v>
      </c>
      <c r="L143" s="19">
        <v>6.4390244203684546</v>
      </c>
      <c r="M143" s="19">
        <v>5.8010941663499551</v>
      </c>
      <c r="N143" s="19">
        <v>7.7168196618854239</v>
      </c>
      <c r="O143" s="19">
        <v>3.8466298565900985</v>
      </c>
      <c r="P143" s="19">
        <v>1.3069053965523096</v>
      </c>
      <c r="Q143" s="19">
        <v>-0.41047991109735449</v>
      </c>
      <c r="R143" s="19">
        <v>7.0573989347316086</v>
      </c>
      <c r="S143" s="19">
        <v>3.8458308363407383</v>
      </c>
      <c r="T143" s="19">
        <v>6.1262331607053255</v>
      </c>
      <c r="U143" s="19">
        <v>3.3351066917763887</v>
      </c>
      <c r="V143" s="19">
        <v>5.1005902639315508</v>
      </c>
      <c r="W143" s="19">
        <v>5.6538368577521538</v>
      </c>
      <c r="X143" s="19">
        <v>6.4035569259062157</v>
      </c>
      <c r="Y143" s="19">
        <v>5.8460265161686351</v>
      </c>
      <c r="Z143" s="19">
        <v>5.699524766614033</v>
      </c>
      <c r="AA143" s="19">
        <v>4.1414957022830379</v>
      </c>
      <c r="AB143" s="19">
        <v>4.8139909695889855</v>
      </c>
      <c r="AC143" s="19">
        <v>5.0991465579138975</v>
      </c>
      <c r="AD143" s="19">
        <v>4.9994063687125276</v>
      </c>
      <c r="AE143" s="19">
        <v>4.3555469165640943</v>
      </c>
      <c r="AF143" s="19">
        <v>1.7256106928987833</v>
      </c>
      <c r="AG143" s="19">
        <v>2.4726850377120542</v>
      </c>
      <c r="AH143" s="19">
        <v>2.2993014119800961</v>
      </c>
      <c r="AI143" s="19">
        <v>6.3999953108663448</v>
      </c>
      <c r="AJ143" s="19">
        <v>4.5999872440341818</v>
      </c>
      <c r="AK143" s="19">
        <v>4.3999912518193867</v>
      </c>
      <c r="AL143" s="19">
        <v>6.9000632514947426</v>
      </c>
      <c r="AM143" s="19">
        <v>5.5999187251016593</v>
      </c>
      <c r="AN143" s="19">
        <v>5.5000852341585045</v>
      </c>
      <c r="AO143" s="19">
        <v>3.7999672056817815</v>
      </c>
      <c r="AP143" s="19">
        <v>6.4053996957128589</v>
      </c>
      <c r="AQ143" s="19">
        <v>4.6984230477205244</v>
      </c>
      <c r="AR143" s="19">
        <v>4.3005404981337279</v>
      </c>
      <c r="AS143" s="19">
        <v>6.0000331582893409</v>
      </c>
      <c r="AT143" s="19">
        <v>-1.5454081336602599</v>
      </c>
      <c r="AU143" s="19">
        <v>3.9646756851311267</v>
      </c>
      <c r="AV143" s="19">
        <v>5.9402690780222969</v>
      </c>
      <c r="AW143" s="19">
        <v>5.4450612788535153</v>
      </c>
      <c r="AX143" s="19">
        <v>6.2417480437644741</v>
      </c>
      <c r="AY143" s="19">
        <v>7.6682919010791863</v>
      </c>
      <c r="AZ143" s="19">
        <v>6.7968261189286636</v>
      </c>
      <c r="BA143" s="19">
        <v>5.9500881447389702</v>
      </c>
      <c r="BB143" s="19">
        <v>3.5389120531784215</v>
      </c>
      <c r="BC143" s="19">
        <v>8.0159673704046384</v>
      </c>
      <c r="BD143" s="19">
        <v>8.6694830116057062</v>
      </c>
      <c r="BE143" s="19">
        <v>8.6321813769906015</v>
      </c>
      <c r="BF143" s="19">
        <v>4.0517463303875019</v>
      </c>
      <c r="BG143" s="19">
        <v>6.3779788968496547</v>
      </c>
      <c r="BH143" s="19">
        <v>4.2059554750160117</v>
      </c>
      <c r="BI143" s="19">
        <v>5.0536248899308873</v>
      </c>
      <c r="BJ143" s="19">
        <v>6.4606812708099426</v>
      </c>
      <c r="BK143" s="19">
        <v>2.3100842550493326</v>
      </c>
      <c r="BL143" s="19">
        <v>-0.22048388682482312</v>
      </c>
      <c r="BM143" s="19">
        <v>-3.4722968190288128</v>
      </c>
      <c r="BN143" s="19">
        <v>3.3267638178144665</v>
      </c>
    </row>
    <row r="144" spans="1:66" x14ac:dyDescent="0.2">
      <c r="A144" s="19" t="s">
        <v>667</v>
      </c>
      <c r="B144" s="19" t="s">
        <v>1002</v>
      </c>
      <c r="C144" s="19" t="s">
        <v>863</v>
      </c>
      <c r="D144" s="19" t="s">
        <v>864</v>
      </c>
      <c r="F144" s="19">
        <v>3.4986864546968661</v>
      </c>
      <c r="G144" s="19">
        <v>3.112215422350431</v>
      </c>
      <c r="H144" s="19">
        <v>6.3789674933784113</v>
      </c>
      <c r="I144" s="19">
        <v>6.5580604507979672</v>
      </c>
      <c r="J144" s="19">
        <v>3.7151328398770289</v>
      </c>
      <c r="K144" s="19">
        <v>2.5802890426984959</v>
      </c>
      <c r="L144" s="19">
        <v>3.1344153190307651</v>
      </c>
      <c r="M144" s="19">
        <v>6.2699073491950088</v>
      </c>
      <c r="N144" s="19">
        <v>9.1497853360370556</v>
      </c>
      <c r="O144" s="19">
        <v>8.8046875920559273</v>
      </c>
      <c r="P144" s="19">
        <v>5.9482253498557753</v>
      </c>
      <c r="Q144" s="19">
        <v>5.4271775718773796</v>
      </c>
      <c r="R144" s="19">
        <v>5.4800773018023534</v>
      </c>
      <c r="S144" s="19">
        <v>5.3910854404615662</v>
      </c>
      <c r="T144" s="19">
        <v>2.9949830492807621</v>
      </c>
      <c r="U144" s="19">
        <v>8.3408932019125075</v>
      </c>
      <c r="V144" s="19">
        <v>4.2864639312557102</v>
      </c>
      <c r="W144" s="19">
        <v>0.91124758154774099</v>
      </c>
      <c r="X144" s="19">
        <v>-9.783208615726835E-2</v>
      </c>
      <c r="Y144" s="19">
        <v>1.1536399397010513</v>
      </c>
      <c r="Z144" s="19">
        <v>1.691851748252688</v>
      </c>
      <c r="AA144" s="19">
        <v>4.633870821672275</v>
      </c>
      <c r="AB144" s="19">
        <v>3.8951187222126151</v>
      </c>
      <c r="AC144" s="19">
        <v>1.979460062723291</v>
      </c>
      <c r="AD144" s="19">
        <v>3.5459192894770553</v>
      </c>
      <c r="AE144" s="19">
        <v>2.2540950032293097</v>
      </c>
      <c r="AF144" s="19">
        <v>3.1440002051245131</v>
      </c>
      <c r="AG144" s="19">
        <v>4.6872672741655066</v>
      </c>
      <c r="AH144" s="19">
        <v>4.484781987755909</v>
      </c>
      <c r="AI144" s="19">
        <v>4.9827356642920364</v>
      </c>
      <c r="AJ144" s="19">
        <v>2.6372295303409317</v>
      </c>
      <c r="AK144" s="19">
        <v>2.9673259196741952</v>
      </c>
      <c r="AL144" s="19">
        <v>1.4113223998515707</v>
      </c>
      <c r="AM144" s="19">
        <v>2.4774197669797502</v>
      </c>
      <c r="AN144" s="19">
        <v>4.6671793132627641</v>
      </c>
      <c r="AO144" s="19">
        <v>5.96647658074248</v>
      </c>
      <c r="AP144" s="19">
        <v>3.6034792153446489</v>
      </c>
      <c r="AQ144" s="19">
        <v>1.3547216075933335</v>
      </c>
      <c r="AR144" s="19">
        <v>4.236896928919748</v>
      </c>
      <c r="AS144" s="19">
        <v>4.42891623944017</v>
      </c>
      <c r="AT144" s="19">
        <v>4.1045143139445202</v>
      </c>
      <c r="AU144" s="19">
        <v>4.8417152495271409</v>
      </c>
      <c r="AV144" s="19">
        <v>6.164487407199573</v>
      </c>
      <c r="AW144" s="19">
        <v>6.5616184865922236</v>
      </c>
      <c r="AX144" s="19">
        <v>6.0872615571717432</v>
      </c>
      <c r="AY144" s="19">
        <v>6.4346331986845371</v>
      </c>
      <c r="AZ144" s="19">
        <v>6.8729130687741105</v>
      </c>
      <c r="BA144" s="19">
        <v>4.234326456561547</v>
      </c>
      <c r="BB144" s="19">
        <v>4.6521189902678657</v>
      </c>
      <c r="BC144" s="19">
        <v>6.6101669037608985</v>
      </c>
      <c r="BD144" s="19">
        <v>4.7821774467407039</v>
      </c>
      <c r="BE144" s="19">
        <v>4.4709075656221131</v>
      </c>
      <c r="BF144" s="19">
        <v>4.9922255632486383</v>
      </c>
      <c r="BG144" s="19">
        <v>5.8207263022742382</v>
      </c>
      <c r="BH144" s="19">
        <v>4.9999151392325416</v>
      </c>
      <c r="BI144" s="19">
        <v>5.6935057571304952</v>
      </c>
      <c r="BJ144" s="19">
        <v>5.100651938913046</v>
      </c>
      <c r="BK144" s="19">
        <v>4.8184285067727615</v>
      </c>
      <c r="BL144" s="19">
        <v>3.6829074289779413</v>
      </c>
      <c r="BM144" s="19">
        <v>-3.2246502639331283</v>
      </c>
      <c r="BN144" s="19">
        <v>5.5882908427374218</v>
      </c>
    </row>
    <row r="145" spans="1:66" x14ac:dyDescent="0.2">
      <c r="A145" s="19" t="s">
        <v>668</v>
      </c>
      <c r="B145" s="19" t="s">
        <v>1003</v>
      </c>
      <c r="C145" s="19" t="s">
        <v>863</v>
      </c>
      <c r="D145" s="19" t="s">
        <v>864</v>
      </c>
      <c r="F145" s="19">
        <v>0.94114721544642066</v>
      </c>
      <c r="G145" s="19">
        <v>3.5385179219151297</v>
      </c>
      <c r="H145" s="19">
        <v>4.6111620955314265</v>
      </c>
      <c r="I145" s="19">
        <v>7.66128271911208</v>
      </c>
      <c r="J145" s="19">
        <v>5.8962660910602693</v>
      </c>
      <c r="K145" s="19">
        <v>4.7592371411334682</v>
      </c>
      <c r="L145" s="19">
        <v>3.1437849151343187</v>
      </c>
      <c r="M145" s="19">
        <v>5.7050243572523556</v>
      </c>
      <c r="N145" s="19">
        <v>8.1794630449000323</v>
      </c>
      <c r="O145" s="19">
        <v>8.3165996566989548</v>
      </c>
      <c r="P145" s="19">
        <v>6.3844931196093739</v>
      </c>
      <c r="Q145" s="19">
        <v>6.0498542409724649</v>
      </c>
      <c r="R145" s="19">
        <v>6.9492602454220105</v>
      </c>
      <c r="S145" s="19">
        <v>5.8706774954481205</v>
      </c>
      <c r="T145" s="19">
        <v>4.3106323125767574</v>
      </c>
      <c r="U145" s="19">
        <v>6.0937815129067872</v>
      </c>
      <c r="V145" s="19">
        <v>4.5591628346094808</v>
      </c>
      <c r="W145" s="19">
        <v>3.5985167202071722</v>
      </c>
      <c r="X145" s="19">
        <v>4.474063273424477</v>
      </c>
      <c r="Y145" s="19">
        <v>4.817768701912243</v>
      </c>
      <c r="Z145" s="19">
        <v>2.0741878153433362</v>
      </c>
      <c r="AA145" s="19">
        <v>2.7972774094764787</v>
      </c>
      <c r="AB145" s="19">
        <v>1.8843947207554805</v>
      </c>
      <c r="AC145" s="19">
        <v>4.7175003205963719</v>
      </c>
      <c r="AD145" s="19">
        <v>4.4146810884645191</v>
      </c>
      <c r="AE145" s="19">
        <v>4.0214124759176286</v>
      </c>
      <c r="AF145" s="19">
        <v>4.8503126900327516</v>
      </c>
      <c r="AG145" s="19">
        <v>4.1146489701378499</v>
      </c>
      <c r="AH145" s="19">
        <v>3.0468887937076232</v>
      </c>
      <c r="AI145" s="19">
        <v>2.0509591411212398</v>
      </c>
      <c r="AJ145" s="19">
        <v>1.546372584973625</v>
      </c>
      <c r="AK145" s="19">
        <v>1.644237591892491</v>
      </c>
      <c r="AL145" s="19">
        <v>3.3943641405192579</v>
      </c>
      <c r="AM145" s="19">
        <v>3.3561735000050277</v>
      </c>
      <c r="AN145" s="19">
        <v>3.8743932071951548</v>
      </c>
      <c r="AO145" s="19">
        <v>5.4745329499515947</v>
      </c>
      <c r="AP145" s="19">
        <v>5.2492976538635077</v>
      </c>
      <c r="AQ145" s="19">
        <v>2.6203657043011361</v>
      </c>
      <c r="AR145" s="19">
        <v>3.7992208829605687</v>
      </c>
      <c r="AS145" s="19">
        <v>5.8289969035082834</v>
      </c>
      <c r="AT145" s="19">
        <v>3.7732153813044675</v>
      </c>
      <c r="AU145" s="19">
        <v>4.7615806412974138</v>
      </c>
      <c r="AV145" s="19">
        <v>6.0150539984578302</v>
      </c>
      <c r="AW145" s="19">
        <v>7.6700888979371484</v>
      </c>
      <c r="AX145" s="19">
        <v>7.2805901205204009</v>
      </c>
      <c r="AY145" s="19">
        <v>8.1902144783585271</v>
      </c>
      <c r="AZ145" s="19">
        <v>8.8603767210245934</v>
      </c>
      <c r="BA145" s="19">
        <v>5.8928371897951592</v>
      </c>
      <c r="BB145" s="19">
        <v>3.2078540773106283</v>
      </c>
      <c r="BC145" s="19">
        <v>7.9297764724988866</v>
      </c>
      <c r="BD145" s="19">
        <v>6.2570139122035044</v>
      </c>
      <c r="BE145" s="19">
        <v>5.3659855726777721</v>
      </c>
      <c r="BF145" s="19">
        <v>5.3936757077041051</v>
      </c>
      <c r="BG145" s="19">
        <v>4.9833923160964559</v>
      </c>
      <c r="BH145" s="19">
        <v>4.3942572905931456</v>
      </c>
      <c r="BI145" s="19">
        <v>4.557350781209621</v>
      </c>
      <c r="BJ145" s="19">
        <v>5.1611308538460179</v>
      </c>
      <c r="BK145" s="19">
        <v>4.8819741182497296</v>
      </c>
      <c r="BL145" s="19">
        <v>3.9848611202831279</v>
      </c>
      <c r="BM145" s="19">
        <v>-1.2242857335018442</v>
      </c>
      <c r="BN145" s="19">
        <v>6.874833365670824</v>
      </c>
    </row>
    <row r="146" spans="1:66" x14ac:dyDescent="0.2">
      <c r="A146" s="19" t="s">
        <v>669</v>
      </c>
      <c r="B146" s="19" t="s">
        <v>1004</v>
      </c>
      <c r="C146" s="19" t="s">
        <v>863</v>
      </c>
      <c r="D146" s="19" t="s">
        <v>864</v>
      </c>
      <c r="F146" s="19">
        <v>1.8647951656280242</v>
      </c>
      <c r="G146" s="19">
        <v>15.331814327257661</v>
      </c>
      <c r="H146" s="19">
        <v>10.615069994894682</v>
      </c>
      <c r="I146" s="19">
        <v>8.2511181236127271</v>
      </c>
      <c r="J146" s="19">
        <v>2.1541055684121346</v>
      </c>
      <c r="K146" s="19">
        <v>-0.40552138784256897</v>
      </c>
      <c r="L146" s="19">
        <v>10.91206151687291</v>
      </c>
      <c r="M146" s="19">
        <v>-0.36712003855366504</v>
      </c>
      <c r="N146" s="19">
        <v>1.5475366910074655</v>
      </c>
      <c r="O146" s="19">
        <v>2.1770711685564379</v>
      </c>
      <c r="P146" s="19">
        <v>5.1137177133657019</v>
      </c>
      <c r="Q146" s="19">
        <v>-0.20270834665795689</v>
      </c>
      <c r="R146" s="19">
        <v>26.404881061347425</v>
      </c>
      <c r="S146" s="19">
        <v>10.980088950599992</v>
      </c>
      <c r="T146" s="19">
        <v>-13.51349755814789</v>
      </c>
      <c r="U146" s="19">
        <v>11.049129161566157</v>
      </c>
      <c r="V146" s="19">
        <v>21.809034965751167</v>
      </c>
      <c r="W146" s="19">
        <v>18.316874889719756</v>
      </c>
      <c r="X146" s="19">
        <v>2.8939187784275759</v>
      </c>
      <c r="Y146" s="19">
        <v>-2.7447792399756139</v>
      </c>
      <c r="Z146" s="19">
        <v>0.6946381440428695</v>
      </c>
      <c r="AA146" s="19">
        <v>4.4572038895704509</v>
      </c>
      <c r="AB146" s="19">
        <v>1.9861653533897083</v>
      </c>
      <c r="AC146" s="19">
        <v>5.5348978261815489</v>
      </c>
      <c r="AD146" s="19">
        <v>2.6102493302488767</v>
      </c>
      <c r="AE146" s="19">
        <v>4.6848560368771643</v>
      </c>
      <c r="AF146" s="19">
        <v>0.72972821977677427</v>
      </c>
      <c r="AG146" s="19">
        <v>8.6019190785082458</v>
      </c>
      <c r="AH146" s="19">
        <v>5.7952444076923939</v>
      </c>
      <c r="AI146" s="19">
        <v>6.0454733294344862</v>
      </c>
      <c r="AJ146" s="19">
        <v>6.9666071138825885</v>
      </c>
      <c r="AK146" s="19">
        <v>6.956364956920595</v>
      </c>
      <c r="AL146" s="19">
        <v>3.5097664776681796</v>
      </c>
      <c r="AM146" s="19">
        <v>5.9798731275517554</v>
      </c>
      <c r="AN146" s="19">
        <v>3.2909385464143526</v>
      </c>
      <c r="AO146" s="19">
        <v>5.5970357593324849</v>
      </c>
      <c r="AP146" s="19">
        <v>3.7036035958789171</v>
      </c>
      <c r="AQ146" s="19">
        <v>1.5376556395092962</v>
      </c>
      <c r="AR146" s="19">
        <v>0.4760251020651225</v>
      </c>
      <c r="AS146" s="19">
        <v>3.8755468142557987</v>
      </c>
      <c r="AT146" s="19">
        <v>3.5615821908514818</v>
      </c>
      <c r="AU146" s="19">
        <v>0.72383596148732465</v>
      </c>
      <c r="AV146" s="19">
        <v>4.5597768113034647</v>
      </c>
      <c r="AW146" s="19">
        <v>1.6923742064221869</v>
      </c>
      <c r="AX146" s="19">
        <v>3.4661224814424259</v>
      </c>
      <c r="AY146" s="19">
        <v>4.2300948540936645</v>
      </c>
      <c r="AZ146" s="19">
        <v>4.1879144179963106</v>
      </c>
      <c r="BA146" s="19">
        <v>5.522028201268725</v>
      </c>
      <c r="BB146" s="19">
        <v>-1.2555146257260361</v>
      </c>
      <c r="BC146" s="19">
        <v>5.2662806528622497</v>
      </c>
      <c r="BD146" s="19">
        <v>4.6142522376624697</v>
      </c>
      <c r="BE146" s="19">
        <v>6.3348217011689911</v>
      </c>
      <c r="BF146" s="19">
        <v>1.7925314446657836</v>
      </c>
      <c r="BG146" s="19">
        <v>1.7105440042255964</v>
      </c>
      <c r="BH146" s="19">
        <v>3.127557723829554</v>
      </c>
      <c r="BI146" s="19">
        <v>3.6054000479454231</v>
      </c>
      <c r="BJ146" s="19">
        <v>-3.1381749233922136</v>
      </c>
      <c r="BK146" s="19">
        <v>7.1538723470325749E-2</v>
      </c>
      <c r="BL146" s="19">
        <v>0.92750332023348392</v>
      </c>
      <c r="BM146" s="19">
        <v>-8.3563957337933772</v>
      </c>
      <c r="BN146" s="19">
        <v>1.347623155082033</v>
      </c>
    </row>
    <row r="147" spans="1:66" x14ac:dyDescent="0.2">
      <c r="A147" s="19" t="s">
        <v>670</v>
      </c>
      <c r="B147" s="19" t="s">
        <v>1005</v>
      </c>
      <c r="C147" s="19" t="s">
        <v>863</v>
      </c>
      <c r="D147" s="19" t="s">
        <v>864</v>
      </c>
      <c r="F147" s="19">
        <v>-4.2505703759006082</v>
      </c>
      <c r="G147" s="19">
        <v>3.0206465646236893</v>
      </c>
      <c r="H147" s="19">
        <v>4.231368430333049</v>
      </c>
      <c r="I147" s="19">
        <v>7.5478619548787833</v>
      </c>
      <c r="J147" s="19">
        <v>6.967709174054761</v>
      </c>
      <c r="K147" s="19">
        <v>8.0503894552086877</v>
      </c>
      <c r="L147" s="19">
        <v>1.6185602740976748</v>
      </c>
      <c r="M147" s="19">
        <v>5.151550943832774</v>
      </c>
      <c r="N147" s="19">
        <v>10.190833580068755</v>
      </c>
      <c r="O147" s="19">
        <v>11.245027934820556</v>
      </c>
      <c r="P147" s="19">
        <v>8.1488548705341373</v>
      </c>
      <c r="Q147" s="19">
        <v>7.489280815123152</v>
      </c>
      <c r="R147" s="19">
        <v>9.1110629174735891</v>
      </c>
      <c r="S147" s="19">
        <v>5.5180102330159428</v>
      </c>
      <c r="T147" s="19">
        <v>4.9194853470591653</v>
      </c>
      <c r="U147" s="19">
        <v>6.5488141491868674</v>
      </c>
      <c r="V147" s="19">
        <v>6.7677501871826138</v>
      </c>
      <c r="W147" s="19">
        <v>6.6266360574448413</v>
      </c>
      <c r="X147" s="19">
        <v>7.5480953369316524</v>
      </c>
      <c r="Y147" s="19">
        <v>8.2874922902788484</v>
      </c>
      <c r="Z147" s="19">
        <v>0.61975589069807313</v>
      </c>
      <c r="AA147" s="19">
        <v>2.2770745026225967</v>
      </c>
      <c r="AB147" s="19">
        <v>1.6945027267352373</v>
      </c>
      <c r="AC147" s="19">
        <v>7.9238412516492502</v>
      </c>
      <c r="AD147" s="19">
        <v>7.5435758026440851</v>
      </c>
      <c r="AE147" s="19">
        <v>5.788495104925488</v>
      </c>
      <c r="AF147" s="19">
        <v>6.4526707651877473</v>
      </c>
      <c r="AG147" s="19">
        <v>5.375336226005075</v>
      </c>
      <c r="AH147" s="19">
        <v>4.4562732398256912</v>
      </c>
      <c r="AI147" s="19">
        <v>0.48388889612205332</v>
      </c>
      <c r="AJ147" s="19">
        <v>1.0531075278091322</v>
      </c>
      <c r="AK147" s="19">
        <v>0.70047031946505456</v>
      </c>
      <c r="AL147" s="19">
        <v>4.3875446098071649</v>
      </c>
      <c r="AM147" s="19">
        <v>4.4879250230496694</v>
      </c>
      <c r="AN147" s="19">
        <v>5.6681824369887863</v>
      </c>
      <c r="AO147" s="19">
        <v>5.0708421536088935</v>
      </c>
      <c r="AP147" s="19">
        <v>5.5193751499764261</v>
      </c>
      <c r="AQ147" s="19">
        <v>2.7863004887830982</v>
      </c>
      <c r="AR147" s="19">
        <v>4.6318313026056757</v>
      </c>
      <c r="AS147" s="19">
        <v>6.9777608246226208</v>
      </c>
      <c r="AT147" s="19">
        <v>5.1859563497322938</v>
      </c>
      <c r="AU147" s="19">
        <v>5.9893919482943829</v>
      </c>
      <c r="AV147" s="19">
        <v>6.8195987708997734</v>
      </c>
      <c r="AW147" s="19">
        <v>8.1819031973715539</v>
      </c>
      <c r="AX147" s="19">
        <v>7.7484083156168282</v>
      </c>
      <c r="AY147" s="19">
        <v>9.2826113618263975</v>
      </c>
      <c r="AZ147" s="19">
        <v>10.22376069150674</v>
      </c>
      <c r="BA147" s="19">
        <v>6.9242354495227261</v>
      </c>
      <c r="BB147" s="19">
        <v>3.7061588469899931</v>
      </c>
      <c r="BC147" s="19">
        <v>8.0241487865368271</v>
      </c>
      <c r="BD147" s="19">
        <v>7.1926191974243068</v>
      </c>
      <c r="BE147" s="19">
        <v>5.8799525345831825</v>
      </c>
      <c r="BF147" s="19">
        <v>5.6138471797659122</v>
      </c>
      <c r="BG147" s="19">
        <v>5.3123196987071992</v>
      </c>
      <c r="BH147" s="19">
        <v>4.6998876976063002</v>
      </c>
      <c r="BI147" s="19">
        <v>4.4773563732673125</v>
      </c>
      <c r="BJ147" s="19">
        <v>5.2986471647529498</v>
      </c>
      <c r="BK147" s="19">
        <v>5.4262994932156516</v>
      </c>
      <c r="BL147" s="19">
        <v>4.6489607206044496</v>
      </c>
      <c r="BM147" s="19">
        <v>0.13423552386228721</v>
      </c>
      <c r="BN147" s="19">
        <v>7.1216784615274236</v>
      </c>
    </row>
    <row r="148" spans="1:66" x14ac:dyDescent="0.2">
      <c r="A148" s="19" t="s">
        <v>671</v>
      </c>
      <c r="B148" s="19" t="s">
        <v>1006</v>
      </c>
      <c r="C148" s="19" t="s">
        <v>863</v>
      </c>
      <c r="D148" s="19" t="s">
        <v>864</v>
      </c>
      <c r="AO148" s="19">
        <v>5.1584643174707168</v>
      </c>
      <c r="AP148" s="19">
        <v>8.3109215618724761</v>
      </c>
      <c r="AQ148" s="19">
        <v>7.475758724330575</v>
      </c>
      <c r="AR148" s="19">
        <v>-1.1415711562555657</v>
      </c>
      <c r="AS148" s="19">
        <v>3.6955254210777611</v>
      </c>
      <c r="AT148" s="19">
        <v>6.5261089024880619</v>
      </c>
      <c r="AU148" s="19">
        <v>6.7514145759237607</v>
      </c>
      <c r="AV148" s="19">
        <v>10.565956988761954</v>
      </c>
      <c r="AW148" s="19">
        <v>6.5694901175359348</v>
      </c>
      <c r="AX148" s="19">
        <v>7.7323676036054536</v>
      </c>
      <c r="AY148" s="19">
        <v>7.4141213354571534</v>
      </c>
      <c r="AZ148" s="19">
        <v>11.107480141050146</v>
      </c>
      <c r="BA148" s="19">
        <v>2.6144230332873235</v>
      </c>
      <c r="BB148" s="19">
        <v>-14.838608373598561</v>
      </c>
      <c r="BC148" s="19">
        <v>1.651240653283665</v>
      </c>
      <c r="BD148" s="19">
        <v>6.0390081604034407</v>
      </c>
      <c r="BE148" s="19">
        <v>3.8438647490633997</v>
      </c>
      <c r="BF148" s="19">
        <v>3.55007284270485</v>
      </c>
      <c r="BG148" s="19">
        <v>3.5370098790161109</v>
      </c>
      <c r="BH148" s="19">
        <v>2.0245839546918205</v>
      </c>
      <c r="BI148" s="19">
        <v>2.5188282730717759</v>
      </c>
      <c r="BJ148" s="19">
        <v>4.2825969512076085</v>
      </c>
      <c r="BK148" s="19">
        <v>3.9933103279532673</v>
      </c>
      <c r="BL148" s="19">
        <v>4.6251031390767423</v>
      </c>
      <c r="BM148" s="19">
        <v>-2.1762974003621594E-2</v>
      </c>
      <c r="BN148" s="19">
        <v>5.9810321127850159</v>
      </c>
    </row>
    <row r="149" spans="1:66" x14ac:dyDescent="0.2">
      <c r="A149" s="19" t="s">
        <v>672</v>
      </c>
      <c r="B149" s="19" t="s">
        <v>1007</v>
      </c>
      <c r="C149" s="19" t="s">
        <v>863</v>
      </c>
      <c r="D149" s="19" t="s">
        <v>864</v>
      </c>
      <c r="F149" s="19">
        <v>3.8299831217404972</v>
      </c>
      <c r="G149" s="19">
        <v>1.3586776709487651</v>
      </c>
      <c r="H149" s="19">
        <v>3.4391085403849786</v>
      </c>
      <c r="I149" s="19">
        <v>7.8658288190158743</v>
      </c>
      <c r="J149" s="19">
        <v>-0.73493360448098599</v>
      </c>
      <c r="K149" s="19">
        <v>1.1059041123590703</v>
      </c>
      <c r="L149" s="19">
        <v>0.2167308115732709</v>
      </c>
      <c r="M149" s="19">
        <v>4.1838724267902876</v>
      </c>
      <c r="N149" s="19">
        <v>9.97285794333051</v>
      </c>
      <c r="O149" s="19">
        <v>11.094452813026763</v>
      </c>
      <c r="P149" s="19">
        <v>2.6672335856773799</v>
      </c>
      <c r="Q149" s="19">
        <v>6.5981984775396398</v>
      </c>
      <c r="R149" s="19">
        <v>8.3126685679681458</v>
      </c>
      <c r="S149" s="19">
        <v>4.2124747775486071</v>
      </c>
      <c r="T149" s="19">
        <v>-6.5713729245354671</v>
      </c>
      <c r="U149" s="19">
        <v>2.5343339451280968</v>
      </c>
      <c r="V149" s="19">
        <v>1.5697714423241251</v>
      </c>
      <c r="W149" s="19">
        <v>4.0749720553770175</v>
      </c>
      <c r="X149" s="19">
        <v>2.3456114331106335</v>
      </c>
      <c r="Y149" s="19">
        <v>0.84088298433060515</v>
      </c>
      <c r="Z149" s="19">
        <v>-0.55095551966849143</v>
      </c>
      <c r="AA149" s="19">
        <v>1.1313029397002907</v>
      </c>
      <c r="AB149" s="19">
        <v>2.9890759969876513</v>
      </c>
      <c r="AC149" s="19">
        <v>6.1869370101606194</v>
      </c>
      <c r="AD149" s="19">
        <v>2.7917044649977925</v>
      </c>
      <c r="AE149" s="19">
        <v>9.9839391628032246</v>
      </c>
      <c r="AF149" s="19">
        <v>3.9509745341286191</v>
      </c>
      <c r="AG149" s="19">
        <v>8.46328294386214</v>
      </c>
      <c r="AH149" s="19">
        <v>9.7980653580934813</v>
      </c>
      <c r="AI149" s="19">
        <v>5.3199311273379521</v>
      </c>
      <c r="AJ149" s="19">
        <v>8.6441880240439701</v>
      </c>
      <c r="AK149" s="19">
        <v>1.8196524522508213</v>
      </c>
      <c r="AL149" s="19">
        <v>4.2006507033439959</v>
      </c>
      <c r="AM149" s="19">
        <v>3.8209201953931142</v>
      </c>
      <c r="AN149" s="19">
        <v>1.4321999889902912</v>
      </c>
      <c r="AO149" s="19">
        <v>1.3980744826682212</v>
      </c>
      <c r="AP149" s="19">
        <v>5.4198332943143441</v>
      </c>
      <c r="AQ149" s="19">
        <v>6.6745121896996267</v>
      </c>
      <c r="AR149" s="19">
        <v>8.1751815627631572</v>
      </c>
      <c r="AS149" s="19">
        <v>6.938130249393339</v>
      </c>
      <c r="AT149" s="19">
        <v>3.0743549992987624</v>
      </c>
      <c r="AU149" s="19">
        <v>3.2254168997207984</v>
      </c>
      <c r="AV149" s="19">
        <v>2.6193785793916504</v>
      </c>
      <c r="AW149" s="19">
        <v>4.2318913073558235</v>
      </c>
      <c r="AX149" s="19">
        <v>2.4828747481147246</v>
      </c>
      <c r="AY149" s="19">
        <v>6.0167150440274071</v>
      </c>
      <c r="AZ149" s="19">
        <v>8.0986676066054031</v>
      </c>
      <c r="BA149" s="19">
        <v>-0.30017619444267041</v>
      </c>
      <c r="BB149" s="19">
        <v>-3.2389540268318768</v>
      </c>
      <c r="BC149" s="19">
        <v>3.7604135925509468</v>
      </c>
      <c r="BD149" s="19">
        <v>1.0442986945573125</v>
      </c>
      <c r="BE149" s="19">
        <v>1.6499020297865172</v>
      </c>
      <c r="BF149" s="19">
        <v>3.1717904991600534</v>
      </c>
      <c r="BG149" s="19">
        <v>2.6230860157719178</v>
      </c>
      <c r="BH149" s="19">
        <v>2.2697844841956538</v>
      </c>
      <c r="BI149" s="19">
        <v>4.9781904368162913</v>
      </c>
      <c r="BJ149" s="19">
        <v>1.3171876629367745</v>
      </c>
      <c r="BK149" s="19">
        <v>1.219321918563594</v>
      </c>
      <c r="BL149" s="19">
        <v>2.3199252009373765</v>
      </c>
      <c r="BM149" s="19">
        <v>-0.79743558922258728</v>
      </c>
      <c r="BN149" s="19">
        <v>5.1024554465680438</v>
      </c>
    </row>
    <row r="150" spans="1:66" x14ac:dyDescent="0.2">
      <c r="A150" s="19" t="s">
        <v>673</v>
      </c>
      <c r="B150" s="19" t="s">
        <v>1008</v>
      </c>
      <c r="C150" s="19" t="s">
        <v>863</v>
      </c>
      <c r="D150" s="19" t="s">
        <v>864</v>
      </c>
      <c r="AO150" s="19">
        <v>2.5880153308638398</v>
      </c>
      <c r="AP150" s="19">
        <v>8.8369127840025783</v>
      </c>
      <c r="AQ150" s="19">
        <v>6.3359377841259317</v>
      </c>
      <c r="AR150" s="19">
        <v>2.7561742164455012</v>
      </c>
      <c r="AS150" s="19">
        <v>5.6757413118616569</v>
      </c>
      <c r="AT150" s="19">
        <v>6.3235081588281332</v>
      </c>
      <c r="AU150" s="19">
        <v>7.0881286569100581</v>
      </c>
      <c r="AV150" s="19">
        <v>8.4228622066856929</v>
      </c>
      <c r="AW150" s="19">
        <v>8.2841459778732371</v>
      </c>
      <c r="AX150" s="19">
        <v>10.720365956564876</v>
      </c>
      <c r="AY150" s="19">
        <v>11.97183569390215</v>
      </c>
      <c r="AZ150" s="19">
        <v>9.9419216276239979</v>
      </c>
      <c r="BA150" s="19">
        <v>-3.2491207230560235</v>
      </c>
      <c r="BB150" s="19">
        <v>-14.260140037713171</v>
      </c>
      <c r="BC150" s="19">
        <v>-4.4555672599809952</v>
      </c>
      <c r="BD150" s="19">
        <v>2.5737123633337688</v>
      </c>
      <c r="BE150" s="19">
        <v>7.0422471605450738</v>
      </c>
      <c r="BF150" s="19">
        <v>2.0079668787663678</v>
      </c>
      <c r="BG150" s="19">
        <v>1.9021726838050625</v>
      </c>
      <c r="BH150" s="19">
        <v>3.8852600542676328</v>
      </c>
      <c r="BI150" s="19">
        <v>2.3686147466442264</v>
      </c>
      <c r="BJ150" s="19">
        <v>3.3124759358745877</v>
      </c>
      <c r="BK150" s="19">
        <v>3.9918545047074758</v>
      </c>
      <c r="BL150" s="19">
        <v>2.5697038877106309</v>
      </c>
      <c r="BM150" s="19">
        <v>-2.2029853382514233</v>
      </c>
      <c r="BN150" s="19">
        <v>4.0680738633274132</v>
      </c>
    </row>
    <row r="151" spans="1:66" x14ac:dyDescent="0.2">
      <c r="A151" s="19" t="s">
        <v>674</v>
      </c>
      <c r="B151" s="19" t="s">
        <v>1009</v>
      </c>
      <c r="C151" s="19" t="s">
        <v>863</v>
      </c>
      <c r="D151" s="19" t="s">
        <v>864</v>
      </c>
      <c r="AB151" s="19">
        <v>10.023716654579658</v>
      </c>
      <c r="AC151" s="19">
        <v>8.4584825325566158</v>
      </c>
      <c r="AD151" s="19">
        <v>0.73257666595489468</v>
      </c>
      <c r="AE151" s="19">
        <v>6.6952565754072424</v>
      </c>
      <c r="AF151" s="19">
        <v>14.29248238656335</v>
      </c>
      <c r="AG151" s="19">
        <v>7.8117269505916909</v>
      </c>
      <c r="AH151" s="19">
        <v>5.0243714884591952</v>
      </c>
      <c r="AI151" s="19">
        <v>7.9796405205602383</v>
      </c>
      <c r="AJ151" s="19">
        <v>3.6594301963143181</v>
      </c>
      <c r="AK151" s="19">
        <v>13.299078929321269</v>
      </c>
      <c r="AL151" s="19">
        <v>5.1859646508855946</v>
      </c>
      <c r="AM151" s="19">
        <v>4.2530211146031434</v>
      </c>
      <c r="AN151" s="19">
        <v>3.2965633200010132</v>
      </c>
      <c r="AO151" s="19">
        <v>-0.41926653019952198</v>
      </c>
      <c r="AP151" s="19">
        <v>-0.27986229784283978</v>
      </c>
      <c r="AQ151" s="19">
        <v>-4.5706669315848814</v>
      </c>
      <c r="AR151" s="19">
        <v>-2.3587892878521046</v>
      </c>
      <c r="AS151" s="19">
        <v>5.7466770914777214</v>
      </c>
      <c r="AT151" s="19">
        <v>2.8885901529154694</v>
      </c>
      <c r="AU151" s="19">
        <v>8.9108102369792164</v>
      </c>
      <c r="AV151" s="19">
        <v>11.640548849066505</v>
      </c>
      <c r="AW151" s="19">
        <v>26.630847241344568</v>
      </c>
      <c r="AX151" s="19">
        <v>8.0754400759492313</v>
      </c>
      <c r="AY151" s="19">
        <v>13.390390287231384</v>
      </c>
      <c r="AZ151" s="19">
        <v>14.476389147360621</v>
      </c>
      <c r="BA151" s="19">
        <v>3.3915798387950531</v>
      </c>
      <c r="BB151" s="19">
        <v>1.2743208802138355</v>
      </c>
      <c r="BC151" s="19">
        <v>25.122759636631486</v>
      </c>
      <c r="BD151" s="19">
        <v>21.616528877923486</v>
      </c>
      <c r="BE151" s="19">
        <v>9.2422459284005924</v>
      </c>
      <c r="BF151" s="19">
        <v>10.752853990373751</v>
      </c>
      <c r="BG151" s="19">
        <v>-2.0483806124550199</v>
      </c>
      <c r="BH151" s="19">
        <v>-21.514405269585751</v>
      </c>
      <c r="BI151" s="19">
        <v>-0.67906084507617948</v>
      </c>
      <c r="BJ151" s="19">
        <v>9.9833055091819602</v>
      </c>
      <c r="BK151" s="19">
        <v>6.4646676941758869</v>
      </c>
      <c r="BL151" s="19">
        <v>-2.5119378464278554</v>
      </c>
      <c r="BM151" s="19">
        <v>-54.235900020474695</v>
      </c>
      <c r="BN151" s="19">
        <v>19.267056376875004</v>
      </c>
    </row>
    <row r="152" spans="1:66" x14ac:dyDescent="0.2">
      <c r="A152" s="19" t="s">
        <v>675</v>
      </c>
      <c r="B152" s="19" t="s">
        <v>1010</v>
      </c>
      <c r="C152" s="19" t="s">
        <v>863</v>
      </c>
      <c r="D152" s="19" t="s">
        <v>864</v>
      </c>
    </row>
    <row r="153" spans="1:66" x14ac:dyDescent="0.2">
      <c r="A153" s="19" t="s">
        <v>676</v>
      </c>
      <c r="B153" s="19" t="s">
        <v>1011</v>
      </c>
      <c r="C153" s="19" t="s">
        <v>863</v>
      </c>
      <c r="D153" s="19" t="s">
        <v>864</v>
      </c>
      <c r="L153" s="19">
        <v>10.028841359946284</v>
      </c>
      <c r="M153" s="19">
        <v>9.8917393064322852</v>
      </c>
      <c r="N153" s="19">
        <v>8.3621653566757601</v>
      </c>
      <c r="O153" s="19">
        <v>4.7134603755210662</v>
      </c>
      <c r="P153" s="19">
        <v>5.5968936591497283</v>
      </c>
      <c r="Q153" s="19">
        <v>2.4372373471504005</v>
      </c>
      <c r="R153" s="19">
        <v>3.5593108319180686</v>
      </c>
      <c r="S153" s="19">
        <v>5.5960499445237133</v>
      </c>
      <c r="T153" s="19">
        <v>7.5582215613043644</v>
      </c>
      <c r="U153" s="19">
        <v>10.812781344138187</v>
      </c>
      <c r="V153" s="19">
        <v>6.059167679164787</v>
      </c>
      <c r="W153" s="19">
        <v>2.2326633883009492</v>
      </c>
      <c r="X153" s="19">
        <v>4.7937872050954837</v>
      </c>
      <c r="Y153" s="19">
        <v>3.6421648133135704</v>
      </c>
      <c r="Z153" s="19">
        <v>-1.7434349304430157</v>
      </c>
      <c r="AA153" s="19">
        <v>8.9573720226426161</v>
      </c>
      <c r="AB153" s="19">
        <v>1.3865695771864068</v>
      </c>
      <c r="AC153" s="19">
        <v>6.4183863212760741</v>
      </c>
      <c r="AD153" s="19">
        <v>6.0076520715616937</v>
      </c>
      <c r="AE153" s="19">
        <v>9.2711057694760797</v>
      </c>
      <c r="AF153" s="19">
        <v>-0.32500407571899359</v>
      </c>
      <c r="AG153" s="19">
        <v>11.875235978807723</v>
      </c>
      <c r="AH153" s="19">
        <v>2.8462025812933405</v>
      </c>
      <c r="AI153" s="19">
        <v>3.4118122263137991</v>
      </c>
      <c r="AJ153" s="19">
        <v>7.2160881613823733</v>
      </c>
      <c r="AK153" s="19">
        <v>-2.0977387614765206</v>
      </c>
      <c r="AL153" s="19">
        <v>-0.74059169202217845</v>
      </c>
      <c r="AM153" s="19">
        <v>10.588000400616778</v>
      </c>
      <c r="AN153" s="19">
        <v>-5.4054478671599639</v>
      </c>
      <c r="AO153" s="19">
        <v>12.372876276007716</v>
      </c>
      <c r="AP153" s="19">
        <v>-1.5607023560645388</v>
      </c>
      <c r="AQ153" s="19">
        <v>7.2385526896538295</v>
      </c>
      <c r="AR153" s="19">
        <v>1.0813325617380514</v>
      </c>
      <c r="AS153" s="19">
        <v>1.9128729806376725</v>
      </c>
      <c r="AT153" s="19">
        <v>7.3199674542071733</v>
      </c>
      <c r="AU153" s="19">
        <v>3.1214496560053817</v>
      </c>
      <c r="AV153" s="19">
        <v>5.9611621547828406</v>
      </c>
      <c r="AW153" s="19">
        <v>4.797018362163243</v>
      </c>
      <c r="AX153" s="19">
        <v>3.2916396843359621</v>
      </c>
      <c r="AY153" s="19">
        <v>7.5746316445854092</v>
      </c>
      <c r="AZ153" s="19">
        <v>3.5315941515448941</v>
      </c>
      <c r="BA153" s="19">
        <v>5.9232776859759326</v>
      </c>
      <c r="BB153" s="19">
        <v>4.2437573208336659</v>
      </c>
      <c r="BC153" s="19">
        <v>3.8157179167666015</v>
      </c>
      <c r="BD153" s="19">
        <v>5.2456972972948535</v>
      </c>
      <c r="BE153" s="19">
        <v>3.0099612622197753</v>
      </c>
      <c r="BF153" s="19">
        <v>4.5354242000385625</v>
      </c>
      <c r="BG153" s="19">
        <v>19.047278797851249</v>
      </c>
      <c r="BH153" s="19">
        <v>4.3445829763523847</v>
      </c>
      <c r="BI153" s="19">
        <v>0.52118550920654627</v>
      </c>
      <c r="BJ153" s="19">
        <v>5.057898156634792</v>
      </c>
      <c r="BK153" s="19">
        <v>3.0656413336298698</v>
      </c>
      <c r="BL153" s="19">
        <v>2.8909747606534495</v>
      </c>
      <c r="BM153" s="19">
        <v>-7.187079581492938</v>
      </c>
      <c r="BN153" s="19">
        <v>7.9296679419552021</v>
      </c>
    </row>
    <row r="154" spans="1:66" x14ac:dyDescent="0.2">
      <c r="A154" s="19" t="s">
        <v>677</v>
      </c>
      <c r="B154" s="19" t="s">
        <v>1012</v>
      </c>
      <c r="C154" s="19" t="s">
        <v>863</v>
      </c>
      <c r="D154" s="19" t="s">
        <v>864</v>
      </c>
      <c r="P154" s="19">
        <v>5.228060023063378</v>
      </c>
      <c r="Q154" s="19">
        <v>4.6483096214373205</v>
      </c>
      <c r="R154" s="19">
        <v>6.5537575056864341</v>
      </c>
      <c r="S154" s="19">
        <v>4.4746110511306227</v>
      </c>
      <c r="T154" s="19">
        <v>-0.97263749474571171</v>
      </c>
      <c r="U154" s="19">
        <v>4.4116287846492241</v>
      </c>
      <c r="V154" s="19">
        <v>3.553236079710544</v>
      </c>
      <c r="W154" s="19">
        <v>3.9535513035134642</v>
      </c>
      <c r="X154" s="19">
        <v>3.5342049294161626</v>
      </c>
      <c r="Y154" s="19">
        <v>1.6854574337630481</v>
      </c>
      <c r="Z154" s="19">
        <v>0.92237836593504596</v>
      </c>
      <c r="AA154" s="19">
        <v>2.4323894752108544</v>
      </c>
      <c r="AB154" s="19">
        <v>1.1949733490347541</v>
      </c>
      <c r="AC154" s="19">
        <v>1.4845156308988408</v>
      </c>
      <c r="AD154" s="19">
        <v>1.7086996835429318</v>
      </c>
      <c r="AE154" s="19">
        <v>2.4523646833737303</v>
      </c>
      <c r="AF154" s="19">
        <v>2.4845741704003359</v>
      </c>
      <c r="AG154" s="19">
        <v>4.5986014753521545</v>
      </c>
      <c r="AH154" s="19">
        <v>4.1636593103913526</v>
      </c>
      <c r="AI154" s="19">
        <v>2.6434541705394849</v>
      </c>
      <c r="AJ154" s="19">
        <v>1.0151282413274316</v>
      </c>
      <c r="AK154" s="19">
        <v>1.3666396730978647</v>
      </c>
      <c r="AL154" s="19">
        <v>-0.91391880183739715</v>
      </c>
      <c r="AM154" s="19">
        <v>2.2156246895834073</v>
      </c>
      <c r="AN154" s="19">
        <v>2.1171512927233209</v>
      </c>
      <c r="AO154" s="19">
        <v>1.1107327489538079</v>
      </c>
      <c r="AP154" s="19">
        <v>2.2372487513952564</v>
      </c>
      <c r="AQ154" s="19">
        <v>3.5032652887007742</v>
      </c>
      <c r="AR154" s="19">
        <v>3.3005414611817088</v>
      </c>
      <c r="AS154" s="19">
        <v>3.9102291764120878</v>
      </c>
      <c r="AT154" s="19">
        <v>2.187734090617738</v>
      </c>
      <c r="AU154" s="19">
        <v>1.0264956389988811</v>
      </c>
      <c r="AV154" s="19">
        <v>1.0875367488713721</v>
      </c>
      <c r="AW154" s="19">
        <v>2.4704841678611587</v>
      </c>
      <c r="AX154" s="19">
        <v>1.8954135204132427</v>
      </c>
      <c r="AY154" s="19">
        <v>5.8039376359938757</v>
      </c>
      <c r="AZ154" s="19">
        <v>14.42889802846517</v>
      </c>
      <c r="BA154" s="19">
        <v>0.66683500332432288</v>
      </c>
      <c r="BB154" s="19">
        <v>-11.299999464199644</v>
      </c>
      <c r="BC154" s="19">
        <v>2.0999990500684618</v>
      </c>
      <c r="BD154" s="19">
        <v>7.0000000238562308</v>
      </c>
      <c r="BE154" s="19">
        <v>1.0122179612949083</v>
      </c>
      <c r="BF154" s="19">
        <v>9.5748907429479573</v>
      </c>
      <c r="BG154" s="19">
        <v>7.1891870115220513</v>
      </c>
      <c r="BH154" s="19">
        <v>4.8634732114333019</v>
      </c>
      <c r="BI154" s="19">
        <v>3.4515510474722504</v>
      </c>
      <c r="BJ154" s="19">
        <v>-3.5009614218649858</v>
      </c>
      <c r="BK154" s="19">
        <v>5.9562704197034293</v>
      </c>
      <c r="BL154" s="19">
        <v>6.9056654920032372</v>
      </c>
      <c r="BM154" s="19">
        <v>-12.965134706814581</v>
      </c>
      <c r="BN154" s="19">
        <v>21.553560698483224</v>
      </c>
    </row>
    <row r="155" spans="1:66" x14ac:dyDescent="0.2">
      <c r="A155" s="19" t="s">
        <v>678</v>
      </c>
      <c r="B155" s="19" t="s">
        <v>1013</v>
      </c>
      <c r="C155" s="19" t="s">
        <v>863</v>
      </c>
      <c r="D155" s="19" t="s">
        <v>864</v>
      </c>
      <c r="AO155" s="19">
        <v>-5.8770602051686893</v>
      </c>
      <c r="AP155" s="19">
        <v>1.6470645031067619</v>
      </c>
      <c r="AQ155" s="19">
        <v>-6.5421920230928805</v>
      </c>
      <c r="AR155" s="19">
        <v>-3.3682545291894286</v>
      </c>
      <c r="AS155" s="19">
        <v>2.1077160475442724</v>
      </c>
      <c r="AT155" s="19">
        <v>6.1000004128626273</v>
      </c>
      <c r="AU155" s="19">
        <v>7.7999996414997099</v>
      </c>
      <c r="AV155" s="19">
        <v>6.6000000377681971</v>
      </c>
      <c r="AW155" s="19">
        <v>7.3999996899107146</v>
      </c>
      <c r="AX155" s="19">
        <v>7.5000001386691366</v>
      </c>
      <c r="AY155" s="19">
        <v>4.799999850094764</v>
      </c>
      <c r="AZ155" s="19">
        <v>3.0000002396945575</v>
      </c>
      <c r="BA155" s="19">
        <v>7.8000001446595348</v>
      </c>
      <c r="BB155" s="19">
        <v>-6.000000289389078</v>
      </c>
      <c r="BC155" s="19">
        <v>7.1000000837927502</v>
      </c>
      <c r="BD155" s="19">
        <v>5.8181662188940635</v>
      </c>
      <c r="BE155" s="19">
        <v>-0.58973396301644243</v>
      </c>
      <c r="BF155" s="19">
        <v>9.0438655701199337</v>
      </c>
      <c r="BG155" s="19">
        <v>4.9996259230775451</v>
      </c>
      <c r="BH155" s="19">
        <v>-0.33823555865556898</v>
      </c>
      <c r="BI155" s="19">
        <v>4.4088867087336467</v>
      </c>
      <c r="BJ155" s="19">
        <v>4.6907936764986999</v>
      </c>
      <c r="BK155" s="19">
        <v>4.3014777570272713</v>
      </c>
      <c r="BL155" s="19">
        <v>3.6834038982591863</v>
      </c>
      <c r="BM155" s="19">
        <v>-7.3801821537048795</v>
      </c>
      <c r="BN155" s="19">
        <v>13.944589600636561</v>
      </c>
    </row>
    <row r="156" spans="1:66" x14ac:dyDescent="0.2">
      <c r="A156" s="19" t="s">
        <v>679</v>
      </c>
      <c r="B156" s="19" t="s">
        <v>1014</v>
      </c>
      <c r="C156" s="19" t="s">
        <v>863</v>
      </c>
      <c r="D156" s="19" t="s">
        <v>864</v>
      </c>
      <c r="F156" s="19">
        <v>2.0486327506124837</v>
      </c>
      <c r="G156" s="19">
        <v>2.2710697011123244</v>
      </c>
      <c r="H156" s="19">
        <v>-0.92940162279039384</v>
      </c>
      <c r="I156" s="19">
        <v>3.9625188465145698</v>
      </c>
      <c r="J156" s="19">
        <v>-0.45225386339750173</v>
      </c>
      <c r="K156" s="19">
        <v>2.0645524078982618</v>
      </c>
      <c r="L156" s="19">
        <v>5.5285656096770879</v>
      </c>
      <c r="M156" s="19">
        <v>6.8287860983492976</v>
      </c>
      <c r="N156" s="19">
        <v>3.721222168093675</v>
      </c>
      <c r="O156" s="19">
        <v>5.2764555754307736</v>
      </c>
      <c r="P156" s="19">
        <v>3.929365030783643</v>
      </c>
      <c r="Q156" s="19">
        <v>-1.2726215309689053</v>
      </c>
      <c r="R156" s="19">
        <v>-2.6184783296628495</v>
      </c>
      <c r="S156" s="19">
        <v>2.0068793796109503</v>
      </c>
      <c r="T156" s="19">
        <v>1.2586916345315444</v>
      </c>
      <c r="U156" s="19">
        <v>-3.0688583912995853</v>
      </c>
      <c r="V156" s="19">
        <v>2.3640003583404621</v>
      </c>
      <c r="W156" s="19">
        <v>-2.6618059640832143</v>
      </c>
      <c r="X156" s="19">
        <v>9.854650294431039</v>
      </c>
      <c r="Y156" s="19">
        <v>0.95270758544631917</v>
      </c>
      <c r="Z156" s="19">
        <v>-9.8000000008595265</v>
      </c>
      <c r="AA156" s="19">
        <v>-1.9000000000129944</v>
      </c>
      <c r="AB156" s="19">
        <v>0.89999999939620068</v>
      </c>
      <c r="AC156" s="19">
        <v>1.7601819429504246</v>
      </c>
      <c r="AD156" s="19">
        <v>1.15634413876586</v>
      </c>
      <c r="AE156" s="19">
        <v>1.9602248816339909</v>
      </c>
      <c r="AF156" s="19">
        <v>1.1749132610662514</v>
      </c>
      <c r="AG156" s="19">
        <v>3.4069292103673376</v>
      </c>
      <c r="AH156" s="19">
        <v>4.074880656830544</v>
      </c>
      <c r="AI156" s="19">
        <v>3.1289050504252458</v>
      </c>
      <c r="AJ156" s="19">
        <v>-6.3063515914491006</v>
      </c>
      <c r="AK156" s="19">
        <v>1.1808849422964016</v>
      </c>
      <c r="AL156" s="19">
        <v>2.09992318708629</v>
      </c>
      <c r="AM156" s="19">
        <v>-4.2101300703649258E-2</v>
      </c>
      <c r="AN156" s="19">
        <v>1.6785923173170829</v>
      </c>
      <c r="AO156" s="19">
        <v>2.1542044764896673</v>
      </c>
      <c r="AP156" s="19">
        <v>3.6934926158577639</v>
      </c>
      <c r="AQ156" s="19">
        <v>3.91707459882808</v>
      </c>
      <c r="AR156" s="19">
        <v>4.6992270438238819</v>
      </c>
      <c r="AS156" s="19">
        <v>4.4568589377860661</v>
      </c>
      <c r="AT156" s="19">
        <v>5.9802357642470838</v>
      </c>
      <c r="AU156" s="19">
        <v>-12.407971102275937</v>
      </c>
      <c r="AV156" s="19">
        <v>9.784892121364436</v>
      </c>
      <c r="AW156" s="19">
        <v>5.257003621480095</v>
      </c>
      <c r="AX156" s="19">
        <v>4.7558450966262598</v>
      </c>
      <c r="AY156" s="19">
        <v>5.3985084500447442</v>
      </c>
      <c r="AZ156" s="19">
        <v>5.7105641969030074</v>
      </c>
      <c r="BA156" s="19">
        <v>6.7126325424281532</v>
      </c>
      <c r="BB156" s="19">
        <v>-3.9787086128043256</v>
      </c>
      <c r="BC156" s="19">
        <v>0.61923974584779273</v>
      </c>
      <c r="BD156" s="19">
        <v>1.5784270512272371</v>
      </c>
      <c r="BE156" s="19">
        <v>3.0111481150705686</v>
      </c>
      <c r="BF156" s="19">
        <v>2.300376232135946</v>
      </c>
      <c r="BG156" s="19">
        <v>3.339203113050246</v>
      </c>
      <c r="BH156" s="19">
        <v>3.1322980726386902</v>
      </c>
      <c r="BI156" s="19">
        <v>3.9931460641238914</v>
      </c>
      <c r="BJ156" s="19">
        <v>3.933307594547415</v>
      </c>
      <c r="BK156" s="19">
        <v>3.194356514918951</v>
      </c>
      <c r="BL156" s="19">
        <v>4.411232130071312</v>
      </c>
      <c r="BM156" s="19">
        <v>-7.1376716215263087</v>
      </c>
      <c r="BN156" s="19">
        <v>4.402340000076137</v>
      </c>
    </row>
    <row r="157" spans="1:66" x14ac:dyDescent="0.2">
      <c r="A157" s="19" t="s">
        <v>680</v>
      </c>
      <c r="B157" s="19" t="s">
        <v>1015</v>
      </c>
      <c r="C157" s="19" t="s">
        <v>863</v>
      </c>
      <c r="D157" s="19" t="s">
        <v>864</v>
      </c>
      <c r="AO157" s="19">
        <v>7.8586469273005548</v>
      </c>
      <c r="AP157" s="19">
        <v>8.3979408298703788</v>
      </c>
      <c r="AQ157" s="19">
        <v>7.4946830246552167</v>
      </c>
      <c r="AR157" s="19">
        <v>6.1756558279580958</v>
      </c>
      <c r="AS157" s="19">
        <v>3.8458103920346929</v>
      </c>
      <c r="AT157" s="19">
        <v>-3.9436343541010928</v>
      </c>
      <c r="AU157" s="19">
        <v>7.2683863133168387</v>
      </c>
      <c r="AV157" s="19">
        <v>13.750049820489835</v>
      </c>
      <c r="AW157" s="19">
        <v>6.0337540486177659</v>
      </c>
      <c r="AX157" s="19">
        <v>-13.129053430508321</v>
      </c>
      <c r="AY157" s="19">
        <v>26.111493501055264</v>
      </c>
      <c r="AZ157" s="19">
        <v>7.7138672708470466</v>
      </c>
      <c r="BA157" s="19">
        <v>9.4853326605787345</v>
      </c>
      <c r="BB157" s="19">
        <v>-7.2288414652945789</v>
      </c>
      <c r="BC157" s="19">
        <v>7.2651290684013787</v>
      </c>
      <c r="BD157" s="19">
        <v>8.5667335305046066</v>
      </c>
      <c r="BE157" s="19">
        <v>2.5173839421968296</v>
      </c>
      <c r="BF157" s="19">
        <v>7.2810739789986627</v>
      </c>
      <c r="BG157" s="19">
        <v>7.3296262034468356</v>
      </c>
      <c r="BH157" s="19">
        <v>2.8845485296050981</v>
      </c>
      <c r="BI157" s="19">
        <v>6.3383006362677889</v>
      </c>
      <c r="BJ157" s="19">
        <v>7.2099101234514933</v>
      </c>
      <c r="BK157" s="19">
        <v>8.1231289081731433</v>
      </c>
      <c r="BL157" s="19">
        <v>7.097466014522098</v>
      </c>
      <c r="BM157" s="19">
        <v>-33.492795786488188</v>
      </c>
      <c r="BN157" s="19">
        <v>41.745100546420076</v>
      </c>
    </row>
    <row r="158" spans="1:66" x14ac:dyDescent="0.2">
      <c r="A158" s="19" t="s">
        <v>681</v>
      </c>
      <c r="B158" s="19" t="s">
        <v>1016</v>
      </c>
      <c r="C158" s="19" t="s">
        <v>863</v>
      </c>
      <c r="D158" s="19" t="s">
        <v>864</v>
      </c>
      <c r="U158" s="19">
        <v>16.572952441897272</v>
      </c>
      <c r="V158" s="19">
        <v>4.6384941340938752</v>
      </c>
      <c r="W158" s="19">
        <v>-4.1357931301601525</v>
      </c>
      <c r="X158" s="19">
        <v>5.1797722892505504</v>
      </c>
      <c r="Y158" s="19">
        <v>2.1796686446943028</v>
      </c>
      <c r="Z158" s="19">
        <v>1.6626631717578988</v>
      </c>
      <c r="AA158" s="19">
        <v>-3.6212382991058689</v>
      </c>
      <c r="AB158" s="19">
        <v>-2.9119007110990651</v>
      </c>
      <c r="AC158" s="19">
        <v>-0.47437830172188455</v>
      </c>
      <c r="AD158" s="19">
        <v>-1.0240599884051989</v>
      </c>
      <c r="AE158" s="19">
        <v>1.1201951819863893</v>
      </c>
      <c r="AF158" s="19">
        <v>-0.59505638149440188</v>
      </c>
      <c r="AG158" s="19">
        <v>3.5919302785451208</v>
      </c>
      <c r="AH158" s="19">
        <v>2.6753707624764331</v>
      </c>
      <c r="AI158" s="19">
        <v>13.142561198153629</v>
      </c>
      <c r="AJ158" s="19">
        <v>4.1690227526621157</v>
      </c>
      <c r="AK158" s="19">
        <v>4.7732517811414112</v>
      </c>
      <c r="AL158" s="19">
        <v>2.2224908342004994</v>
      </c>
      <c r="AM158" s="19">
        <v>2.4636266569668948</v>
      </c>
      <c r="AN158" s="19">
        <v>2.83879024474696</v>
      </c>
      <c r="AO158" s="19">
        <v>5.0456326469408026</v>
      </c>
      <c r="AP158" s="19">
        <v>3.7027521248565307</v>
      </c>
      <c r="AQ158" s="19">
        <v>4.5710266082063669</v>
      </c>
      <c r="AR158" s="19">
        <v>1.9794590069517142</v>
      </c>
      <c r="AS158" s="19">
        <v>6.7498987826595283</v>
      </c>
      <c r="AT158" s="19">
        <v>1.4872869923772782</v>
      </c>
      <c r="AU158" s="19">
        <v>1.4823848669064432</v>
      </c>
      <c r="AV158" s="19">
        <v>5.0485707539032347</v>
      </c>
      <c r="AW158" s="19">
        <v>7.8693956796844731</v>
      </c>
      <c r="AX158" s="19">
        <v>5.0155542687473798</v>
      </c>
      <c r="AY158" s="19">
        <v>5.8244251848454525</v>
      </c>
      <c r="AZ158" s="19">
        <v>5.2185049192985673</v>
      </c>
      <c r="BA158" s="19">
        <v>4.5895024894953451</v>
      </c>
      <c r="BB158" s="19">
        <v>0.63979734860780013</v>
      </c>
      <c r="BC158" s="19">
        <v>5.0288311915754207</v>
      </c>
      <c r="BD158" s="19">
        <v>3.594957288705757</v>
      </c>
      <c r="BE158" s="19">
        <v>4.3258373239112586</v>
      </c>
      <c r="BF158" s="19">
        <v>2.2154226229901752</v>
      </c>
      <c r="BG158" s="19">
        <v>3.2595590067856506</v>
      </c>
      <c r="BH158" s="19">
        <v>2.6198739974199441</v>
      </c>
      <c r="BI158" s="19">
        <v>4.294701216632518</v>
      </c>
      <c r="BJ158" s="19">
        <v>1.6254796689268289</v>
      </c>
      <c r="BK158" s="19">
        <v>2.0528822117394867</v>
      </c>
      <c r="BL158" s="19">
        <v>1.1225485598259013</v>
      </c>
      <c r="BM158" s="19">
        <v>-3.5777246509505147</v>
      </c>
      <c r="BN158" s="19">
        <v>4.476933584683664</v>
      </c>
    </row>
    <row r="159" spans="1:66" x14ac:dyDescent="0.2">
      <c r="A159" s="19" t="s">
        <v>682</v>
      </c>
      <c r="B159" s="19" t="s">
        <v>1017</v>
      </c>
      <c r="C159" s="19" t="s">
        <v>863</v>
      </c>
      <c r="D159" s="19" t="s">
        <v>864</v>
      </c>
      <c r="F159" s="19">
        <v>5.0000000007192114</v>
      </c>
      <c r="G159" s="19">
        <v>4.6644146725126916</v>
      </c>
      <c r="H159" s="19">
        <v>8.1068869276289348</v>
      </c>
      <c r="I159" s="19">
        <v>11.905480765776971</v>
      </c>
      <c r="J159" s="19">
        <v>7.0999999974647352</v>
      </c>
      <c r="K159" s="19">
        <v>6.096139302563472</v>
      </c>
      <c r="L159" s="19">
        <v>5.8549248789853721</v>
      </c>
      <c r="M159" s="19">
        <v>9.4232788183200142</v>
      </c>
      <c r="N159" s="19">
        <v>3.4186200235000683</v>
      </c>
      <c r="O159" s="19">
        <v>6.5024840346944615</v>
      </c>
      <c r="P159" s="19">
        <v>3.7624676849601144</v>
      </c>
      <c r="Q159" s="19">
        <v>8.2288073124388461</v>
      </c>
      <c r="R159" s="19">
        <v>7.8611198606498078</v>
      </c>
      <c r="S159" s="19">
        <v>5.776827230206365</v>
      </c>
      <c r="T159" s="19">
        <v>5.7444850486244974</v>
      </c>
      <c r="U159" s="19">
        <v>4.4174441362574584</v>
      </c>
      <c r="V159" s="19">
        <v>3.390639706577403</v>
      </c>
      <c r="W159" s="19">
        <v>8.956942327863743</v>
      </c>
      <c r="X159" s="19">
        <v>9.6981701370416857</v>
      </c>
      <c r="Y159" s="19">
        <v>9.2332519846754195</v>
      </c>
      <c r="Z159" s="19">
        <v>8.5256066627136988</v>
      </c>
      <c r="AA159" s="19">
        <v>-0.52080804216592469</v>
      </c>
      <c r="AB159" s="19">
        <v>-3.4864218032059426</v>
      </c>
      <c r="AC159" s="19">
        <v>3.4108141356587396</v>
      </c>
      <c r="AD159" s="19">
        <v>2.187693116090017</v>
      </c>
      <c r="AE159" s="19">
        <v>-3.0789553755398771</v>
      </c>
      <c r="AF159" s="19">
        <v>1.7224393121868502</v>
      </c>
      <c r="AG159" s="19">
        <v>1.2832609967123432</v>
      </c>
      <c r="AH159" s="19">
        <v>4.1055093304029668</v>
      </c>
      <c r="AI159" s="19">
        <v>5.1757683868107307</v>
      </c>
      <c r="AJ159" s="19">
        <v>4.2147548385303111</v>
      </c>
      <c r="AK159" s="19">
        <v>3.5411024159496236</v>
      </c>
      <c r="AL159" s="19">
        <v>1.9411558477300872</v>
      </c>
      <c r="AM159" s="19">
        <v>4.9410806756874308</v>
      </c>
      <c r="AN159" s="19">
        <v>-6.2912308211011663</v>
      </c>
      <c r="AO159" s="19">
        <v>6.7732586944504618</v>
      </c>
      <c r="AP159" s="19">
        <v>6.8468522786242687</v>
      </c>
      <c r="AQ159" s="19">
        <v>5.1639251679514615</v>
      </c>
      <c r="AR159" s="19">
        <v>2.7535542474823558</v>
      </c>
      <c r="AS159" s="19">
        <v>4.9424537146742153</v>
      </c>
      <c r="AT159" s="19">
        <v>-0.4043901266928458</v>
      </c>
      <c r="AU159" s="19">
        <v>-3.9844481468534809E-2</v>
      </c>
      <c r="AV159" s="19">
        <v>1.4463826837036038</v>
      </c>
      <c r="AW159" s="19">
        <v>3.920590810287905</v>
      </c>
      <c r="AX159" s="19">
        <v>2.3078070659173591</v>
      </c>
      <c r="AY159" s="19">
        <v>4.4950778942140772</v>
      </c>
      <c r="AZ159" s="19">
        <v>2.2914457142980211</v>
      </c>
      <c r="BA159" s="19">
        <v>1.1435845871940131</v>
      </c>
      <c r="BB159" s="19">
        <v>-5.2857441368175131</v>
      </c>
      <c r="BC159" s="19">
        <v>5.1181181432116318</v>
      </c>
      <c r="BD159" s="19">
        <v>3.6630079295009352</v>
      </c>
      <c r="BE159" s="19">
        <v>3.6423226794134678</v>
      </c>
      <c r="BF159" s="19">
        <v>1.3540919615167866</v>
      </c>
      <c r="BG159" s="19">
        <v>2.8497732549068786</v>
      </c>
      <c r="BH159" s="19">
        <v>3.2931515283338655</v>
      </c>
      <c r="BI159" s="19">
        <v>2.6305324245508928</v>
      </c>
      <c r="BJ159" s="19">
        <v>2.1131291354969477</v>
      </c>
      <c r="BK159" s="19">
        <v>2.1949947252269766</v>
      </c>
      <c r="BL159" s="19">
        <v>-0.19904777227294801</v>
      </c>
      <c r="BM159" s="19">
        <v>-7.9879123401474885</v>
      </c>
      <c r="BN159" s="19">
        <v>4.7205652976808068</v>
      </c>
    </row>
    <row r="160" spans="1:66" x14ac:dyDescent="0.2">
      <c r="A160" s="19" t="s">
        <v>683</v>
      </c>
      <c r="B160" s="19" t="s">
        <v>1018</v>
      </c>
      <c r="C160" s="19" t="s">
        <v>863</v>
      </c>
      <c r="D160" s="19" t="s">
        <v>864</v>
      </c>
      <c r="AA160" s="19">
        <v>4.8312283715655298</v>
      </c>
      <c r="AB160" s="19">
        <v>15.508003623922932</v>
      </c>
      <c r="AC160" s="19">
        <v>3.866025876283615</v>
      </c>
      <c r="AD160" s="19">
        <v>-6.2572926389870815</v>
      </c>
      <c r="AE160" s="19">
        <v>24.54249932125667</v>
      </c>
      <c r="AF160" s="19">
        <v>9.3637537885656457</v>
      </c>
      <c r="AG160" s="19">
        <v>7.7890467671803094</v>
      </c>
      <c r="AH160" s="19">
        <v>-1.6916088111720029</v>
      </c>
      <c r="AI160" s="19">
        <v>2.6762464644583162</v>
      </c>
      <c r="AJ160" s="19">
        <v>8.7825243894968708E-2</v>
      </c>
      <c r="AK160" s="19">
        <v>7.1408586305701931</v>
      </c>
      <c r="AL160" s="19">
        <v>6.0062406674567796</v>
      </c>
      <c r="AM160" s="19">
        <v>5.8777269571841657</v>
      </c>
      <c r="AN160" s="19">
        <v>8.2132538192474414</v>
      </c>
      <c r="AO160" s="19">
        <v>-10.302946770681146</v>
      </c>
      <c r="AP160" s="19">
        <v>-6.4456627964867153</v>
      </c>
      <c r="AQ160" s="19">
        <v>-0.8193937196020471</v>
      </c>
      <c r="AR160" s="19">
        <v>-1.255142819858392</v>
      </c>
      <c r="AS160" s="19">
        <v>1.3540791088099979</v>
      </c>
      <c r="AT160" s="19">
        <v>6.826085172344861</v>
      </c>
      <c r="AU160" s="19">
        <v>3.7414521322503873</v>
      </c>
      <c r="AV160" s="19">
        <v>-1.6158759091392341</v>
      </c>
      <c r="AW160" s="19">
        <v>1.327481439662975</v>
      </c>
      <c r="AX160" s="19">
        <v>1.7730071567303725</v>
      </c>
      <c r="AY160" s="19">
        <v>0.20249671384328849</v>
      </c>
      <c r="AZ160" s="19">
        <v>3.3920150766669366</v>
      </c>
      <c r="BA160" s="19">
        <v>-7.6464241212791393</v>
      </c>
      <c r="BB160" s="19">
        <v>3.6733157048304435</v>
      </c>
      <c r="BC160" s="19">
        <v>5.4216238285589498</v>
      </c>
      <c r="BD160" s="19">
        <v>-0.30723955002747516</v>
      </c>
      <c r="BE160" s="19">
        <v>-1.2927116000736305</v>
      </c>
      <c r="BF160" s="19">
        <v>3.6796841392313411</v>
      </c>
      <c r="BG160" s="19">
        <v>-1.1199285823452101</v>
      </c>
      <c r="BH160" s="19">
        <v>2.1111085691455855</v>
      </c>
      <c r="BI160" s="19">
        <v>2.0160953194391311</v>
      </c>
      <c r="BJ160" s="19">
        <v>3.4104197031711578</v>
      </c>
      <c r="BK160" s="19">
        <v>4.1940187564587035</v>
      </c>
      <c r="BL160" s="19">
        <v>10.839213682114163</v>
      </c>
      <c r="BM160" s="19">
        <v>-1.8415964240044929</v>
      </c>
      <c r="BN160" s="19">
        <v>1.1147950581089816</v>
      </c>
    </row>
    <row r="161" spans="1:66" x14ac:dyDescent="0.2">
      <c r="A161" s="19" t="s">
        <v>684</v>
      </c>
      <c r="B161" s="19" t="s">
        <v>1019</v>
      </c>
      <c r="C161" s="19" t="s">
        <v>863</v>
      </c>
      <c r="D161" s="19" t="s">
        <v>864</v>
      </c>
      <c r="F161" s="19">
        <v>1.0856107095363399</v>
      </c>
      <c r="G161" s="19">
        <v>3.2447862792319455</v>
      </c>
      <c r="H161" s="19">
        <v>4.763438472079855</v>
      </c>
      <c r="I161" s="19">
        <v>7.9481702622817778</v>
      </c>
      <c r="J161" s="19">
        <v>5.947593082437308</v>
      </c>
      <c r="K161" s="19">
        <v>4.8952131095802258</v>
      </c>
      <c r="L161" s="19">
        <v>3.1789867406565548</v>
      </c>
      <c r="M161" s="19">
        <v>5.7980297206374587</v>
      </c>
      <c r="N161" s="19">
        <v>8.2800412228654494</v>
      </c>
      <c r="O161" s="19">
        <v>8.4973977022151388</v>
      </c>
      <c r="P161" s="19">
        <v>6.4611401704472939</v>
      </c>
      <c r="Q161" s="19">
        <v>6.2076051825162892</v>
      </c>
      <c r="R161" s="19">
        <v>7.1152065515829293</v>
      </c>
      <c r="S161" s="19">
        <v>5.8444056143680996</v>
      </c>
      <c r="T161" s="19">
        <v>4.3280106001296161</v>
      </c>
      <c r="U161" s="19">
        <v>6.1232518954583242</v>
      </c>
      <c r="V161" s="19">
        <v>4.6136141060512301</v>
      </c>
      <c r="W161" s="19">
        <v>3.7359224827769708</v>
      </c>
      <c r="X161" s="19">
        <v>4.5975187859803555</v>
      </c>
      <c r="Y161" s="19">
        <v>4.8690088868517307</v>
      </c>
      <c r="Z161" s="19">
        <v>2.0348322470748599</v>
      </c>
      <c r="AA161" s="19">
        <v>2.8304140001092435</v>
      </c>
      <c r="AB161" s="19">
        <v>1.8876597183432438</v>
      </c>
      <c r="AC161" s="19">
        <v>4.8863040171026455</v>
      </c>
      <c r="AD161" s="19">
        <v>4.5309124223434054</v>
      </c>
      <c r="AE161" s="19">
        <v>4.0450489772813683</v>
      </c>
      <c r="AF161" s="19">
        <v>4.8229063943166608</v>
      </c>
      <c r="AG161" s="19">
        <v>4.1286672389156962</v>
      </c>
      <c r="AH161" s="19">
        <v>3.0842965051100464</v>
      </c>
      <c r="AI161" s="19">
        <v>2.1277063273328309</v>
      </c>
      <c r="AJ161" s="19">
        <v>1.5406842254411828</v>
      </c>
      <c r="AK161" s="19">
        <v>1.6562699625263662</v>
      </c>
      <c r="AL161" s="19">
        <v>3.4283293569802709</v>
      </c>
      <c r="AM161" s="19">
        <v>3.395832581144262</v>
      </c>
      <c r="AN161" s="19">
        <v>3.8496058624944567</v>
      </c>
      <c r="AO161" s="19">
        <v>5.4693555646655909</v>
      </c>
      <c r="AP161" s="19">
        <v>5.2126228208537668</v>
      </c>
      <c r="AQ161" s="19">
        <v>2.595727004579814</v>
      </c>
      <c r="AR161" s="19">
        <v>3.8262302888272757</v>
      </c>
      <c r="AS161" s="19">
        <v>5.8835156758086242</v>
      </c>
      <c r="AT161" s="19">
        <v>3.7478590738433866</v>
      </c>
      <c r="AU161" s="19">
        <v>4.7698882008211001</v>
      </c>
      <c r="AV161" s="19">
        <v>6.0386134607791888</v>
      </c>
      <c r="AW161" s="19">
        <v>7.7071022704672316</v>
      </c>
      <c r="AX161" s="19">
        <v>7.2976707917432861</v>
      </c>
      <c r="AY161" s="19">
        <v>8.2384234024482907</v>
      </c>
      <c r="AZ161" s="19">
        <v>8.9171418663431439</v>
      </c>
      <c r="BA161" s="19">
        <v>5.9028660743529713</v>
      </c>
      <c r="BB161" s="19">
        <v>3.2003367149362276</v>
      </c>
      <c r="BC161" s="19">
        <v>7.9545512750998739</v>
      </c>
      <c r="BD161" s="19">
        <v>6.378841229759928</v>
      </c>
      <c r="BE161" s="19">
        <v>5.556045236657198</v>
      </c>
      <c r="BF161" s="19">
        <v>5.431293509923691</v>
      </c>
      <c r="BG161" s="19">
        <v>4.9944299140223194</v>
      </c>
      <c r="BH161" s="19">
        <v>4.4779867402934457</v>
      </c>
      <c r="BI161" s="19">
        <v>4.5956478940546504</v>
      </c>
      <c r="BJ161" s="19">
        <v>5.1984641657681294</v>
      </c>
      <c r="BK161" s="19">
        <v>4.9115161026686422</v>
      </c>
      <c r="BL161" s="19">
        <v>3.9889222026520628</v>
      </c>
      <c r="BM161" s="19">
        <v>-1.2441248258922712</v>
      </c>
      <c r="BN161" s="19">
        <v>6.9550138914349873</v>
      </c>
    </row>
    <row r="162" spans="1:66" x14ac:dyDescent="0.2">
      <c r="A162" s="19" t="s">
        <v>685</v>
      </c>
      <c r="B162" s="19" t="s">
        <v>1020</v>
      </c>
      <c r="C162" s="19" t="s">
        <v>863</v>
      </c>
      <c r="D162" s="19" t="s">
        <v>864</v>
      </c>
      <c r="AJ162" s="19">
        <v>-6.1707676480654499</v>
      </c>
      <c r="AK162" s="19">
        <v>-6.5651986768585431</v>
      </c>
      <c r="AL162" s="19">
        <v>-7.4692713185855695</v>
      </c>
      <c r="AM162" s="19">
        <v>-1.7581661812691323</v>
      </c>
      <c r="AN162" s="19">
        <v>-1.114727694144122</v>
      </c>
      <c r="AO162" s="19">
        <v>1.1851038887323142</v>
      </c>
      <c r="AP162" s="19">
        <v>1.4399813365912451</v>
      </c>
      <c r="AQ162" s="19">
        <v>3.3787356471829639</v>
      </c>
      <c r="AR162" s="19">
        <v>4.3390279130758813</v>
      </c>
      <c r="AS162" s="19">
        <v>4.5491357828887402</v>
      </c>
      <c r="AT162" s="19">
        <v>-3.0672566245166166</v>
      </c>
      <c r="AU162" s="19">
        <v>1.4936654720292779</v>
      </c>
      <c r="AV162" s="19">
        <v>2.2226016573240912</v>
      </c>
      <c r="AW162" s="19">
        <v>4.6740895796091593</v>
      </c>
      <c r="AX162" s="19">
        <v>4.724088642019737</v>
      </c>
      <c r="AY162" s="19">
        <v>5.1370251615350497</v>
      </c>
      <c r="AZ162" s="19">
        <v>6.4734868575234685</v>
      </c>
      <c r="BA162" s="19">
        <v>5.4720013901559525</v>
      </c>
      <c r="BB162" s="19">
        <v>-0.35861485697967055</v>
      </c>
      <c r="BC162" s="19">
        <v>3.3587508577381158</v>
      </c>
      <c r="BD162" s="19">
        <v>2.3398860452033148</v>
      </c>
      <c r="BE162" s="19">
        <v>-0.45618322360793684</v>
      </c>
      <c r="BF162" s="19">
        <v>2.9252576645048407</v>
      </c>
      <c r="BG162" s="19">
        <v>3.6291235127637265</v>
      </c>
      <c r="BH162" s="19">
        <v>3.8558651404173787</v>
      </c>
      <c r="BI162" s="19">
        <v>2.8482051936330635</v>
      </c>
      <c r="BJ162" s="19">
        <v>1.0817727381324289</v>
      </c>
      <c r="BK162" s="19">
        <v>2.8805967096426741</v>
      </c>
      <c r="BL162" s="19">
        <v>3.910419538401726</v>
      </c>
      <c r="BM162" s="19">
        <v>-6.1108867110270211</v>
      </c>
      <c r="BN162" s="19">
        <v>3.9642641714499263</v>
      </c>
    </row>
    <row r="163" spans="1:66" x14ac:dyDescent="0.2">
      <c r="A163" s="19" t="s">
        <v>686</v>
      </c>
      <c r="B163" s="19" t="s">
        <v>1021</v>
      </c>
      <c r="C163" s="19" t="s">
        <v>863</v>
      </c>
      <c r="D163" s="19" t="s">
        <v>864</v>
      </c>
      <c r="M163" s="19">
        <v>3.708410196486895</v>
      </c>
      <c r="N163" s="19">
        <v>0.23099941952482084</v>
      </c>
      <c r="O163" s="19">
        <v>6.1369548625588806</v>
      </c>
      <c r="P163" s="19">
        <v>2.5689960235582845</v>
      </c>
      <c r="Q163" s="19">
        <v>5.8440164309550937</v>
      </c>
      <c r="R163" s="19">
        <v>-1.455115801929793</v>
      </c>
      <c r="S163" s="19">
        <v>-1.5288261023840022</v>
      </c>
      <c r="T163" s="19">
        <v>11.625049137451967</v>
      </c>
      <c r="U163" s="19">
        <v>13.623438533665052</v>
      </c>
      <c r="V163" s="19">
        <v>6.3486471939360456</v>
      </c>
      <c r="W163" s="19">
        <v>-1.4634763319916715</v>
      </c>
      <c r="X163" s="19">
        <v>10.395677210595707</v>
      </c>
      <c r="Y163" s="19">
        <v>-4.3258398689979032</v>
      </c>
      <c r="Z163" s="19">
        <v>1.5088042968527162</v>
      </c>
      <c r="AA163" s="19">
        <v>-7.3784330460582055</v>
      </c>
      <c r="AB163" s="19">
        <v>1.8208737723150392</v>
      </c>
      <c r="AC163" s="19">
        <v>-0.28701115619664108</v>
      </c>
      <c r="AD163" s="19">
        <v>20.286634940713071</v>
      </c>
      <c r="AE163" s="19">
        <v>2.6926208809457108</v>
      </c>
      <c r="AF163" s="19">
        <v>-0.13916428907798206</v>
      </c>
      <c r="AG163" s="19">
        <v>7.3897210443242471</v>
      </c>
      <c r="AH163" s="19">
        <v>4.177388109442532</v>
      </c>
      <c r="AI163" s="19">
        <v>-2.5023951034776104</v>
      </c>
      <c r="AJ163" s="19">
        <v>11.7452037933746</v>
      </c>
      <c r="AK163" s="19">
        <v>-3.2186624903075227</v>
      </c>
      <c r="AL163" s="19">
        <v>3.1721681773032202</v>
      </c>
      <c r="AM163" s="19">
        <v>3.7799340510106703</v>
      </c>
      <c r="AN163" s="19">
        <v>0.92102239769160121</v>
      </c>
      <c r="AO163" s="19">
        <v>7.0557854041226591</v>
      </c>
      <c r="AP163" s="19">
        <v>4.8290243393480381</v>
      </c>
      <c r="AQ163" s="19">
        <v>7.5716676399028415</v>
      </c>
      <c r="AR163" s="19">
        <v>5.7009436541914198</v>
      </c>
      <c r="AS163" s="19">
        <v>-6.0834971813122252E-2</v>
      </c>
      <c r="AT163" s="19">
        <v>15.376239457917421</v>
      </c>
      <c r="AU163" s="19">
        <v>3.1063082520568628</v>
      </c>
      <c r="AV163" s="19">
        <v>9.1190419953242952</v>
      </c>
      <c r="AW163" s="19">
        <v>1.5599986605348874</v>
      </c>
      <c r="AX163" s="19">
        <v>6.5347787748128781</v>
      </c>
      <c r="AY163" s="19">
        <v>4.662186877583224</v>
      </c>
      <c r="AZ163" s="19">
        <v>3.4936168125374394</v>
      </c>
      <c r="BA163" s="19">
        <v>4.773145081429746</v>
      </c>
      <c r="BB163" s="19">
        <v>4.8063222669786398</v>
      </c>
      <c r="BC163" s="19">
        <v>5.313935278958752</v>
      </c>
      <c r="BD163" s="19">
        <v>3.2131337804430729</v>
      </c>
      <c r="BE163" s="19">
        <v>-0.83673463153076</v>
      </c>
      <c r="BF163" s="19">
        <v>2.2950682896261725</v>
      </c>
      <c r="BG163" s="19">
        <v>7.0846838805652652</v>
      </c>
      <c r="BH163" s="19">
        <v>6.1718000242497766</v>
      </c>
      <c r="BI163" s="19">
        <v>5.8522991994141478</v>
      </c>
      <c r="BJ163" s="19">
        <v>5.3054560843816603</v>
      </c>
      <c r="BK163" s="19">
        <v>4.7464843272456108</v>
      </c>
      <c r="BL163" s="19">
        <v>4.7561608077080848</v>
      </c>
      <c r="BM163" s="19">
        <v>-1.2354504470769996</v>
      </c>
      <c r="BN163" s="19">
        <v>3.0526135694212542</v>
      </c>
    </row>
    <row r="164" spans="1:66" x14ac:dyDescent="0.2">
      <c r="A164" s="19" t="s">
        <v>687</v>
      </c>
      <c r="B164" s="19" t="s">
        <v>1022</v>
      </c>
      <c r="C164" s="19" t="s">
        <v>863</v>
      </c>
      <c r="D164" s="19" t="s">
        <v>864</v>
      </c>
      <c r="P164" s="19">
        <v>2.4539936122782677</v>
      </c>
      <c r="Q164" s="19">
        <v>5.8383270265214691</v>
      </c>
      <c r="R164" s="19">
        <v>4.1461383732598591</v>
      </c>
      <c r="S164" s="19">
        <v>10.036403959707158</v>
      </c>
      <c r="T164" s="19">
        <v>19.560080864651439</v>
      </c>
      <c r="U164" s="19">
        <v>17.017089564801495</v>
      </c>
      <c r="V164" s="19">
        <v>12.184169801333951</v>
      </c>
      <c r="W164" s="19">
        <v>11.16115819061703</v>
      </c>
      <c r="X164" s="19">
        <v>10.490773167609461</v>
      </c>
      <c r="Y164" s="19">
        <v>7.049711214920066</v>
      </c>
      <c r="Z164" s="19">
        <v>3.3117620744265537</v>
      </c>
      <c r="AA164" s="19">
        <v>2.284452305553188</v>
      </c>
      <c r="AB164" s="19">
        <v>-0.61239011689237088</v>
      </c>
      <c r="AC164" s="19">
        <v>0.94237093547965856</v>
      </c>
      <c r="AD164" s="19">
        <v>2.5852796663822204</v>
      </c>
      <c r="AE164" s="19">
        <v>3.8851900069647201</v>
      </c>
      <c r="AF164" s="19">
        <v>4.1105144518594443</v>
      </c>
      <c r="AG164" s="19">
        <v>8.4142362957401247</v>
      </c>
      <c r="AH164" s="19">
        <v>8.1791055812399804</v>
      </c>
      <c r="AI164" s="19">
        <v>6.2913909583117089</v>
      </c>
      <c r="AJ164" s="19">
        <v>6.2564920821319276</v>
      </c>
      <c r="AK164" s="19">
        <v>4.6909324306259066</v>
      </c>
      <c r="AL164" s="19">
        <v>4.4807493588374854</v>
      </c>
      <c r="AM164" s="19">
        <v>5.6511047373604981</v>
      </c>
      <c r="AN164" s="19">
        <v>6.3424931833749696</v>
      </c>
      <c r="AO164" s="19">
        <v>3.7773357615833021</v>
      </c>
      <c r="AP164" s="19">
        <v>5.2569801449753157</v>
      </c>
      <c r="AQ164" s="19">
        <v>5.1256012305360059</v>
      </c>
      <c r="AR164" s="19">
        <v>4.7199748824220649</v>
      </c>
      <c r="AS164" s="19">
        <v>19.681790919301562</v>
      </c>
      <c r="AT164" s="19">
        <v>-1.1747964789198448</v>
      </c>
      <c r="AU164" s="19">
        <v>2.5650470481867131</v>
      </c>
      <c r="AV164" s="19">
        <v>4.0745698521009501</v>
      </c>
      <c r="AW164" s="19">
        <v>0.13959908397904996</v>
      </c>
      <c r="AX164" s="19">
        <v>3.383299656971019</v>
      </c>
      <c r="AY164" s="19">
        <v>2.5104919473357228</v>
      </c>
      <c r="AZ164" s="19">
        <v>4.7753473248596094</v>
      </c>
      <c r="BA164" s="19">
        <v>3.8255914008830558</v>
      </c>
      <c r="BB164" s="19">
        <v>-1.133105987527685</v>
      </c>
      <c r="BC164" s="19">
        <v>5.5435693770699004</v>
      </c>
      <c r="BD164" s="19">
        <v>0.46612762522298112</v>
      </c>
      <c r="BE164" s="19">
        <v>4.1186609815839574</v>
      </c>
      <c r="BF164" s="19">
        <v>5.4730579170764031</v>
      </c>
      <c r="BG164" s="19">
        <v>7.6331193353474305</v>
      </c>
      <c r="BH164" s="19">
        <v>9.6081312223148103</v>
      </c>
      <c r="BI164" s="19">
        <v>3.3811157682035002</v>
      </c>
      <c r="BJ164" s="19">
        <v>10.925329230650149</v>
      </c>
      <c r="BK164" s="19">
        <v>6.1689841064917346</v>
      </c>
      <c r="BL164" s="19">
        <v>5.9173445074357005</v>
      </c>
      <c r="BM164" s="19">
        <v>-8.3242832319722027</v>
      </c>
      <c r="BN164" s="19">
        <v>10.297763599901842</v>
      </c>
    </row>
    <row r="165" spans="1:66" x14ac:dyDescent="0.2">
      <c r="A165" s="19" t="s">
        <v>688</v>
      </c>
      <c r="B165" s="19" t="s">
        <v>1023</v>
      </c>
      <c r="C165" s="19" t="s">
        <v>863</v>
      </c>
      <c r="D165" s="19" t="s">
        <v>864</v>
      </c>
      <c r="G165" s="19">
        <v>2.2834688808299575</v>
      </c>
      <c r="H165" s="19">
        <v>8.8108244784299643</v>
      </c>
      <c r="I165" s="19">
        <v>3.1256096403145648</v>
      </c>
      <c r="J165" s="19">
        <v>2.1474886398954283</v>
      </c>
      <c r="K165" s="19">
        <v>2.5259956258379361</v>
      </c>
      <c r="L165" s="19">
        <v>-5.3751743496785735</v>
      </c>
      <c r="M165" s="19">
        <v>2.7924984697401243</v>
      </c>
      <c r="N165" s="19">
        <v>7.4262437807594068</v>
      </c>
      <c r="O165" s="19">
        <v>4.1491987548188973</v>
      </c>
      <c r="P165" s="19">
        <v>4.5443301507314402</v>
      </c>
      <c r="Q165" s="19">
        <v>3.265764160544407</v>
      </c>
      <c r="R165" s="19">
        <v>0.71337894493295551</v>
      </c>
      <c r="S165" s="19">
        <v>2.1717778155277472</v>
      </c>
      <c r="T165" s="19">
        <v>4.7320667106389465</v>
      </c>
      <c r="U165" s="19">
        <v>5.1361584339823168</v>
      </c>
      <c r="V165" s="19">
        <v>6.0144514845737547</v>
      </c>
      <c r="W165" s="19">
        <v>6.2432240971100725</v>
      </c>
      <c r="X165" s="19">
        <v>5.8387718915600288</v>
      </c>
      <c r="Y165" s="19">
        <v>6.6045987238533996</v>
      </c>
      <c r="Z165" s="19">
        <v>7.1169331139942642</v>
      </c>
      <c r="AA165" s="19">
        <v>5.9682365888516387</v>
      </c>
      <c r="AB165" s="19">
        <v>4.9809569211387412</v>
      </c>
      <c r="AC165" s="19">
        <v>4.6677285403635977</v>
      </c>
      <c r="AD165" s="19">
        <v>3.8668105520945062</v>
      </c>
      <c r="AE165" s="19">
        <v>0.86936049831636808</v>
      </c>
      <c r="AF165" s="19">
        <v>-2.5236554420422124</v>
      </c>
      <c r="AG165" s="19">
        <v>-7.6039604991686218</v>
      </c>
      <c r="AH165" s="19">
        <v>-4.2813426453789987</v>
      </c>
      <c r="AI165" s="19">
        <v>3.2481480144728607</v>
      </c>
      <c r="AJ165" s="19">
        <v>1.0590777047972324</v>
      </c>
      <c r="AK165" s="19">
        <v>4.488335846005981</v>
      </c>
      <c r="AL165" s="19">
        <v>7.7667382558005045</v>
      </c>
      <c r="AM165" s="19">
        <v>6.7797675954762013</v>
      </c>
      <c r="AN165" s="19">
        <v>7.2034553964836618</v>
      </c>
      <c r="AO165" s="19">
        <v>6.6869003424732369</v>
      </c>
      <c r="AP165" s="19">
        <v>6.0348042277204712</v>
      </c>
      <c r="AQ165" s="19">
        <v>5.7618472212074323</v>
      </c>
      <c r="AR165" s="19">
        <v>8.4780341185939818</v>
      </c>
      <c r="AS165" s="19">
        <v>12.4181916439086</v>
      </c>
      <c r="AT165" s="19">
        <v>12.467730036759633</v>
      </c>
      <c r="AU165" s="19">
        <v>11.703045621276004</v>
      </c>
      <c r="AV165" s="19">
        <v>12.98632489279214</v>
      </c>
      <c r="AW165" s="19">
        <v>13.695287342604573</v>
      </c>
      <c r="AX165" s="19">
        <v>13.56694200887236</v>
      </c>
      <c r="AY165" s="19">
        <v>13.306869308260033</v>
      </c>
      <c r="AZ165" s="19">
        <v>12.500486293906789</v>
      </c>
      <c r="BA165" s="19">
        <v>11.074267652101327</v>
      </c>
      <c r="BB165" s="19">
        <v>10.409844403011206</v>
      </c>
      <c r="BC165" s="19">
        <v>10.069286093985525</v>
      </c>
      <c r="BD165" s="19">
        <v>7.5200572272424751</v>
      </c>
      <c r="BE165" s="19">
        <v>6.4857540044064024</v>
      </c>
      <c r="BF165" s="19">
        <v>7.8986694782381193</v>
      </c>
      <c r="BG165" s="19">
        <v>8.1996637504261827</v>
      </c>
      <c r="BH165" s="19">
        <v>3.2772794170018926</v>
      </c>
      <c r="BI165" s="19">
        <v>10.507780780710178</v>
      </c>
      <c r="BJ165" s="19">
        <v>5.7500645002950677</v>
      </c>
      <c r="BK165" s="19">
        <v>6.4049773251470015</v>
      </c>
      <c r="BL165" s="19">
        <v>6.7504601462238014</v>
      </c>
      <c r="BM165" s="19">
        <v>3.1737744004107782</v>
      </c>
      <c r="BN165" s="19">
        <v>-17.912944804271362</v>
      </c>
    </row>
    <row r="166" spans="1:66" x14ac:dyDescent="0.2">
      <c r="A166" s="19" t="s">
        <v>689</v>
      </c>
      <c r="B166" s="19" t="s">
        <v>1024</v>
      </c>
      <c r="C166" s="19" t="s">
        <v>863</v>
      </c>
      <c r="D166" s="19" t="s">
        <v>864</v>
      </c>
      <c r="K166" s="19">
        <v>6.6244458803323027</v>
      </c>
      <c r="L166" s="19">
        <v>8.5821411582066389</v>
      </c>
      <c r="M166" s="19">
        <v>10.521533334807202</v>
      </c>
      <c r="N166" s="19">
        <v>11.702457129940143</v>
      </c>
      <c r="O166" s="19">
        <v>8.8479724836289222</v>
      </c>
      <c r="P166" s="19">
        <v>8.0119942206847554</v>
      </c>
      <c r="Q166" s="19">
        <v>13.580682694772065</v>
      </c>
      <c r="R166" s="19">
        <v>5.6770369318108749</v>
      </c>
      <c r="S166" s="19">
        <v>6.3407784807179723</v>
      </c>
      <c r="T166" s="19">
        <v>2.8171285223945688</v>
      </c>
      <c r="U166" s="19">
        <v>15.62481096456159</v>
      </c>
      <c r="V166" s="19">
        <v>0.44200649847108764</v>
      </c>
      <c r="W166" s="19">
        <v>-3.9018223896831046</v>
      </c>
      <c r="X166" s="19">
        <v>-2.6664753474802296</v>
      </c>
      <c r="Y166" s="19">
        <v>-5.9768248530180301</v>
      </c>
      <c r="Z166" s="19">
        <v>8.4047717193215021E-2</v>
      </c>
      <c r="AA166" s="19">
        <v>12.987029610941732</v>
      </c>
      <c r="AB166" s="19">
        <v>5.3639298350878732</v>
      </c>
      <c r="AC166" s="19">
        <v>-0.196000540423384</v>
      </c>
      <c r="AD166" s="19">
        <v>3.3397493396185354</v>
      </c>
      <c r="AE166" s="19">
        <v>-2.1254412536061693</v>
      </c>
      <c r="AF166" s="19">
        <v>1.7172554767170141</v>
      </c>
      <c r="AG166" s="19">
        <v>7.5603582921090151E-2</v>
      </c>
      <c r="AH166" s="19">
        <v>1.9414340958207248</v>
      </c>
      <c r="AI166" s="19">
        <v>11.976681946832258</v>
      </c>
      <c r="AJ166" s="19">
        <v>-0.84885820405193613</v>
      </c>
      <c r="AK166" s="19">
        <v>5.3182937344808465</v>
      </c>
      <c r="AL166" s="19">
        <v>2.0919842875934762</v>
      </c>
      <c r="AM166" s="19">
        <v>2.0230176754755433</v>
      </c>
      <c r="AN166" s="19">
        <v>3.0580235845103516</v>
      </c>
      <c r="AO166" s="19">
        <v>6.5029156742750587</v>
      </c>
      <c r="AP166" s="19">
        <v>3.9406543628544028</v>
      </c>
      <c r="AQ166" s="19">
        <v>6.7408452542423163</v>
      </c>
      <c r="AR166" s="19">
        <v>4.5850576509550223</v>
      </c>
      <c r="AS166" s="19">
        <v>6.0591509158992807</v>
      </c>
      <c r="AT166" s="19">
        <v>2.7045856613564041</v>
      </c>
      <c r="AU166" s="19">
        <v>3.0901037485787839</v>
      </c>
      <c r="AV166" s="19">
        <v>2.2471565081188203</v>
      </c>
      <c r="AW166" s="19">
        <v>7.8006510598140011</v>
      </c>
      <c r="AX166" s="19">
        <v>4.5333874727911052</v>
      </c>
      <c r="AY166" s="19">
        <v>5.1361557534141298</v>
      </c>
      <c r="AZ166" s="19">
        <v>6.1247296260676762</v>
      </c>
      <c r="BA166" s="19">
        <v>3.7174866925196142</v>
      </c>
      <c r="BB166" s="19">
        <v>2.6313909832127393</v>
      </c>
      <c r="BC166" s="19">
        <v>5.2757224615672271</v>
      </c>
      <c r="BD166" s="19">
        <v>-1.0873035584362185</v>
      </c>
      <c r="BE166" s="19">
        <v>3.6858490507048316</v>
      </c>
      <c r="BF166" s="19">
        <v>0.435276808312409</v>
      </c>
      <c r="BG166" s="19">
        <v>2.7943440675903588</v>
      </c>
      <c r="BH166" s="19">
        <v>0.74078605291603594</v>
      </c>
      <c r="BI166" s="19">
        <v>5.3430020389212132</v>
      </c>
      <c r="BJ166" s="19">
        <v>3.1206720399100618</v>
      </c>
      <c r="BK166" s="19">
        <v>1.6818200421098766</v>
      </c>
      <c r="BL166" s="19">
        <v>1.0185323632877044</v>
      </c>
      <c r="BM166" s="19">
        <v>-2.9341330133154884</v>
      </c>
      <c r="BN166" s="19">
        <v>4.5679035926963394</v>
      </c>
    </row>
    <row r="167" spans="1:66" x14ac:dyDescent="0.2">
      <c r="A167" s="19" t="s">
        <v>690</v>
      </c>
      <c r="B167" s="19" t="s">
        <v>1025</v>
      </c>
      <c r="C167" s="19" t="s">
        <v>863</v>
      </c>
      <c r="D167" s="19" t="s">
        <v>864</v>
      </c>
      <c r="AQ167" s="19">
        <v>4.9000058463314531</v>
      </c>
      <c r="AR167" s="19">
        <v>-9.3999981243498922</v>
      </c>
      <c r="AS167" s="19">
        <v>3.10000005928039</v>
      </c>
      <c r="AT167" s="19">
        <v>1.0998387093706725</v>
      </c>
      <c r="AU167" s="19">
        <v>1.9039367333292034</v>
      </c>
      <c r="AV167" s="19">
        <v>2.4826592287848399</v>
      </c>
      <c r="AW167" s="19">
        <v>4.4260507174510195</v>
      </c>
      <c r="AX167" s="19">
        <v>4.1806045088547563</v>
      </c>
      <c r="AY167" s="19">
        <v>8.5664180296420653</v>
      </c>
      <c r="AZ167" s="19">
        <v>6.8101501252699137</v>
      </c>
      <c r="BA167" s="19">
        <v>7.2227525921252607</v>
      </c>
      <c r="BB167" s="19">
        <v>-5.795096994772436</v>
      </c>
      <c r="BC167" s="19">
        <v>2.7343310823382865</v>
      </c>
      <c r="BD167" s="19">
        <v>3.2284510206106063</v>
      </c>
      <c r="BE167" s="19">
        <v>-2.723790771306227</v>
      </c>
      <c r="BF167" s="19">
        <v>3.5489799124505765</v>
      </c>
      <c r="BG167" s="19">
        <v>1.7836985810670143</v>
      </c>
      <c r="BH167" s="19">
        <v>3.3903813971207342</v>
      </c>
      <c r="BI167" s="19">
        <v>2.949280320975106</v>
      </c>
      <c r="BJ167" s="19">
        <v>4.7164652757203385</v>
      </c>
      <c r="BK167" s="19">
        <v>5.0778888113380987</v>
      </c>
      <c r="BL167" s="19">
        <v>4.0629449916719693</v>
      </c>
      <c r="BM167" s="19">
        <v>-15.306893757040655</v>
      </c>
      <c r="BN167" s="19">
        <v>12.434358985174086</v>
      </c>
    </row>
    <row r="168" spans="1:66" x14ac:dyDescent="0.2">
      <c r="A168" s="19" t="s">
        <v>691</v>
      </c>
      <c r="B168" s="19" t="s">
        <v>1026</v>
      </c>
      <c r="C168" s="19" t="s">
        <v>863</v>
      </c>
      <c r="D168" s="19" t="s">
        <v>864</v>
      </c>
      <c r="AA168" s="19">
        <v>8.3421361150578122</v>
      </c>
      <c r="AB168" s="19">
        <v>5.8340379544949315</v>
      </c>
      <c r="AC168" s="19">
        <v>5.9334194527009458</v>
      </c>
      <c r="AD168" s="19">
        <v>5.7128722608014186</v>
      </c>
      <c r="AE168" s="19">
        <v>9.3749945127167251</v>
      </c>
      <c r="AF168" s="19">
        <v>3.4586484713495338</v>
      </c>
      <c r="AG168" s="19">
        <v>5.1079723116501725</v>
      </c>
      <c r="AH168" s="19">
        <v>4.1781957433386196</v>
      </c>
      <c r="AI168" s="19">
        <v>-3.184460178252067</v>
      </c>
      <c r="AJ168" s="19">
        <v>-8.6935447312655754</v>
      </c>
      <c r="AK168" s="19">
        <v>-9.2564657038290363</v>
      </c>
      <c r="AL168" s="19">
        <v>-3.1687915502782431</v>
      </c>
      <c r="AM168" s="19">
        <v>2.1343826947323663</v>
      </c>
      <c r="AN168" s="19">
        <v>6.3764268864666036</v>
      </c>
      <c r="AO168" s="19">
        <v>2.2350938433866503</v>
      </c>
      <c r="AP168" s="19">
        <v>3.8967135837791886</v>
      </c>
      <c r="AQ168" s="19">
        <v>3.3399365993581682</v>
      </c>
      <c r="AR168" s="19">
        <v>3.0703690108626631</v>
      </c>
      <c r="AS168" s="19">
        <v>1.1460621370910786</v>
      </c>
      <c r="AT168" s="19">
        <v>2.9527105433811727</v>
      </c>
      <c r="AU168" s="19">
        <v>4.7329784659011125</v>
      </c>
      <c r="AV168" s="19">
        <v>7.0046345738488611</v>
      </c>
      <c r="AW168" s="19">
        <v>10.62540595993093</v>
      </c>
      <c r="AX168" s="19">
        <v>7.2536654410851895</v>
      </c>
      <c r="AY168" s="19">
        <v>8.5562348095957077</v>
      </c>
      <c r="AZ168" s="19">
        <v>10.248016358477813</v>
      </c>
      <c r="BA168" s="19">
        <v>8.9003679467172674</v>
      </c>
      <c r="BB168" s="19">
        <v>-1.2685989405350853</v>
      </c>
      <c r="BC168" s="19">
        <v>6.3651616848614339</v>
      </c>
      <c r="BD168" s="19">
        <v>17.290777583626337</v>
      </c>
      <c r="BE168" s="19">
        <v>12.31981984819322</v>
      </c>
      <c r="BF168" s="19">
        <v>11.648916190172514</v>
      </c>
      <c r="BG168" s="19">
        <v>7.8852254814891154</v>
      </c>
      <c r="BH168" s="19">
        <v>2.3798358068594041</v>
      </c>
      <c r="BI168" s="19">
        <v>1.489784485048645</v>
      </c>
      <c r="BJ168" s="19">
        <v>5.6368763896269485</v>
      </c>
      <c r="BK168" s="19">
        <v>7.7448806201856968</v>
      </c>
      <c r="BL168" s="19">
        <v>5.6022442187095862</v>
      </c>
      <c r="BM168" s="19">
        <v>-4.5577519733768526</v>
      </c>
      <c r="BN168" s="19">
        <v>1.6367695758414271</v>
      </c>
    </row>
    <row r="169" spans="1:66" x14ac:dyDescent="0.2">
      <c r="A169" s="19" t="s">
        <v>692</v>
      </c>
      <c r="B169" s="19" t="s">
        <v>1027</v>
      </c>
      <c r="C169" s="19" t="s">
        <v>863</v>
      </c>
      <c r="D169" s="19" t="s">
        <v>864</v>
      </c>
      <c r="AV169" s="19">
        <v>0.34317089910776133</v>
      </c>
      <c r="AW169" s="19">
        <v>-3.0779753761969886</v>
      </c>
      <c r="AX169" s="19">
        <v>-12.702893436838394</v>
      </c>
      <c r="AY169" s="19">
        <v>-6.8714632174616099</v>
      </c>
      <c r="AZ169" s="19">
        <v>-6.6840277777777857</v>
      </c>
      <c r="BA169" s="19">
        <v>-11.069767441860463</v>
      </c>
      <c r="BB169" s="19">
        <v>-17.573221757322173</v>
      </c>
      <c r="BC169" s="19">
        <v>1.3959390862944048</v>
      </c>
      <c r="BD169" s="19">
        <v>-7.3842302878598218</v>
      </c>
      <c r="BE169" s="19">
        <v>0.81081081081080697</v>
      </c>
      <c r="BF169" s="19">
        <v>2.6809651474530796</v>
      </c>
      <c r="BG169" s="19">
        <v>4.1775456919060048</v>
      </c>
      <c r="BH169" s="19">
        <v>3.383458646616532</v>
      </c>
      <c r="BI169" s="19">
        <v>29.212121212121218</v>
      </c>
      <c r="BJ169" s="19">
        <v>23.170731707317074</v>
      </c>
      <c r="BK169" s="19">
        <v>-19.345011424219351</v>
      </c>
      <c r="BL169" s="19">
        <v>-11.142587346553356</v>
      </c>
    </row>
    <row r="170" spans="1:66" x14ac:dyDescent="0.2">
      <c r="A170" s="19" t="s">
        <v>693</v>
      </c>
      <c r="B170" s="19" t="s">
        <v>1028</v>
      </c>
      <c r="C170" s="19" t="s">
        <v>863</v>
      </c>
      <c r="D170" s="19" t="s">
        <v>864</v>
      </c>
      <c r="Z170" s="19">
        <v>5.0000029544304425</v>
      </c>
      <c r="AA170" s="19">
        <v>-6.8999994422266866</v>
      </c>
      <c r="AB170" s="19">
        <v>-15.700002037115752</v>
      </c>
      <c r="AC170" s="19">
        <v>-6.4999998793612122</v>
      </c>
      <c r="AD170" s="19">
        <v>0.99999672109663607</v>
      </c>
      <c r="AE170" s="19">
        <v>-2.2999960268192581</v>
      </c>
      <c r="AF170" s="19">
        <v>14.700000423039555</v>
      </c>
      <c r="AG170" s="19">
        <v>8.1999951797300241</v>
      </c>
      <c r="AH170" s="19">
        <v>6.50000455383271</v>
      </c>
      <c r="AI170" s="19">
        <v>0.99999283474261347</v>
      </c>
      <c r="AJ170" s="19">
        <v>4.9254512534498929</v>
      </c>
      <c r="AK170" s="19">
        <v>-6.1247154506177992</v>
      </c>
      <c r="AL170" s="19">
        <v>10.598529673232136</v>
      </c>
      <c r="AM170" s="19">
        <v>6.5333964579059227</v>
      </c>
      <c r="AN170" s="19">
        <v>2.2597571775733911</v>
      </c>
      <c r="AO170" s="19">
        <v>11.202519603498004</v>
      </c>
      <c r="AP170" s="19">
        <v>11.301068648208897</v>
      </c>
      <c r="AQ170" s="19">
        <v>9.9312519493834941</v>
      </c>
      <c r="AR170" s="19">
        <v>11.698523715901189</v>
      </c>
      <c r="AS170" s="19">
        <v>1.1803007889161563</v>
      </c>
      <c r="AT170" s="19">
        <v>12.086874401640998</v>
      </c>
      <c r="AU170" s="19">
        <v>9.2910518852059596</v>
      </c>
      <c r="AV170" s="19">
        <v>6.8785328719577592</v>
      </c>
      <c r="AW170" s="19">
        <v>7.9164078363794204</v>
      </c>
      <c r="AX170" s="19">
        <v>6.6459082805728968</v>
      </c>
      <c r="AY170" s="19">
        <v>9.6943740917428585</v>
      </c>
      <c r="AZ170" s="19">
        <v>7.7297462424837988</v>
      </c>
      <c r="BA170" s="19">
        <v>7.3177553239303705</v>
      </c>
      <c r="BB170" s="19">
        <v>6.3181972324890268</v>
      </c>
      <c r="BC170" s="19">
        <v>6.5023531151979057</v>
      </c>
      <c r="BD170" s="19">
        <v>7.4173843155939068</v>
      </c>
      <c r="BE170" s="19">
        <v>7.2584392525877774</v>
      </c>
      <c r="BF170" s="19">
        <v>6.9636071348707134</v>
      </c>
      <c r="BG170" s="19">
        <v>7.3985127971386362</v>
      </c>
      <c r="BH170" s="19">
        <v>6.7232787803581857</v>
      </c>
      <c r="BI170" s="19">
        <v>3.824214319211876</v>
      </c>
      <c r="BJ170" s="19">
        <v>3.7413175931256433</v>
      </c>
      <c r="BK170" s="19">
        <v>3.4438138397146218</v>
      </c>
      <c r="BL170" s="19">
        <v>2.3146060102005066</v>
      </c>
      <c r="BM170" s="19">
        <v>-1.2339057107003413</v>
      </c>
      <c r="BN170" s="19">
        <v>2.363988418072509</v>
      </c>
    </row>
    <row r="171" spans="1:66" x14ac:dyDescent="0.2">
      <c r="A171" s="19" t="s">
        <v>694</v>
      </c>
      <c r="B171" s="19" t="s">
        <v>1029</v>
      </c>
      <c r="C171" s="19" t="s">
        <v>863</v>
      </c>
      <c r="D171" s="19" t="s">
        <v>864</v>
      </c>
      <c r="G171" s="19">
        <v>0.72660837864029304</v>
      </c>
      <c r="H171" s="19">
        <v>-1.9837675752010853</v>
      </c>
      <c r="I171" s="19">
        <v>27.690886351932392</v>
      </c>
      <c r="J171" s="19">
        <v>16.13833050205038</v>
      </c>
      <c r="K171" s="19">
        <v>0.23096196671465918</v>
      </c>
      <c r="L171" s="19">
        <v>3.5671328969531118</v>
      </c>
      <c r="M171" s="19">
        <v>10.19644262466808</v>
      </c>
      <c r="N171" s="19">
        <v>1.2485320891494069</v>
      </c>
      <c r="O171" s="19">
        <v>11.985931150311899</v>
      </c>
      <c r="P171" s="19">
        <v>1.8428864378673211</v>
      </c>
      <c r="Q171" s="19">
        <v>-0.7329078678789358</v>
      </c>
      <c r="R171" s="19">
        <v>-4.5847569331991878</v>
      </c>
      <c r="S171" s="19">
        <v>12.162611059057028</v>
      </c>
      <c r="T171" s="19">
        <v>-5.1343744470942312</v>
      </c>
      <c r="U171" s="19">
        <v>8.5461049302162166</v>
      </c>
      <c r="V171" s="19">
        <v>-1.8785936823511236</v>
      </c>
      <c r="W171" s="19">
        <v>-0.50471383301591288</v>
      </c>
      <c r="X171" s="19">
        <v>4.7900398376862654</v>
      </c>
      <c r="Y171" s="19">
        <v>3.3712102190242632</v>
      </c>
      <c r="Z171" s="19">
        <v>3.4502884196609784</v>
      </c>
      <c r="AA171" s="19">
        <v>-2.339924122420328</v>
      </c>
      <c r="AB171" s="19">
        <v>3.7353420271206517</v>
      </c>
      <c r="AC171" s="19">
        <v>-3.2268644524963719</v>
      </c>
      <c r="AD171" s="19">
        <v>2.9947605044289674</v>
      </c>
      <c r="AE171" s="19">
        <v>5.7135793548047928</v>
      </c>
      <c r="AF171" s="19">
        <v>1.9003841518218536</v>
      </c>
      <c r="AG171" s="19">
        <v>1.7203979762206814</v>
      </c>
      <c r="AH171" s="19">
        <v>4.7775854200110359</v>
      </c>
      <c r="AI171" s="19">
        <v>-1.7713045332743036</v>
      </c>
      <c r="AJ171" s="19">
        <v>1.7880872817851952</v>
      </c>
      <c r="AK171" s="19">
        <v>1.8741257308372496</v>
      </c>
      <c r="AL171" s="19">
        <v>5.8736374324218872</v>
      </c>
      <c r="AM171" s="19">
        <v>-3.0607322246072499</v>
      </c>
      <c r="AN171" s="19">
        <v>9.819800418884256</v>
      </c>
      <c r="AO171" s="19">
        <v>5.8188266341195458</v>
      </c>
      <c r="AP171" s="19">
        <v>-4.0446965245441788</v>
      </c>
      <c r="AQ171" s="19">
        <v>2.777804784283731</v>
      </c>
      <c r="AR171" s="19">
        <v>3.6731783232240218</v>
      </c>
      <c r="AS171" s="19">
        <v>-3.9180258792329283</v>
      </c>
      <c r="AT171" s="19">
        <v>-0.7994938157893472</v>
      </c>
      <c r="AU171" s="19">
        <v>1.3814839619905825</v>
      </c>
      <c r="AV171" s="19">
        <v>6.9282695510630248</v>
      </c>
      <c r="AW171" s="19">
        <v>4.7327579245202998</v>
      </c>
      <c r="AX171" s="19">
        <v>8.5662872490666757</v>
      </c>
      <c r="AY171" s="19">
        <v>18.333198759771349</v>
      </c>
      <c r="AZ171" s="19">
        <v>-1.9694227516076097</v>
      </c>
      <c r="BA171" s="19">
        <v>-0.33107919527837737</v>
      </c>
      <c r="BB171" s="19">
        <v>9.7875871972803452E-2</v>
      </c>
      <c r="BC171" s="19">
        <v>2.620229520553778</v>
      </c>
      <c r="BD171" s="19">
        <v>4.1727832830441827</v>
      </c>
      <c r="BE171" s="19">
        <v>4.4700131823369276</v>
      </c>
      <c r="BF171" s="19">
        <v>4.150813186271705</v>
      </c>
      <c r="BG171" s="19">
        <v>4.2748232713028358</v>
      </c>
      <c r="BH171" s="19">
        <v>5.376339236949363</v>
      </c>
      <c r="BI171" s="19">
        <v>1.2609092244830293</v>
      </c>
      <c r="BJ171" s="19">
        <v>6.270545693865742</v>
      </c>
      <c r="BK171" s="19">
        <v>4.772173638901549</v>
      </c>
      <c r="BL171" s="19">
        <v>5.296637357367544</v>
      </c>
      <c r="BM171" s="19">
        <v>-0.93851615052420811</v>
      </c>
      <c r="BN171" s="19">
        <v>2.4453682726191346</v>
      </c>
    </row>
    <row r="172" spans="1:66" x14ac:dyDescent="0.2">
      <c r="A172" s="19" t="s">
        <v>695</v>
      </c>
      <c r="B172" s="19" t="s">
        <v>1030</v>
      </c>
      <c r="C172" s="19" t="s">
        <v>863</v>
      </c>
      <c r="D172" s="19" t="s">
        <v>864</v>
      </c>
      <c r="V172" s="19">
        <v>6.5476190536367653</v>
      </c>
      <c r="W172" s="19">
        <v>3.8308060859364446</v>
      </c>
      <c r="X172" s="19">
        <v>3.5165257472368694</v>
      </c>
      <c r="Y172" s="19">
        <v>-10.061258496433481</v>
      </c>
      <c r="Z172" s="19">
        <v>5.882352900563717</v>
      </c>
      <c r="AA172" s="19">
        <v>5.4970759276589547</v>
      </c>
      <c r="AB172" s="19">
        <v>0.38379531032690295</v>
      </c>
      <c r="AC172" s="19">
        <v>4.6983857270987954</v>
      </c>
      <c r="AD172" s="19">
        <v>6.9544754616553774</v>
      </c>
      <c r="AE172" s="19">
        <v>9.74203332117483</v>
      </c>
      <c r="AF172" s="19">
        <v>8.8910398265689992</v>
      </c>
      <c r="AG172" s="19">
        <v>6.7913467481272534</v>
      </c>
      <c r="AH172" s="19">
        <v>4.4651486071005024</v>
      </c>
      <c r="AI172" s="19">
        <v>7.1867367711148518</v>
      </c>
      <c r="AJ172" s="19">
        <v>4.4354462649983049</v>
      </c>
      <c r="AK172" s="19">
        <v>6.5126985944166336</v>
      </c>
      <c r="AL172" s="19">
        <v>5.0820629282413137</v>
      </c>
      <c r="AM172" s="19">
        <v>4.1361428983284014</v>
      </c>
      <c r="AN172" s="19">
        <v>4.2877365712880078</v>
      </c>
      <c r="AO172" s="19">
        <v>5.5878438994912898</v>
      </c>
      <c r="AP172" s="19">
        <v>5.6874774442269143</v>
      </c>
      <c r="AQ172" s="19">
        <v>6.0719401613885253</v>
      </c>
      <c r="AR172" s="19">
        <v>2.6109323187247355</v>
      </c>
      <c r="AS172" s="19">
        <v>8.2027917834950586</v>
      </c>
      <c r="AT172" s="19">
        <v>3.3475407107279125</v>
      </c>
      <c r="AU172" s="19">
        <v>1.6149186446190527</v>
      </c>
      <c r="AV172" s="19">
        <v>5.92544548864673</v>
      </c>
      <c r="AW172" s="19">
        <v>4.3300198720343701</v>
      </c>
      <c r="AX172" s="19">
        <v>1.7775430369348015</v>
      </c>
      <c r="AY172" s="19">
        <v>4.8655445910713979</v>
      </c>
      <c r="AZ172" s="19">
        <v>5.7270161598166851</v>
      </c>
      <c r="BA172" s="19">
        <v>5.38696254207251</v>
      </c>
      <c r="BB172" s="19">
        <v>3.3150769979078092</v>
      </c>
      <c r="BC172" s="19">
        <v>4.3772032234429332</v>
      </c>
      <c r="BD172" s="19">
        <v>4.0775380661033296</v>
      </c>
      <c r="BE172" s="19">
        <v>3.4961183647086642</v>
      </c>
      <c r="BF172" s="19">
        <v>3.3604060997413256</v>
      </c>
      <c r="BG172" s="19">
        <v>3.8269698200933675</v>
      </c>
      <c r="BH172" s="19">
        <v>3.6905569036943291</v>
      </c>
      <c r="BI172" s="19">
        <v>3.8624682634000038</v>
      </c>
      <c r="BJ172" s="19">
        <v>3.9379838063235297</v>
      </c>
      <c r="BK172" s="19">
        <v>4.0067405719854889</v>
      </c>
      <c r="BL172" s="19">
        <v>2.8914649566478516</v>
      </c>
      <c r="BM172" s="19">
        <v>-14.597398430687534</v>
      </c>
      <c r="BN172" s="19">
        <v>3.703611123964663</v>
      </c>
    </row>
    <row r="173" spans="1:66" x14ac:dyDescent="0.2">
      <c r="A173" s="19" t="s">
        <v>696</v>
      </c>
      <c r="B173" s="19" t="s">
        <v>1031</v>
      </c>
      <c r="C173" s="19" t="s">
        <v>863</v>
      </c>
      <c r="D173" s="19" t="s">
        <v>864</v>
      </c>
      <c r="F173" s="19">
        <v>7.6395978558323065</v>
      </c>
      <c r="G173" s="19">
        <v>0.6683647436528446</v>
      </c>
      <c r="H173" s="19">
        <v>-1.3910785179960499</v>
      </c>
      <c r="I173" s="19">
        <v>2.6611032679594473</v>
      </c>
      <c r="J173" s="19">
        <v>13.616493420406385</v>
      </c>
      <c r="K173" s="19">
        <v>13.249036322303937</v>
      </c>
      <c r="L173" s="19">
        <v>7.2815499434309601</v>
      </c>
      <c r="M173" s="19">
        <v>-1.9230791677632197</v>
      </c>
      <c r="N173" s="19">
        <v>5.8823598926810945</v>
      </c>
      <c r="O173" s="19">
        <v>0.47929797751609726</v>
      </c>
      <c r="P173" s="19">
        <v>16.218563634388872</v>
      </c>
      <c r="Q173" s="19">
        <v>6.231349010589355</v>
      </c>
      <c r="R173" s="19">
        <v>2.3006615706882059</v>
      </c>
      <c r="S173" s="19">
        <v>7.1759636181830899</v>
      </c>
      <c r="T173" s="19">
        <v>6.0868238062932392</v>
      </c>
      <c r="U173" s="19">
        <v>4.997731242316334</v>
      </c>
      <c r="V173" s="19">
        <v>4.9180313685283039</v>
      </c>
      <c r="W173" s="19">
        <v>9.7450680305519768</v>
      </c>
      <c r="X173" s="19">
        <v>4.39615373590307</v>
      </c>
      <c r="Y173" s="19">
        <v>0.40674641253808375</v>
      </c>
      <c r="Z173" s="19">
        <v>-5.2901192151239513</v>
      </c>
      <c r="AA173" s="19">
        <v>2.5034538113784919</v>
      </c>
      <c r="AB173" s="19">
        <v>3.718709050927302</v>
      </c>
      <c r="AC173" s="19">
        <v>5.3603040952232135</v>
      </c>
      <c r="AD173" s="19">
        <v>4.5709823042005411</v>
      </c>
      <c r="AE173" s="19">
        <v>-0.21480252045142834</v>
      </c>
      <c r="AF173" s="19">
        <v>1.6252391822707324</v>
      </c>
      <c r="AG173" s="19">
        <v>3.1772912788177905</v>
      </c>
      <c r="AH173" s="19">
        <v>1.344689706721681</v>
      </c>
      <c r="AI173" s="19">
        <v>5.6922944961787465</v>
      </c>
      <c r="AJ173" s="19">
        <v>8.7302318260577891</v>
      </c>
      <c r="AK173" s="19">
        <v>-7.3329781370188698</v>
      </c>
      <c r="AL173" s="19">
        <v>9.6918402731345736</v>
      </c>
      <c r="AM173" s="19">
        <v>-10.240181736268056</v>
      </c>
      <c r="AN173" s="19">
        <v>16.72881759055403</v>
      </c>
      <c r="AO173" s="19">
        <v>7.3166815116515664</v>
      </c>
      <c r="AP173" s="19">
        <v>3.7924190981084109</v>
      </c>
      <c r="AQ173" s="19">
        <v>3.8952536299637046</v>
      </c>
      <c r="AR173" s="19">
        <v>3.0422780921573604</v>
      </c>
      <c r="AS173" s="19">
        <v>1.5760778374189499</v>
      </c>
      <c r="AT173" s="19">
        <v>-4.9749638479601828</v>
      </c>
      <c r="AU173" s="19">
        <v>1.7000000147653509</v>
      </c>
      <c r="AV173" s="19">
        <v>5.705639436444315</v>
      </c>
      <c r="AW173" s="19">
        <v>5.4204976954002717</v>
      </c>
      <c r="AX173" s="19">
        <v>3.2687258253476301</v>
      </c>
      <c r="AY173" s="19">
        <v>4.6999999928839316</v>
      </c>
      <c r="AZ173" s="19">
        <v>9.6000000052043077</v>
      </c>
      <c r="BA173" s="19">
        <v>7.6397367747344163</v>
      </c>
      <c r="BB173" s="19">
        <v>8.3281102752484628</v>
      </c>
      <c r="BC173" s="19">
        <v>6.8740656329648004</v>
      </c>
      <c r="BD173" s="19">
        <v>4.8540551111721442</v>
      </c>
      <c r="BE173" s="19">
        <v>1.8857995075156424</v>
      </c>
      <c r="BF173" s="19">
        <v>5.1999999956050544</v>
      </c>
      <c r="BG173" s="19">
        <v>5.7000000050572339</v>
      </c>
      <c r="BH173" s="19">
        <v>2.8000000000603933</v>
      </c>
      <c r="BI173" s="19">
        <v>2.4840406259247061</v>
      </c>
      <c r="BJ173" s="19">
        <v>4.0000305163299288</v>
      </c>
      <c r="BK173" s="19">
        <v>4.391688296098863</v>
      </c>
      <c r="BL173" s="19">
        <v>5.4481813361728655</v>
      </c>
      <c r="BM173" s="19">
        <v>0.79999833090272432</v>
      </c>
      <c r="BN173" s="19">
        <v>2.7514164076295486</v>
      </c>
    </row>
    <row r="174" spans="1:66" x14ac:dyDescent="0.2">
      <c r="A174" s="19" t="s">
        <v>697</v>
      </c>
      <c r="B174" s="19" t="s">
        <v>1032</v>
      </c>
      <c r="C174" s="19" t="s">
        <v>863</v>
      </c>
      <c r="D174" s="19" t="s">
        <v>864</v>
      </c>
      <c r="F174" s="19">
        <v>7.5979940002828101</v>
      </c>
      <c r="G174" s="19">
        <v>6.4210296090431171</v>
      </c>
      <c r="H174" s="19">
        <v>7.3388035268233409</v>
      </c>
      <c r="I174" s="19">
        <v>5.3589629097105558</v>
      </c>
      <c r="J174" s="19">
        <v>7.6848634746731932</v>
      </c>
      <c r="K174" s="19">
        <v>7.8167110261881874</v>
      </c>
      <c r="L174" s="19">
        <v>3.8571464916198295</v>
      </c>
      <c r="M174" s="19">
        <v>7.9779946420117369</v>
      </c>
      <c r="N174" s="19">
        <v>4.888533652561236</v>
      </c>
      <c r="O174" s="19">
        <v>5.9865386303198562</v>
      </c>
      <c r="P174" s="19">
        <v>10.034660580343797</v>
      </c>
      <c r="Q174" s="19">
        <v>9.3884449909896119</v>
      </c>
      <c r="R174" s="19">
        <v>11.701081611994539</v>
      </c>
      <c r="S174" s="19">
        <v>8.3186619736197827</v>
      </c>
      <c r="T174" s="19">
        <v>0.8010680921923381</v>
      </c>
      <c r="U174" s="19">
        <v>11.563489777254603</v>
      </c>
      <c r="V174" s="19">
        <v>7.7530583803399793</v>
      </c>
      <c r="W174" s="19">
        <v>6.6538922150046318</v>
      </c>
      <c r="X174" s="19">
        <v>9.3490999307592801</v>
      </c>
      <c r="Y174" s="19">
        <v>7.4418267793440691</v>
      </c>
      <c r="Z174" s="19">
        <v>6.9421042011817349</v>
      </c>
      <c r="AA174" s="19">
        <v>5.9431524580101751</v>
      </c>
      <c r="AB174" s="19">
        <v>6.2522308109267328</v>
      </c>
      <c r="AC174" s="19">
        <v>7.7617901221888275</v>
      </c>
      <c r="AD174" s="19">
        <v>-1.0252502534207082</v>
      </c>
      <c r="AE174" s="19">
        <v>1.2405949275068764</v>
      </c>
      <c r="AF174" s="19">
        <v>5.1919321127270166</v>
      </c>
      <c r="AG174" s="19">
        <v>9.9377196765198903</v>
      </c>
      <c r="AH174" s="19">
        <v>9.0596008665042973</v>
      </c>
      <c r="AI174" s="19">
        <v>9.0085271377462846</v>
      </c>
      <c r="AJ174" s="19">
        <v>9.5454674144305187</v>
      </c>
      <c r="AK174" s="19">
        <v>8.8851179783215599</v>
      </c>
      <c r="AL174" s="19">
        <v>9.8949433337706409</v>
      </c>
      <c r="AM174" s="19">
        <v>9.2120417933486749</v>
      </c>
      <c r="AN174" s="19">
        <v>9.8290851973081175</v>
      </c>
      <c r="AO174" s="19">
        <v>10.002700686184411</v>
      </c>
      <c r="AP174" s="19">
        <v>7.3227418503592361</v>
      </c>
      <c r="AQ174" s="19">
        <v>-7.3594151881755607</v>
      </c>
      <c r="AR174" s="19">
        <v>6.1376120105769161</v>
      </c>
      <c r="AS174" s="19">
        <v>8.8588681696938636</v>
      </c>
      <c r="AT174" s="19">
        <v>0.51767531919286114</v>
      </c>
      <c r="AU174" s="19">
        <v>5.3909883069279658</v>
      </c>
      <c r="AV174" s="19">
        <v>5.7884992858874966</v>
      </c>
      <c r="AW174" s="19">
        <v>6.7834377237030452</v>
      </c>
      <c r="AX174" s="19">
        <v>5.3321391614148581</v>
      </c>
      <c r="AY174" s="19">
        <v>5.5848470671515003</v>
      </c>
      <c r="AZ174" s="19">
        <v>6.2987859274094689</v>
      </c>
      <c r="BA174" s="19">
        <v>4.8317698891309675</v>
      </c>
      <c r="BB174" s="19">
        <v>-1.5135287159871353</v>
      </c>
      <c r="BC174" s="19">
        <v>7.4248473832609676</v>
      </c>
      <c r="BD174" s="19">
        <v>5.2939128341400306</v>
      </c>
      <c r="BE174" s="19">
        <v>5.4734541925385258</v>
      </c>
      <c r="BF174" s="19">
        <v>4.6937225255789343</v>
      </c>
      <c r="BG174" s="19">
        <v>6.0067219455820293</v>
      </c>
      <c r="BH174" s="19">
        <v>5.091532421550113</v>
      </c>
      <c r="BI174" s="19">
        <v>4.4497813976154106</v>
      </c>
      <c r="BJ174" s="19">
        <v>5.8127224098332846</v>
      </c>
      <c r="BK174" s="19">
        <v>4.8430869763488147</v>
      </c>
      <c r="BL174" s="19">
        <v>4.4131902076968146</v>
      </c>
      <c r="BM174" s="19">
        <v>-5.5344562176253191</v>
      </c>
      <c r="BN174" s="19">
        <v>3.0921596498218804</v>
      </c>
    </row>
    <row r="175" spans="1:66" x14ac:dyDescent="0.2">
      <c r="A175" s="19" t="s">
        <v>698</v>
      </c>
      <c r="B175" s="19" t="s">
        <v>1033</v>
      </c>
      <c r="C175" s="19" t="s">
        <v>863</v>
      </c>
      <c r="D175" s="19" t="s">
        <v>864</v>
      </c>
      <c r="F175" s="19">
        <v>2.3011589791626079</v>
      </c>
      <c r="G175" s="19">
        <v>6.0991877879362306</v>
      </c>
      <c r="H175" s="19">
        <v>4.3983661747634386</v>
      </c>
      <c r="I175" s="19">
        <v>5.8025222286317586</v>
      </c>
      <c r="J175" s="19">
        <v>6.3991819291745173</v>
      </c>
      <c r="K175" s="19">
        <v>6.5038621370432992</v>
      </c>
      <c r="L175" s="19">
        <v>2.5056825823447326</v>
      </c>
      <c r="M175" s="19">
        <v>4.7984295305294893</v>
      </c>
      <c r="N175" s="19">
        <v>3.1001910276317091</v>
      </c>
      <c r="O175" s="19">
        <v>-0.27973386755559204</v>
      </c>
      <c r="P175" s="19">
        <v>3.2934391840054218</v>
      </c>
      <c r="Q175" s="19">
        <v>5.2568114661377194</v>
      </c>
      <c r="R175" s="19">
        <v>5.6432741462980118</v>
      </c>
      <c r="S175" s="19">
        <v>-0.53975047190844805</v>
      </c>
      <c r="T175" s="19">
        <v>-0.20317857520272753</v>
      </c>
      <c r="U175" s="19">
        <v>5.3902552151668885</v>
      </c>
      <c r="V175" s="19">
        <v>4.6249374485687582</v>
      </c>
      <c r="W175" s="19">
        <v>5.5327594044544526</v>
      </c>
      <c r="X175" s="19">
        <v>3.1655349948193106</v>
      </c>
      <c r="Y175" s="19">
        <v>-0.25188251727249167</v>
      </c>
      <c r="Z175" s="19">
        <v>2.5376186200873008</v>
      </c>
      <c r="AA175" s="19">
        <v>-1.8051207207768272</v>
      </c>
      <c r="AB175" s="19">
        <v>4.5823205677222774</v>
      </c>
      <c r="AC175" s="19">
        <v>7.232557438823207</v>
      </c>
      <c r="AD175" s="19">
        <v>4.1661662004063942</v>
      </c>
      <c r="AE175" s="19">
        <v>3.4643500958319748</v>
      </c>
      <c r="AF175" s="19">
        <v>3.4594114163449632</v>
      </c>
      <c r="AG175" s="19">
        <v>4.1769948467692615</v>
      </c>
      <c r="AH175" s="19">
        <v>3.6708747764771346</v>
      </c>
      <c r="AI175" s="19">
        <v>1.8849715850616917</v>
      </c>
      <c r="AJ175" s="19">
        <v>-0.11005457435247479</v>
      </c>
      <c r="AK175" s="19">
        <v>3.5206333686872711</v>
      </c>
      <c r="AL175" s="19">
        <v>2.7519061154724938</v>
      </c>
      <c r="AM175" s="19">
        <v>4.0271189481318146</v>
      </c>
      <c r="AN175" s="19">
        <v>2.6850270062591477</v>
      </c>
      <c r="AO175" s="19">
        <v>3.7720028384551512</v>
      </c>
      <c r="AP175" s="19">
        <v>4.44724748093914</v>
      </c>
      <c r="AQ175" s="19">
        <v>4.435859039631481</v>
      </c>
      <c r="AR175" s="19">
        <v>4.8222401147414615</v>
      </c>
      <c r="AS175" s="19">
        <v>4.164393781694443</v>
      </c>
      <c r="AT175" s="19">
        <v>1.0223252616256957</v>
      </c>
      <c r="AU175" s="19">
        <v>1.7982921943487469</v>
      </c>
      <c r="AV175" s="19">
        <v>2.7174105807551712</v>
      </c>
      <c r="AW175" s="19">
        <v>3.7915128998934762</v>
      </c>
      <c r="AX175" s="19">
        <v>3.4605508316314797</v>
      </c>
      <c r="AY175" s="19">
        <v>2.7724662374335907</v>
      </c>
      <c r="AZ175" s="19">
        <v>2.0157198920671959</v>
      </c>
      <c r="BA175" s="19">
        <v>0.19032006999528051</v>
      </c>
      <c r="BB175" s="19">
        <v>-2.6271181338412362</v>
      </c>
      <c r="BC175" s="19">
        <v>2.736368761757447</v>
      </c>
      <c r="BD175" s="19">
        <v>1.6732799349691447</v>
      </c>
      <c r="BE175" s="19">
        <v>2.2362651263190969</v>
      </c>
      <c r="BF175" s="19">
        <v>1.8797917470714651</v>
      </c>
      <c r="BG175" s="19">
        <v>2.3320529523194011</v>
      </c>
      <c r="BH175" s="19">
        <v>2.541510233891799</v>
      </c>
      <c r="BI175" s="19">
        <v>1.6142465399132391</v>
      </c>
      <c r="BJ175" s="19">
        <v>2.3048195635511064</v>
      </c>
      <c r="BK175" s="19">
        <v>2.9309897611732083</v>
      </c>
      <c r="BL175" s="19">
        <v>2.2611481213864408</v>
      </c>
      <c r="BM175" s="19">
        <v>-2.9623876318200644</v>
      </c>
      <c r="BN175" s="19">
        <v>5.837765895107367</v>
      </c>
    </row>
    <row r="176" spans="1:66" x14ac:dyDescent="0.2">
      <c r="A176" s="19" t="s">
        <v>699</v>
      </c>
      <c r="B176" s="19" t="s">
        <v>1034</v>
      </c>
      <c r="C176" s="19" t="s">
        <v>863</v>
      </c>
      <c r="D176" s="19" t="s">
        <v>864</v>
      </c>
      <c r="Z176" s="19">
        <v>0.97144950015074016</v>
      </c>
      <c r="AA176" s="19">
        <v>-0.39809074411238043</v>
      </c>
      <c r="AB176" s="19">
        <v>-1.8234503749055904</v>
      </c>
      <c r="AC176" s="19">
        <v>-0.23689152504525168</v>
      </c>
      <c r="AD176" s="19">
        <v>0.46417126180340063</v>
      </c>
      <c r="AE176" s="19">
        <v>4.767269666328275</v>
      </c>
      <c r="AF176" s="19">
        <v>3.5537691411760477</v>
      </c>
      <c r="AG176" s="19">
        <v>0.81314894282111538</v>
      </c>
      <c r="AH176" s="19">
        <v>1.8586749623072905</v>
      </c>
      <c r="AI176" s="19">
        <v>2.0474599398943241</v>
      </c>
      <c r="AJ176" s="19">
        <v>8.1656125026277948</v>
      </c>
      <c r="AK176" s="19">
        <v>7.1893425228052479</v>
      </c>
      <c r="AL176" s="19">
        <v>-1.5795391591690304</v>
      </c>
      <c r="AM176" s="19">
        <v>1.7298794884707434</v>
      </c>
      <c r="AN176" s="19">
        <v>3.8990142211042951</v>
      </c>
      <c r="AO176" s="19">
        <v>3.1913243011146903</v>
      </c>
      <c r="AP176" s="19">
        <v>4.2201003038447595</v>
      </c>
      <c r="AQ176" s="19">
        <v>3.2915856206481777</v>
      </c>
      <c r="AR176" s="19">
        <v>3.3692784244549756</v>
      </c>
      <c r="AS176" s="19">
        <v>3.4921833636517761</v>
      </c>
      <c r="AT176" s="19">
        <v>1.1779486946791735</v>
      </c>
      <c r="AU176" s="19">
        <v>4.7886612188211046</v>
      </c>
      <c r="AV176" s="19">
        <v>4.239794295821369</v>
      </c>
      <c r="AW176" s="19">
        <v>12.269548103676883</v>
      </c>
      <c r="AX176" s="19">
        <v>2.5292626581902198</v>
      </c>
      <c r="AY176" s="19">
        <v>7.0731753184582544</v>
      </c>
      <c r="AZ176" s="19">
        <v>5.374044151676344</v>
      </c>
      <c r="BA176" s="19">
        <v>2.6498120378026755</v>
      </c>
      <c r="BB176" s="19">
        <v>0.29597091400108866</v>
      </c>
      <c r="BC176" s="19">
        <v>6.0392494795585776</v>
      </c>
      <c r="BD176" s="19">
        <v>5.0913381386433798</v>
      </c>
      <c r="BE176" s="19">
        <v>5.0616820696264</v>
      </c>
      <c r="BF176" s="19">
        <v>5.6147196229489111</v>
      </c>
      <c r="BG176" s="19">
        <v>6.0925191391539215</v>
      </c>
      <c r="BH176" s="19">
        <v>4.264174528731985</v>
      </c>
      <c r="BI176" s="19">
        <v>3.3794488415537671E-2</v>
      </c>
      <c r="BJ176" s="19">
        <v>-1.0272508231304727</v>
      </c>
      <c r="BK176" s="19">
        <v>1.0599434426866026</v>
      </c>
      <c r="BL176" s="19">
        <v>-0.83915467805140054</v>
      </c>
      <c r="BM176" s="19">
        <v>-8.0362136616338518</v>
      </c>
      <c r="BN176" s="19">
        <v>2.6560508199969632</v>
      </c>
    </row>
    <row r="177" spans="1:66" x14ac:dyDescent="0.2">
      <c r="A177" s="19" t="s">
        <v>700</v>
      </c>
      <c r="B177" s="19" t="s">
        <v>1035</v>
      </c>
      <c r="C177" s="19" t="s">
        <v>863</v>
      </c>
      <c r="D177" s="19" t="s">
        <v>864</v>
      </c>
      <c r="K177" s="19">
        <v>-3.8485777011772768</v>
      </c>
      <c r="L177" s="19">
        <v>5.4007914425069856</v>
      </c>
      <c r="M177" s="19">
        <v>14.262554689016312</v>
      </c>
      <c r="N177" s="19">
        <v>15.716313385864396</v>
      </c>
      <c r="O177" s="19">
        <v>30.999289731945822</v>
      </c>
      <c r="P177" s="19">
        <v>6.9992156760698947</v>
      </c>
      <c r="Q177" s="19">
        <v>3.3984995462724896</v>
      </c>
      <c r="R177" s="19">
        <v>-11.199308627722473</v>
      </c>
      <c r="S177" s="19">
        <v>12.701115202272888</v>
      </c>
      <c r="T177" s="19">
        <v>6.4994718046191196</v>
      </c>
      <c r="U177" s="19">
        <v>2.299998213756794</v>
      </c>
      <c r="V177" s="19">
        <v>1.8998242817421556</v>
      </c>
      <c r="W177" s="19">
        <v>9.8000071958715722</v>
      </c>
      <c r="X177" s="19">
        <v>-13.600005070034385</v>
      </c>
      <c r="Y177" s="19">
        <v>-0.39999455233315473</v>
      </c>
      <c r="Z177" s="19">
        <v>-6.9999993701246694</v>
      </c>
      <c r="AA177" s="19">
        <v>2.3999924884235355</v>
      </c>
      <c r="AB177" s="19">
        <v>-1.9999975695876486</v>
      </c>
      <c r="AC177" s="19">
        <v>1.7999992389876098</v>
      </c>
      <c r="AD177" s="19">
        <v>4.5000004968434268</v>
      </c>
      <c r="AE177" s="19">
        <v>-1.0000034956538428</v>
      </c>
      <c r="AF177" s="19">
        <v>5.7000027455239604</v>
      </c>
      <c r="AG177" s="19">
        <v>34.600000652670701</v>
      </c>
      <c r="AH177" s="19">
        <v>10.999999473252032</v>
      </c>
      <c r="AI177" s="19">
        <v>3.6000012717431957</v>
      </c>
      <c r="AJ177" s="19">
        <v>4.900028143842448</v>
      </c>
      <c r="AK177" s="19">
        <v>0.51999483839222194</v>
      </c>
      <c r="AL177" s="19">
        <v>0.52979465453711327</v>
      </c>
      <c r="AM177" s="19">
        <v>2.5901869056366849</v>
      </c>
      <c r="AN177" s="19">
        <v>5.9400311023841965</v>
      </c>
      <c r="AO177" s="19">
        <v>0.44987908350562122</v>
      </c>
      <c r="AP177" s="19">
        <v>2.0071523304286103</v>
      </c>
      <c r="AQ177" s="19">
        <v>-3.2002755272662142</v>
      </c>
      <c r="AR177" s="19">
        <v>0.90017251917349483</v>
      </c>
      <c r="AS177" s="19">
        <v>2.1001088268880466</v>
      </c>
    </row>
    <row r="178" spans="1:66" x14ac:dyDescent="0.2">
      <c r="A178" s="19" t="s">
        <v>701</v>
      </c>
      <c r="B178" s="19" t="s">
        <v>1036</v>
      </c>
      <c r="C178" s="19" t="s">
        <v>863</v>
      </c>
      <c r="D178" s="19" t="s">
        <v>864</v>
      </c>
      <c r="F178" s="19">
        <v>4.5463930366017138</v>
      </c>
      <c r="G178" s="19">
        <v>10.278713498899677</v>
      </c>
      <c r="H178" s="19">
        <v>9.4282293200083274</v>
      </c>
      <c r="I178" s="19">
        <v>0.13103989108526548</v>
      </c>
      <c r="J178" s="19">
        <v>6.9197618176104072</v>
      </c>
      <c r="K178" s="19">
        <v>-0.38249719922025349</v>
      </c>
      <c r="L178" s="19">
        <v>0.1228686718162777</v>
      </c>
      <c r="M178" s="19">
        <v>0.38349466307356295</v>
      </c>
      <c r="N178" s="19">
        <v>-5.4859458133163201</v>
      </c>
      <c r="O178" s="19">
        <v>3.0557789220214744</v>
      </c>
      <c r="P178" s="19">
        <v>5.679320640483752</v>
      </c>
      <c r="Q178" s="19">
        <v>-5.1662723027692294</v>
      </c>
      <c r="R178" s="19">
        <v>-17.047583571920981</v>
      </c>
      <c r="S178" s="19">
        <v>8.7752380493631108</v>
      </c>
      <c r="T178" s="19">
        <v>-2.7931934359911423</v>
      </c>
      <c r="U178" s="19">
        <v>0.67820340230791487</v>
      </c>
      <c r="V178" s="19">
        <v>7.7645811193599314</v>
      </c>
      <c r="W178" s="19">
        <v>13.472612330141061</v>
      </c>
      <c r="X178" s="19">
        <v>7.1469960702447537</v>
      </c>
      <c r="Y178" s="19">
        <v>-2.4550361285750739</v>
      </c>
      <c r="Z178" s="19">
        <v>-0.17766607122605649</v>
      </c>
      <c r="AA178" s="19">
        <v>2.174460219733291</v>
      </c>
      <c r="AB178" s="19">
        <v>-3.8636279071415345</v>
      </c>
      <c r="AC178" s="19">
        <v>-16.819835113663729</v>
      </c>
      <c r="AD178" s="19">
        <v>7.7181274502118811</v>
      </c>
      <c r="AE178" s="19">
        <v>6.3521373029146844</v>
      </c>
      <c r="AF178" s="19">
        <v>8.8281359723339392E-2</v>
      </c>
      <c r="AG178" s="19">
        <v>6.8711501367136947</v>
      </c>
      <c r="AH178" s="19">
        <v>0.95704597254847101</v>
      </c>
      <c r="AI178" s="19">
        <v>-1.3084782848195857</v>
      </c>
      <c r="AJ178" s="19">
        <v>-0.43948910045781986</v>
      </c>
      <c r="AK178" s="19">
        <v>2.0007523614285105</v>
      </c>
      <c r="AL178" s="19">
        <v>0.32165547443278797</v>
      </c>
      <c r="AM178" s="19">
        <v>1.8547787910116824</v>
      </c>
      <c r="AN178" s="19">
        <v>2.457244122315501</v>
      </c>
      <c r="AO178" s="19">
        <v>0.10053050428140864</v>
      </c>
      <c r="AP178" s="19">
        <v>1.5274757105066641</v>
      </c>
      <c r="AQ178" s="19">
        <v>9.9726149564244366</v>
      </c>
      <c r="AR178" s="19">
        <v>-0.21956251791660009</v>
      </c>
      <c r="AS178" s="19">
        <v>-1.2084777410057512</v>
      </c>
      <c r="AT178" s="19">
        <v>7.2681349021323456</v>
      </c>
      <c r="AU178" s="19">
        <v>4.9184705759462162</v>
      </c>
      <c r="AV178" s="19">
        <v>2.1706103837418027</v>
      </c>
      <c r="AW178" s="19">
        <v>0.36380157872213204</v>
      </c>
      <c r="AX178" s="19">
        <v>7.3318688425851661</v>
      </c>
      <c r="AY178" s="19">
        <v>5.9310499735034199</v>
      </c>
      <c r="AZ178" s="19">
        <v>3.1427240838673072</v>
      </c>
      <c r="BA178" s="19">
        <v>7.7314142277733708</v>
      </c>
      <c r="BB178" s="19">
        <v>1.9626009069464487</v>
      </c>
      <c r="BC178" s="19">
        <v>8.5781667426225283</v>
      </c>
      <c r="BD178" s="19">
        <v>2.35775693603874</v>
      </c>
      <c r="BE178" s="19">
        <v>10.54894457634461</v>
      </c>
      <c r="BF178" s="19">
        <v>5.3151306339472626</v>
      </c>
      <c r="BG178" s="19">
        <v>6.6421366549560332</v>
      </c>
      <c r="BH178" s="19">
        <v>4.3926488320729078</v>
      </c>
      <c r="BI178" s="19">
        <v>5.7408931505815701</v>
      </c>
      <c r="BJ178" s="19">
        <v>5.0013599450659143</v>
      </c>
      <c r="BK178" s="19">
        <v>7.2108030082462307</v>
      </c>
      <c r="BL178" s="19">
        <v>5.9413968629707057</v>
      </c>
      <c r="BM178" s="19">
        <v>3.5502275061625994</v>
      </c>
      <c r="BN178" s="19">
        <v>1.387129177300622</v>
      </c>
    </row>
    <row r="179" spans="1:66" x14ac:dyDescent="0.2">
      <c r="A179" s="19" t="s">
        <v>702</v>
      </c>
      <c r="B179" s="19" t="s">
        <v>1037</v>
      </c>
      <c r="C179" s="19" t="s">
        <v>863</v>
      </c>
      <c r="D179" s="19" t="s">
        <v>864</v>
      </c>
      <c r="F179" s="19">
        <v>0.19179548957242787</v>
      </c>
      <c r="G179" s="19">
        <v>4.1029925886798537</v>
      </c>
      <c r="H179" s="19">
        <v>8.5786189152970707</v>
      </c>
      <c r="I179" s="19">
        <v>4.9504886660415508</v>
      </c>
      <c r="J179" s="19">
        <v>4.8849768341290059</v>
      </c>
      <c r="K179" s="19">
        <v>-4.2505141841549516</v>
      </c>
      <c r="L179" s="19">
        <v>-15.743628208205095</v>
      </c>
      <c r="M179" s="19">
        <v>-1.2483602458120231</v>
      </c>
      <c r="N179" s="19">
        <v>24.197383945680599</v>
      </c>
      <c r="O179" s="19">
        <v>25.007241929389565</v>
      </c>
      <c r="P179" s="19">
        <v>14.237531556250957</v>
      </c>
      <c r="Q179" s="19">
        <v>3.3642620350363472</v>
      </c>
      <c r="R179" s="19">
        <v>5.3927604839590941</v>
      </c>
      <c r="S179" s="19">
        <v>11.160674545486145</v>
      </c>
      <c r="T179" s="19">
        <v>-5.2277475553208319</v>
      </c>
      <c r="U179" s="19">
        <v>9.0423517263021154</v>
      </c>
      <c r="V179" s="19">
        <v>6.0241178495416676</v>
      </c>
      <c r="W179" s="19">
        <v>-5.7641583939028465</v>
      </c>
      <c r="X179" s="19">
        <v>6.7594309351917587</v>
      </c>
      <c r="Y179" s="19">
        <v>4.2048310442729644</v>
      </c>
      <c r="Z179" s="19">
        <v>-13.12788048505135</v>
      </c>
      <c r="AA179" s="19">
        <v>-6.8033888153481286</v>
      </c>
      <c r="AB179" s="19">
        <v>-10.924085033938681</v>
      </c>
      <c r="AC179" s="19">
        <v>-1.1156232171682348</v>
      </c>
      <c r="AD179" s="19">
        <v>5.9130274591138345</v>
      </c>
      <c r="AE179" s="19">
        <v>6.0945274206787303E-2</v>
      </c>
      <c r="AF179" s="19">
        <v>3.2001254670293946</v>
      </c>
      <c r="AG179" s="19">
        <v>7.3340254875871977</v>
      </c>
      <c r="AH179" s="19">
        <v>1.9193812958954197</v>
      </c>
      <c r="AI179" s="19">
        <v>11.776885934206945</v>
      </c>
      <c r="AJ179" s="19">
        <v>0.35835260258265578</v>
      </c>
      <c r="AK179" s="19">
        <v>4.6311929469535613</v>
      </c>
      <c r="AL179" s="19">
        <v>-2.0351187757126468</v>
      </c>
      <c r="AM179" s="19">
        <v>-1.8149244834631872</v>
      </c>
      <c r="AN179" s="19">
        <v>-7.2664766676595605E-2</v>
      </c>
      <c r="AO179" s="19">
        <v>4.1959240452684128</v>
      </c>
      <c r="AP179" s="19">
        <v>2.9370994197520019</v>
      </c>
      <c r="AQ179" s="19">
        <v>2.5812541028255254</v>
      </c>
      <c r="AR179" s="19">
        <v>0.58412689458522493</v>
      </c>
      <c r="AS179" s="19">
        <v>5.0159347572053861</v>
      </c>
      <c r="AT179" s="19">
        <v>5.9176846516328681</v>
      </c>
      <c r="AU179" s="19">
        <v>15.329155738186401</v>
      </c>
      <c r="AV179" s="19">
        <v>7.3471949703428407</v>
      </c>
      <c r="AW179" s="19">
        <v>9.2505582284969421</v>
      </c>
      <c r="AX179" s="19">
        <v>6.4385165250910461</v>
      </c>
      <c r="AY179" s="19">
        <v>6.0594280312554787</v>
      </c>
      <c r="AZ179" s="19">
        <v>6.5911303607354199</v>
      </c>
      <c r="BA179" s="19">
        <v>6.7644727778479989</v>
      </c>
      <c r="BB179" s="19">
        <v>8.0369251018968413</v>
      </c>
      <c r="BC179" s="19">
        <v>8.0056559152817783</v>
      </c>
      <c r="BD179" s="19">
        <v>5.3079242036664169</v>
      </c>
      <c r="BE179" s="19">
        <v>4.2300611751055328</v>
      </c>
      <c r="BF179" s="19">
        <v>6.6713353928837762</v>
      </c>
      <c r="BG179" s="19">
        <v>6.3097186557238274</v>
      </c>
      <c r="BH179" s="19">
        <v>2.6526932954183451</v>
      </c>
      <c r="BI179" s="19">
        <v>-1.6168689499181568</v>
      </c>
      <c r="BJ179" s="19">
        <v>0.80588661954270435</v>
      </c>
      <c r="BK179" s="19">
        <v>1.9227573415730177</v>
      </c>
      <c r="BL179" s="19">
        <v>2.2084292771582028</v>
      </c>
      <c r="BM179" s="19">
        <v>-1.7942530823359135</v>
      </c>
      <c r="BN179" s="19">
        <v>3.6471865410069597</v>
      </c>
    </row>
    <row r="180" spans="1:66" x14ac:dyDescent="0.2">
      <c r="A180" s="19" t="s">
        <v>703</v>
      </c>
      <c r="B180" s="19" t="s">
        <v>1038</v>
      </c>
      <c r="C180" s="19" t="s">
        <v>863</v>
      </c>
      <c r="D180" s="19" t="s">
        <v>864</v>
      </c>
      <c r="F180" s="19">
        <v>7.4977433984909823</v>
      </c>
      <c r="G180" s="19">
        <v>10.890798329097777</v>
      </c>
      <c r="H180" s="19">
        <v>10.865479245782112</v>
      </c>
      <c r="I180" s="19">
        <v>11.698479030154502</v>
      </c>
      <c r="J180" s="19">
        <v>9.5251558262479818</v>
      </c>
      <c r="K180" s="19">
        <v>3.3011363985888238</v>
      </c>
      <c r="L180" s="19">
        <v>6.9695138247681143</v>
      </c>
      <c r="M180" s="19">
        <v>1.3429600526567214</v>
      </c>
      <c r="N180" s="19">
        <v>6.2377039083323353</v>
      </c>
      <c r="O180" s="19">
        <v>1.3538265901273689</v>
      </c>
      <c r="P180" s="19">
        <v>3.30475650020486</v>
      </c>
      <c r="Q180" s="19">
        <v>2.2207228918106523</v>
      </c>
      <c r="R180" s="19">
        <v>6.4170139736610565</v>
      </c>
      <c r="S180" s="19">
        <v>14.192425095304358</v>
      </c>
      <c r="T180" s="19">
        <v>-0.15324689434270056</v>
      </c>
      <c r="U180" s="19">
        <v>5.2094544984769584</v>
      </c>
      <c r="V180" s="19">
        <v>8.3684805302991236</v>
      </c>
      <c r="W180" s="19">
        <v>-7.8388003706421046</v>
      </c>
      <c r="X180" s="19">
        <v>-26.478788867521146</v>
      </c>
      <c r="Y180" s="19">
        <v>4.6117322795338254</v>
      </c>
      <c r="Z180" s="19">
        <v>5.3632901893812885</v>
      </c>
      <c r="AA180" s="19">
        <v>-0.81636191874349606</v>
      </c>
      <c r="AB180" s="19">
        <v>4.6132116270050147</v>
      </c>
      <c r="AC180" s="19">
        <v>-1.566093913197335</v>
      </c>
      <c r="AD180" s="19">
        <v>-4.0818514873193124</v>
      </c>
      <c r="AE180" s="19">
        <v>-1.0173091612009699</v>
      </c>
      <c r="AF180" s="19">
        <v>-0.7063529415000005</v>
      </c>
      <c r="AG180" s="19">
        <v>-12.449822036712405</v>
      </c>
      <c r="AH180" s="19">
        <v>-1.7382163305212401</v>
      </c>
      <c r="AI180" s="19">
        <v>-5.2499721268773669E-2</v>
      </c>
      <c r="AJ180" s="19">
        <v>-0.18928149951814532</v>
      </c>
      <c r="AK180" s="19">
        <v>0.38634653738137104</v>
      </c>
      <c r="AL180" s="19">
        <v>-0.39293593132420312</v>
      </c>
      <c r="AM180" s="19">
        <v>3.3377259970967259</v>
      </c>
      <c r="AN180" s="19">
        <v>5.911907957145047</v>
      </c>
      <c r="AO180" s="19">
        <v>6.3442683853953952</v>
      </c>
      <c r="AP180" s="19">
        <v>3.9666509765892641</v>
      </c>
      <c r="AQ180" s="19">
        <v>3.7116814653749515</v>
      </c>
      <c r="AR180" s="19">
        <v>7.0359704684684488</v>
      </c>
      <c r="AS180" s="19">
        <v>4.1015902359822292</v>
      </c>
      <c r="AT180" s="19">
        <v>2.9608434272423665</v>
      </c>
      <c r="AU180" s="19">
        <v>0.75393885752600909</v>
      </c>
      <c r="AV180" s="19">
        <v>2.5207328923667376</v>
      </c>
      <c r="AW180" s="19">
        <v>5.3121706121541195</v>
      </c>
      <c r="AX180" s="19">
        <v>4.2823983633356164</v>
      </c>
      <c r="AY180" s="19">
        <v>4.153199565878424</v>
      </c>
      <c r="AZ180" s="19">
        <v>5.0767017006487833</v>
      </c>
      <c r="BA180" s="19">
        <v>3.4363738287819245</v>
      </c>
      <c r="BB180" s="19">
        <v>-3.2927896191574888</v>
      </c>
      <c r="BC180" s="19">
        <v>4.4096454990873326</v>
      </c>
      <c r="BD180" s="19">
        <v>6.3174763832658556</v>
      </c>
      <c r="BE180" s="19">
        <v>6.4952580144964145</v>
      </c>
      <c r="BF180" s="19">
        <v>4.9275028612835996</v>
      </c>
      <c r="BG180" s="19">
        <v>4.7858161704434679</v>
      </c>
      <c r="BH180" s="19">
        <v>4.7920567655464623</v>
      </c>
      <c r="BI180" s="19">
        <v>4.563515388051627</v>
      </c>
      <c r="BJ180" s="19">
        <v>4.6307955209785518</v>
      </c>
      <c r="BK180" s="19">
        <v>-3.3637057173863951</v>
      </c>
      <c r="BL180" s="19">
        <v>-3.7793331961995449</v>
      </c>
      <c r="BM180" s="19">
        <v>-1.7899754441716027</v>
      </c>
      <c r="BN180" s="19">
        <v>10.344340704918892</v>
      </c>
    </row>
    <row r="181" spans="1:66" x14ac:dyDescent="0.2">
      <c r="A181" s="19" t="s">
        <v>704</v>
      </c>
      <c r="B181" s="19" t="s">
        <v>1039</v>
      </c>
      <c r="C181" s="19" t="s">
        <v>863</v>
      </c>
      <c r="D181" s="19" t="s">
        <v>864</v>
      </c>
      <c r="F181" s="19">
        <v>0.29554667271661117</v>
      </c>
      <c r="G181" s="19">
        <v>6.8435073210287243</v>
      </c>
      <c r="H181" s="19">
        <v>3.6246215304735756</v>
      </c>
      <c r="I181" s="19">
        <v>8.2749039306045944</v>
      </c>
      <c r="J181" s="19">
        <v>8.6430949357500992</v>
      </c>
      <c r="K181" s="19">
        <v>2.7411043345546346</v>
      </c>
      <c r="L181" s="19">
        <v>5.2800147469768319</v>
      </c>
      <c r="M181" s="19">
        <v>6.4161340399009106</v>
      </c>
      <c r="N181" s="19">
        <v>6.4294490775908884</v>
      </c>
      <c r="O181" s="19">
        <v>6.1401816481438232</v>
      </c>
      <c r="P181" s="19">
        <v>4.316980365114361</v>
      </c>
      <c r="Q181" s="19">
        <v>3.5338744094053993</v>
      </c>
      <c r="R181" s="19">
        <v>5.444222984832578</v>
      </c>
      <c r="S181" s="19">
        <v>3.4387178607190378</v>
      </c>
      <c r="T181" s="19">
        <v>2.0288622837512094E-3</v>
      </c>
      <c r="U181" s="19">
        <v>4.4563096516099705</v>
      </c>
      <c r="V181" s="19">
        <v>2.5204402791895859</v>
      </c>
      <c r="W181" s="19">
        <v>2.6962469637160495</v>
      </c>
      <c r="X181" s="19">
        <v>2.0141661280197667</v>
      </c>
      <c r="Y181" s="19">
        <v>1.341914135954994</v>
      </c>
      <c r="Z181" s="19">
        <v>-0.78361170741607111</v>
      </c>
      <c r="AA181" s="19">
        <v>-1.2407565927083795</v>
      </c>
      <c r="AB181" s="19">
        <v>2.0699578879006282</v>
      </c>
      <c r="AC181" s="19">
        <v>3.061679182172611</v>
      </c>
      <c r="AD181" s="19">
        <v>2.5801797705026246</v>
      </c>
      <c r="AE181" s="19">
        <v>2.7869757369201977</v>
      </c>
      <c r="AF181" s="19">
        <v>1.9312486849542267</v>
      </c>
      <c r="AG181" s="19">
        <v>3.4412188612939616</v>
      </c>
      <c r="AH181" s="19">
        <v>4.4201178960851877</v>
      </c>
      <c r="AI181" s="19">
        <v>4.1832229863407235</v>
      </c>
      <c r="AJ181" s="19">
        <v>2.4391344083439179</v>
      </c>
      <c r="AK181" s="19">
        <v>1.706070897200533</v>
      </c>
      <c r="AL181" s="19">
        <v>1.2575521578357325</v>
      </c>
      <c r="AM181" s="19">
        <v>2.961092569146345</v>
      </c>
      <c r="AN181" s="19">
        <v>3.1160359856591526</v>
      </c>
      <c r="AO181" s="19">
        <v>3.4987421205792941</v>
      </c>
      <c r="AP181" s="19">
        <v>4.3290534045254958</v>
      </c>
      <c r="AQ181" s="19">
        <v>4.6639171601524652</v>
      </c>
      <c r="AR181" s="19">
        <v>5.0340481518183537</v>
      </c>
      <c r="AS181" s="19">
        <v>4.1956424978691018</v>
      </c>
      <c r="AT181" s="19">
        <v>2.3269550869925837</v>
      </c>
      <c r="AU181" s="19">
        <v>0.21727359494956033</v>
      </c>
      <c r="AV181" s="19">
        <v>0.15564589801701345</v>
      </c>
      <c r="AW181" s="19">
        <v>1.9849457142215243</v>
      </c>
      <c r="AX181" s="19">
        <v>2.0508761081388087</v>
      </c>
      <c r="AY181" s="19">
        <v>3.4609889541150238</v>
      </c>
      <c r="AZ181" s="19">
        <v>3.7728425207388199</v>
      </c>
      <c r="BA181" s="19">
        <v>2.1703248513360336</v>
      </c>
      <c r="BB181" s="19">
        <v>-3.66688393735825</v>
      </c>
      <c r="BC181" s="19">
        <v>1.3427393363655256</v>
      </c>
      <c r="BD181" s="19">
        <v>1.5511893124465104</v>
      </c>
      <c r="BE181" s="19">
        <v>-1.0303539914843611</v>
      </c>
      <c r="BF181" s="19">
        <v>-0.13017528844991944</v>
      </c>
      <c r="BG181" s="19">
        <v>1.4233953951008402</v>
      </c>
      <c r="BH181" s="19">
        <v>1.95916972105708</v>
      </c>
      <c r="BI181" s="19">
        <v>2.1917137192612302</v>
      </c>
      <c r="BJ181" s="19">
        <v>2.9109025131500488</v>
      </c>
      <c r="BK181" s="19">
        <v>2.3609150947851276</v>
      </c>
      <c r="BL181" s="19">
        <v>1.9555884157404648</v>
      </c>
      <c r="BM181" s="19">
        <v>-3.8860839181960927</v>
      </c>
      <c r="BN181" s="19">
        <v>4.8632191493384767</v>
      </c>
    </row>
    <row r="182" spans="1:66" x14ac:dyDescent="0.2">
      <c r="A182" s="19" t="s">
        <v>705</v>
      </c>
      <c r="B182" s="19" t="s">
        <v>1040</v>
      </c>
      <c r="C182" s="19" t="s">
        <v>863</v>
      </c>
      <c r="D182" s="19" t="s">
        <v>864</v>
      </c>
      <c r="F182" s="19">
        <v>6.2733355104072928</v>
      </c>
      <c r="G182" s="19">
        <v>2.813945138445419</v>
      </c>
      <c r="H182" s="19">
        <v>3.7850430836605256</v>
      </c>
      <c r="I182" s="19">
        <v>5.0096509866238961</v>
      </c>
      <c r="J182" s="19">
        <v>5.2856088005521826</v>
      </c>
      <c r="K182" s="19">
        <v>3.7865132548973435</v>
      </c>
      <c r="L182" s="19">
        <v>6.2560790063555629</v>
      </c>
      <c r="M182" s="19">
        <v>2.2598755281926231</v>
      </c>
      <c r="N182" s="19">
        <v>4.5046114555913732</v>
      </c>
      <c r="O182" s="19">
        <v>1.9433005054834638</v>
      </c>
      <c r="P182" s="19">
        <v>5.6724074752656719</v>
      </c>
      <c r="Q182" s="19">
        <v>5.3306259159419511</v>
      </c>
      <c r="R182" s="19">
        <v>4.5329188456951073</v>
      </c>
      <c r="S182" s="19">
        <v>3.9230102019743214</v>
      </c>
      <c r="T182" s="19">
        <v>4.9521477854440121</v>
      </c>
      <c r="U182" s="19">
        <v>5.8253934592604963</v>
      </c>
      <c r="V182" s="19">
        <v>4.1607473224286196</v>
      </c>
      <c r="W182" s="19">
        <v>3.8694062507246656</v>
      </c>
      <c r="X182" s="19">
        <v>4.3724599273172231</v>
      </c>
      <c r="Y182" s="19">
        <v>4.5646483564192124</v>
      </c>
      <c r="Z182" s="19">
        <v>1.5982743637398329</v>
      </c>
      <c r="AA182" s="19">
        <v>0.23535447844670898</v>
      </c>
      <c r="AB182" s="19">
        <v>3.9728088135512394</v>
      </c>
      <c r="AC182" s="19">
        <v>6.0524031653418149</v>
      </c>
      <c r="AD182" s="19">
        <v>5.5533589637364287</v>
      </c>
      <c r="AE182" s="19">
        <v>4.0422526208130876</v>
      </c>
      <c r="AF182" s="19">
        <v>1.7534007889965721</v>
      </c>
      <c r="AG182" s="19">
        <v>-0.25534725777937695</v>
      </c>
      <c r="AH182" s="19">
        <v>1.038289969351311</v>
      </c>
      <c r="AI182" s="19">
        <v>1.9324198265052104</v>
      </c>
      <c r="AJ182" s="19">
        <v>3.0847213952660155</v>
      </c>
      <c r="AK182" s="19">
        <v>3.5743955389190063</v>
      </c>
      <c r="AL182" s="19">
        <v>2.8453243667576231</v>
      </c>
      <c r="AM182" s="19">
        <v>5.0554273877133653</v>
      </c>
      <c r="AN182" s="19">
        <v>4.1554913341920354</v>
      </c>
      <c r="AO182" s="19">
        <v>5.0279471718714319</v>
      </c>
      <c r="AP182" s="19">
        <v>5.2845929848029556</v>
      </c>
      <c r="AQ182" s="19">
        <v>2.6244262219658339</v>
      </c>
      <c r="AR182" s="19">
        <v>2.0128632887601299</v>
      </c>
      <c r="AS182" s="19">
        <v>3.2049792222521774</v>
      </c>
      <c r="AT182" s="19">
        <v>2.074790393883859</v>
      </c>
      <c r="AU182" s="19">
        <v>1.446254139604136</v>
      </c>
      <c r="AV182" s="19">
        <v>0.9101056643075367</v>
      </c>
      <c r="AW182" s="19">
        <v>3.9694145601364141</v>
      </c>
      <c r="AX182" s="19">
        <v>2.6254199382972416</v>
      </c>
      <c r="AY182" s="19">
        <v>2.3998284262960254</v>
      </c>
      <c r="AZ182" s="19">
        <v>2.9942877144258944</v>
      </c>
      <c r="BA182" s="19">
        <v>0.47634501307163646</v>
      </c>
      <c r="BB182" s="19">
        <v>-1.7270203094871306</v>
      </c>
      <c r="BC182" s="19">
        <v>0.70183382386235849</v>
      </c>
      <c r="BD182" s="19">
        <v>0.98143447858535637</v>
      </c>
      <c r="BE182" s="19">
        <v>2.7031094705930911</v>
      </c>
      <c r="BF182" s="19">
        <v>1.0340729135363063</v>
      </c>
      <c r="BG182" s="19">
        <v>1.9695443007938991</v>
      </c>
      <c r="BH182" s="19">
        <v>1.9671284382140755</v>
      </c>
      <c r="BI182" s="19">
        <v>1.0715589772072747</v>
      </c>
      <c r="BJ182" s="19">
        <v>2.3232902083824882</v>
      </c>
      <c r="BK182" s="19">
        <v>1.1188284794512242</v>
      </c>
      <c r="BL182" s="19">
        <v>0.74579821924348266</v>
      </c>
      <c r="BM182" s="19">
        <v>-0.71718266924479224</v>
      </c>
      <c r="BN182" s="19">
        <v>3.8809360363676717</v>
      </c>
    </row>
    <row r="183" spans="1:66" x14ac:dyDescent="0.2">
      <c r="A183" s="19" t="s">
        <v>706</v>
      </c>
      <c r="B183" s="19" t="s">
        <v>1041</v>
      </c>
      <c r="C183" s="19" t="s">
        <v>863</v>
      </c>
      <c r="D183" s="19" t="s">
        <v>864</v>
      </c>
      <c r="F183" s="19">
        <v>1.9082659718423969</v>
      </c>
      <c r="G183" s="19">
        <v>1.9103200307780668</v>
      </c>
      <c r="H183" s="19">
        <v>1.8951116448191243</v>
      </c>
      <c r="I183" s="19">
        <v>7.5324485527316085</v>
      </c>
      <c r="J183" s="19">
        <v>-1.2031890183607317</v>
      </c>
      <c r="K183" s="19">
        <v>7.0406431449628712</v>
      </c>
      <c r="L183" s="19">
        <v>-1.5714974995745337</v>
      </c>
      <c r="M183" s="19">
        <v>0.67548346304491247</v>
      </c>
      <c r="N183" s="19">
        <v>4.4634216033196736</v>
      </c>
      <c r="O183" s="19">
        <v>2.5759921268742261</v>
      </c>
      <c r="P183" s="19">
        <v>-1.195383302353676</v>
      </c>
      <c r="Q183" s="19">
        <v>3.1178003640463885</v>
      </c>
      <c r="R183" s="19">
        <v>-0.47653626786384962</v>
      </c>
      <c r="S183" s="19">
        <v>6.3335903721727647</v>
      </c>
      <c r="T183" s="19">
        <v>1.4564707094430815</v>
      </c>
      <c r="U183" s="19">
        <v>4.398536178498432</v>
      </c>
      <c r="V183" s="19">
        <v>3.0169734422282488</v>
      </c>
      <c r="W183" s="19">
        <v>4.4057413892811184</v>
      </c>
      <c r="X183" s="19">
        <v>2.3688777953299081</v>
      </c>
      <c r="Y183" s="19">
        <v>-2.3193942051193233</v>
      </c>
      <c r="Z183" s="19">
        <v>8.3419741353082202</v>
      </c>
      <c r="AA183" s="19">
        <v>3.7793746537620621</v>
      </c>
      <c r="AB183" s="19">
        <v>-2.9774058574199813</v>
      </c>
      <c r="AC183" s="19">
        <v>9.6811300158857705</v>
      </c>
      <c r="AD183" s="19">
        <v>6.1449052372312991</v>
      </c>
      <c r="AE183" s="19">
        <v>4.5656505455874026</v>
      </c>
      <c r="AF183" s="19">
        <v>1.6956182657341685</v>
      </c>
      <c r="AG183" s="19">
        <v>7.6968087110725634</v>
      </c>
      <c r="AH183" s="19">
        <v>4.3296479328628124</v>
      </c>
      <c r="AI183" s="19">
        <v>4.6350363469186249</v>
      </c>
      <c r="AJ183" s="19">
        <v>6.3681504048586532</v>
      </c>
      <c r="AK183" s="19">
        <v>4.1064066046462671</v>
      </c>
      <c r="AL183" s="19">
        <v>3.8498500267534723</v>
      </c>
      <c r="AM183" s="19">
        <v>8.2160027048607844</v>
      </c>
      <c r="AN183" s="19">
        <v>3.4684518894746503</v>
      </c>
      <c r="AO183" s="19">
        <v>5.3282841763213185</v>
      </c>
      <c r="AP183" s="19">
        <v>5.0486125363837147</v>
      </c>
      <c r="AQ183" s="19">
        <v>3.0163894807015339</v>
      </c>
      <c r="AR183" s="19">
        <v>4.4125732747179569</v>
      </c>
      <c r="AS183" s="19">
        <v>6.1999999852025809</v>
      </c>
      <c r="AT183" s="19">
        <v>4.7998921457832751</v>
      </c>
      <c r="AU183" s="19">
        <v>0.12014317915733841</v>
      </c>
      <c r="AV183" s="19">
        <v>3.9450377605456026</v>
      </c>
      <c r="AW183" s="19">
        <v>4.6826032485759725</v>
      </c>
      <c r="AX183" s="19">
        <v>3.4791810441457898</v>
      </c>
      <c r="AY183" s="19">
        <v>3.3646147873406846</v>
      </c>
      <c r="AZ183" s="19">
        <v>3.4115602745576865</v>
      </c>
      <c r="BA183" s="19">
        <v>6.1046391472948045</v>
      </c>
      <c r="BB183" s="19">
        <v>4.5330787212116235</v>
      </c>
      <c r="BC183" s="19">
        <v>4.8164146511857666</v>
      </c>
      <c r="BD183" s="19">
        <v>3.421828237520856</v>
      </c>
      <c r="BE183" s="19">
        <v>4.6701221485020596</v>
      </c>
      <c r="BF183" s="19">
        <v>3.5251531738192483</v>
      </c>
      <c r="BG183" s="19">
        <v>6.0114828408077727</v>
      </c>
      <c r="BH183" s="19">
        <v>3.976053273981961</v>
      </c>
      <c r="BI183" s="19">
        <v>0.43311371777699037</v>
      </c>
      <c r="BJ183" s="19">
        <v>8.977279354213195</v>
      </c>
      <c r="BK183" s="19">
        <v>7.6223761076816885</v>
      </c>
      <c r="BL183" s="19">
        <v>6.6570554280283432</v>
      </c>
      <c r="BM183" s="19">
        <v>-2.369620626528615</v>
      </c>
      <c r="BN183" s="19">
        <v>4.2469401414548145</v>
      </c>
    </row>
    <row r="184" spans="1:66" x14ac:dyDescent="0.2">
      <c r="A184" s="19" t="s">
        <v>707</v>
      </c>
      <c r="B184" s="19" t="s">
        <v>1042</v>
      </c>
      <c r="C184" s="19" t="s">
        <v>863</v>
      </c>
      <c r="D184" s="19" t="s">
        <v>864</v>
      </c>
      <c r="AX184" s="19">
        <v>-3.0303030303030312</v>
      </c>
      <c r="AY184" s="19">
        <v>9.375</v>
      </c>
      <c r="AZ184" s="19">
        <v>-22.857142857142847</v>
      </c>
      <c r="BA184" s="19">
        <v>22.222222222222229</v>
      </c>
      <c r="BB184" s="19">
        <v>9.0909090909090793</v>
      </c>
      <c r="BC184" s="19">
        <v>11.111111111111114</v>
      </c>
      <c r="BD184" s="19">
        <v>10</v>
      </c>
      <c r="BE184" s="19">
        <v>11.36363636363636</v>
      </c>
      <c r="BF184" s="19">
        <v>30.612244897959187</v>
      </c>
      <c r="BG184" s="19">
        <v>26.5625</v>
      </c>
      <c r="BH184" s="19">
        <v>3.7037037037036953</v>
      </c>
      <c r="BI184" s="19">
        <v>3.5714285714285836</v>
      </c>
      <c r="BJ184" s="19">
        <v>-5.7471264367816133</v>
      </c>
      <c r="BK184" s="19">
        <v>6.0975609756097668</v>
      </c>
      <c r="BL184" s="19">
        <v>0</v>
      </c>
      <c r="BM184" s="19">
        <v>1.1494252873563369</v>
      </c>
      <c r="BN184" s="19">
        <v>1.4999999999999858</v>
      </c>
    </row>
    <row r="185" spans="1:66" x14ac:dyDescent="0.2">
      <c r="A185" s="19" t="s">
        <v>708</v>
      </c>
      <c r="B185" s="19" t="s">
        <v>1043</v>
      </c>
      <c r="C185" s="19" t="s">
        <v>863</v>
      </c>
      <c r="D185" s="19" t="s">
        <v>864</v>
      </c>
      <c r="W185" s="19">
        <v>0.31821301491608267</v>
      </c>
      <c r="X185" s="19">
        <v>2.191586205822361</v>
      </c>
      <c r="Y185" s="19">
        <v>1.2839299644102198</v>
      </c>
      <c r="Z185" s="19">
        <v>4.6559218097753927</v>
      </c>
      <c r="AA185" s="19">
        <v>0.92968959303266274</v>
      </c>
      <c r="AB185" s="19">
        <v>3.4917580612491292</v>
      </c>
      <c r="AC185" s="19">
        <v>4.7933185559072626</v>
      </c>
      <c r="AD185" s="19">
        <v>1.6154228379028126</v>
      </c>
      <c r="AE185" s="19">
        <v>2.7054143887865507</v>
      </c>
      <c r="AF185" s="19">
        <v>0.97066534770988255</v>
      </c>
      <c r="AG185" s="19">
        <v>-0.35417585542624863</v>
      </c>
      <c r="AH185" s="19">
        <v>0.16123748129490423</v>
      </c>
      <c r="AI185" s="19">
        <v>0.15297292669205831</v>
      </c>
      <c r="AJ185" s="19">
        <v>-1.0904892592943867</v>
      </c>
      <c r="AK185" s="19">
        <v>1.0944319443489263</v>
      </c>
      <c r="AL185" s="19">
        <v>6.3915948267380998</v>
      </c>
      <c r="AM185" s="19">
        <v>5.1186160767541935</v>
      </c>
      <c r="AN185" s="19">
        <v>4.7224653681387139</v>
      </c>
      <c r="AO185" s="19">
        <v>3.6154901756733722</v>
      </c>
      <c r="AP185" s="19">
        <v>2.0498370772141499</v>
      </c>
      <c r="AQ185" s="19">
        <v>0.79744129646952899</v>
      </c>
      <c r="AR185" s="19">
        <v>5.4511305829104231</v>
      </c>
      <c r="AS185" s="19">
        <v>2.9051406548311576</v>
      </c>
      <c r="AT185" s="19">
        <v>3.4643273869802158</v>
      </c>
      <c r="AU185" s="19">
        <v>4.6746089620086195</v>
      </c>
      <c r="AV185" s="19">
        <v>4.5499948838349411</v>
      </c>
      <c r="AW185" s="19">
        <v>4.0283027409949455</v>
      </c>
      <c r="AX185" s="19">
        <v>3.320716817629858</v>
      </c>
      <c r="AY185" s="19">
        <v>2.8810623025293296</v>
      </c>
      <c r="AZ185" s="19">
        <v>3.0281604893548746</v>
      </c>
      <c r="BA185" s="19">
        <v>-1.1115230764090285</v>
      </c>
      <c r="BB185" s="19">
        <v>-0.13517017562980982</v>
      </c>
      <c r="BC185" s="19">
        <v>1.5238775706770014</v>
      </c>
      <c r="BD185" s="19">
        <v>2.2517586331535426</v>
      </c>
      <c r="BE185" s="19">
        <v>2.2453029352367224</v>
      </c>
      <c r="BF185" s="19">
        <v>2.6954166175126915</v>
      </c>
      <c r="BG185" s="19">
        <v>3.8154276029883363</v>
      </c>
      <c r="BH185" s="19">
        <v>3.7443321979489781</v>
      </c>
      <c r="BI185" s="19">
        <v>3.7674477167697944</v>
      </c>
      <c r="BJ185" s="19">
        <v>3.5782782762582031</v>
      </c>
      <c r="BK185" s="19">
        <v>3.3592195475308273</v>
      </c>
      <c r="BL185" s="19">
        <v>2.1924772164369841</v>
      </c>
      <c r="BM185" s="19">
        <v>-1.2526645294235408</v>
      </c>
      <c r="BN185" s="19">
        <v>3.7140101199556739</v>
      </c>
    </row>
    <row r="186" spans="1:66" x14ac:dyDescent="0.2">
      <c r="A186" s="19" t="s">
        <v>709</v>
      </c>
      <c r="B186" s="19" t="s">
        <v>1044</v>
      </c>
      <c r="C186" s="19" t="s">
        <v>863</v>
      </c>
      <c r="D186" s="19" t="s">
        <v>864</v>
      </c>
      <c r="F186" s="19">
        <v>4.329160147157225</v>
      </c>
      <c r="G186" s="19">
        <v>5.6308158226280796</v>
      </c>
      <c r="H186" s="19">
        <v>5.346567492577222</v>
      </c>
      <c r="I186" s="19">
        <v>6.445060468629336</v>
      </c>
      <c r="J186" s="19">
        <v>5.4530831911054634</v>
      </c>
      <c r="K186" s="19">
        <v>5.9463036761633532</v>
      </c>
      <c r="L186" s="19">
        <v>4.3677699054894674</v>
      </c>
      <c r="M186" s="19">
        <v>6.0480050049226861</v>
      </c>
      <c r="N186" s="19">
        <v>5.2549087124371425</v>
      </c>
      <c r="O186" s="19">
        <v>2.7686425648869175</v>
      </c>
      <c r="P186" s="19">
        <v>3.7128001679418503</v>
      </c>
      <c r="Q186" s="19">
        <v>5.3986479041676887</v>
      </c>
      <c r="R186" s="19">
        <v>6.0743847893354683</v>
      </c>
      <c r="S186" s="19">
        <v>0.91813899254896114</v>
      </c>
      <c r="T186" s="19">
        <v>0.20417253753146269</v>
      </c>
      <c r="U186" s="19">
        <v>4.8604552004730692</v>
      </c>
      <c r="V186" s="19">
        <v>3.8095896823099764</v>
      </c>
      <c r="W186" s="19">
        <v>4.4860418815893439</v>
      </c>
      <c r="X186" s="19">
        <v>3.9322943896503659</v>
      </c>
      <c r="Y186" s="19">
        <v>1.1465979100579489</v>
      </c>
      <c r="Z186" s="19">
        <v>2.0339975879315659</v>
      </c>
      <c r="AA186" s="19">
        <v>0.24617711618135729</v>
      </c>
      <c r="AB186" s="19">
        <v>2.944276412824081</v>
      </c>
      <c r="AC186" s="19">
        <v>4.70223886079728</v>
      </c>
      <c r="AD186" s="19">
        <v>3.6962842115874253</v>
      </c>
      <c r="AE186" s="19">
        <v>3.0883468193136423</v>
      </c>
      <c r="AF186" s="19">
        <v>3.5004897030049875</v>
      </c>
      <c r="AG186" s="19">
        <v>4.5667238623938573</v>
      </c>
      <c r="AH186" s="19">
        <v>3.8643460505349196</v>
      </c>
      <c r="AI186" s="19">
        <v>3.026566804801007</v>
      </c>
      <c r="AJ186" s="19">
        <v>1.3259868613448447</v>
      </c>
      <c r="AK186" s="19">
        <v>2.1819319875056493</v>
      </c>
      <c r="AL186" s="19">
        <v>1.3417224677889692</v>
      </c>
      <c r="AM186" s="19">
        <v>3.1810318658595236</v>
      </c>
      <c r="AN186" s="19">
        <v>2.655923450965858</v>
      </c>
      <c r="AO186" s="19">
        <v>3.1137144660968517</v>
      </c>
      <c r="AP186" s="19">
        <v>3.5667637038934146</v>
      </c>
      <c r="AQ186" s="19">
        <v>2.9897807203069959</v>
      </c>
      <c r="AR186" s="19">
        <v>3.4256736203931695</v>
      </c>
      <c r="AS186" s="19">
        <v>4.0749434517955052</v>
      </c>
      <c r="AT186" s="19">
        <v>1.3920260993924387</v>
      </c>
      <c r="AU186" s="19">
        <v>1.5463638381623639</v>
      </c>
      <c r="AV186" s="19">
        <v>2.0398042929582232</v>
      </c>
      <c r="AW186" s="19">
        <v>3.2692569046121491</v>
      </c>
      <c r="AX186" s="19">
        <v>2.8208335591384923</v>
      </c>
      <c r="AY186" s="19">
        <v>3.000615691391431</v>
      </c>
      <c r="AZ186" s="19">
        <v>2.6007907199625748</v>
      </c>
      <c r="BA186" s="19">
        <v>0.3967239403704923</v>
      </c>
      <c r="BB186" s="19">
        <v>-3.3700000420725473</v>
      </c>
      <c r="BC186" s="19">
        <v>2.9856197287202662</v>
      </c>
      <c r="BD186" s="19">
        <v>1.8679243705258131</v>
      </c>
      <c r="BE186" s="19">
        <v>1.386406603489803</v>
      </c>
      <c r="BF186" s="19">
        <v>1.5182859114192411</v>
      </c>
      <c r="BG186" s="19">
        <v>2.0924305671460957</v>
      </c>
      <c r="BH186" s="19">
        <v>2.434228443516659</v>
      </c>
      <c r="BI186" s="19">
        <v>1.8276530818327075</v>
      </c>
      <c r="BJ186" s="19">
        <v>2.4939314352691753</v>
      </c>
      <c r="BK186" s="19">
        <v>2.3545145280811823</v>
      </c>
      <c r="BL186" s="19">
        <v>1.7412996399847032</v>
      </c>
      <c r="BM186" s="19">
        <v>-4.2361438414415176</v>
      </c>
      <c r="BN186" s="19">
        <v>5.3850668122024814</v>
      </c>
    </row>
    <row r="187" spans="1:66" x14ac:dyDescent="0.2">
      <c r="A187" s="19" t="s">
        <v>710</v>
      </c>
      <c r="B187" s="19" t="s">
        <v>1045</v>
      </c>
      <c r="C187" s="19" t="s">
        <v>863</v>
      </c>
      <c r="D187" s="19" t="s">
        <v>864</v>
      </c>
      <c r="K187" s="19">
        <v>5.2044635992845087</v>
      </c>
      <c r="L187" s="19">
        <v>66.219083776608528</v>
      </c>
      <c r="M187" s="19">
        <v>81.887796710685024</v>
      </c>
      <c r="N187" s="19">
        <v>25.666168823056097</v>
      </c>
      <c r="O187" s="19">
        <v>13.895096441061099</v>
      </c>
      <c r="P187" s="19">
        <v>0.89822508697687908</v>
      </c>
      <c r="Q187" s="19">
        <v>9.8252241697705216</v>
      </c>
      <c r="R187" s="19">
        <v>-14.25205785847416</v>
      </c>
      <c r="S187" s="19">
        <v>11.498806477032588</v>
      </c>
      <c r="T187" s="19">
        <v>24.433502738436388</v>
      </c>
      <c r="U187" s="19">
        <v>20.540122917030644</v>
      </c>
      <c r="V187" s="19">
        <v>1.0072183293365526</v>
      </c>
      <c r="W187" s="19">
        <v>-3.6935310903541989</v>
      </c>
      <c r="X187" s="19">
        <v>4.3317415398654617</v>
      </c>
      <c r="Y187" s="19">
        <v>6.0354441156521261</v>
      </c>
      <c r="Z187" s="19">
        <v>17.047078390304321</v>
      </c>
      <c r="AA187" s="19">
        <v>11.569837400981385</v>
      </c>
      <c r="AB187" s="19">
        <v>16.666670729976431</v>
      </c>
      <c r="AC187" s="19">
        <v>16.711593985564633</v>
      </c>
      <c r="AD187" s="19">
        <v>14.007197108323766</v>
      </c>
      <c r="AE187" s="19">
        <v>2.0021597825803781</v>
      </c>
      <c r="AF187" s="19">
        <v>-3.4407841670407042</v>
      </c>
      <c r="AG187" s="19">
        <v>5.9640276482264483</v>
      </c>
      <c r="AH187" s="19">
        <v>11.756861836079295</v>
      </c>
      <c r="AI187" s="19">
        <v>-0.13042573812933256</v>
      </c>
      <c r="AJ187" s="19">
        <v>6.0740779081686469</v>
      </c>
      <c r="AK187" s="19">
        <v>8.413884259370974</v>
      </c>
      <c r="AL187" s="19">
        <v>6.042960674614875</v>
      </c>
      <c r="AM187" s="19">
        <v>3.8757741665788785</v>
      </c>
      <c r="AN187" s="19">
        <v>4.9968195203065449</v>
      </c>
      <c r="AO187" s="19">
        <v>3.0459399097854742</v>
      </c>
      <c r="AP187" s="19">
        <v>6.0335125070994451</v>
      </c>
      <c r="AQ187" s="19">
        <v>2.6423380320232042</v>
      </c>
      <c r="AR187" s="19">
        <v>0.33149556960813698</v>
      </c>
      <c r="AS187" s="19">
        <v>6.5510668850848504</v>
      </c>
      <c r="AT187" s="19">
        <v>4.4828025314312043</v>
      </c>
      <c r="AU187" s="19">
        <v>-1.1009052929135237</v>
      </c>
      <c r="AV187" s="19">
        <v>-2.6685911088882506</v>
      </c>
      <c r="AW187" s="19">
        <v>1.2922056807295803</v>
      </c>
      <c r="AX187" s="19">
        <v>2.4902211426649785</v>
      </c>
      <c r="AY187" s="19">
        <v>5.3718888740982038</v>
      </c>
      <c r="AZ187" s="19">
        <v>4.4526835653811077</v>
      </c>
      <c r="BA187" s="19">
        <v>8.2000781575914061</v>
      </c>
      <c r="BB187" s="19">
        <v>6.1123956079346016</v>
      </c>
      <c r="BC187" s="19">
        <v>1.7139853114803429</v>
      </c>
      <c r="BD187" s="19">
        <v>2.8946097354119189</v>
      </c>
      <c r="BE187" s="19">
        <v>8.8631222555701754</v>
      </c>
      <c r="BF187" s="19">
        <v>5.2277040814594216</v>
      </c>
      <c r="BG187" s="19">
        <v>1.2922522941108099</v>
      </c>
      <c r="BH187" s="19">
        <v>5.0170579971904488</v>
      </c>
      <c r="BI187" s="19">
        <v>5.04642394571691</v>
      </c>
      <c r="BJ187" s="19">
        <v>0.3040575659224487</v>
      </c>
      <c r="BK187" s="19">
        <v>1.2871039154328798</v>
      </c>
      <c r="BL187" s="19">
        <v>-1.1287110618463032</v>
      </c>
      <c r="BM187" s="19">
        <v>-3.3797143999223778</v>
      </c>
      <c r="BN187" s="19">
        <v>3.0922766873744649</v>
      </c>
    </row>
    <row r="188" spans="1:66" x14ac:dyDescent="0.2">
      <c r="A188" s="19" t="s">
        <v>711</v>
      </c>
      <c r="B188" s="19" t="s">
        <v>1046</v>
      </c>
      <c r="C188" s="19" t="s">
        <v>863</v>
      </c>
      <c r="D188" s="19" t="s">
        <v>864</v>
      </c>
      <c r="AT188" s="19">
        <v>4.1162231875107409</v>
      </c>
      <c r="AU188" s="19">
        <v>4.5332961996986825</v>
      </c>
      <c r="AV188" s="19">
        <v>4.4960903903360219</v>
      </c>
      <c r="AW188" s="19">
        <v>9.0267904520923992</v>
      </c>
      <c r="AX188" s="19">
        <v>5.7482685946665697</v>
      </c>
      <c r="AY188" s="19">
        <v>10.843446515594707</v>
      </c>
      <c r="AZ188" s="19">
        <v>9.8530044960698007</v>
      </c>
      <c r="BA188" s="19">
        <v>7.3139572302431759</v>
      </c>
      <c r="BB188" s="19">
        <v>1.5821100851648708</v>
      </c>
      <c r="BC188" s="19">
        <v>8.7201273910375363</v>
      </c>
      <c r="BD188" s="19">
        <v>7.5565359093798605</v>
      </c>
      <c r="BE188" s="19">
        <v>3.3974266054771647</v>
      </c>
      <c r="BF188" s="19">
        <v>3.6938284698470767</v>
      </c>
      <c r="BG188" s="19">
        <v>3.8537301488360498</v>
      </c>
      <c r="BH188" s="19">
        <v>3.1345189469517152</v>
      </c>
      <c r="BI188" s="19">
        <v>2.9841156237321798</v>
      </c>
      <c r="BJ188" s="19">
        <v>1.3257823132174309</v>
      </c>
      <c r="BK188" s="19">
        <v>2.2222487317277455</v>
      </c>
      <c r="BL188" s="19">
        <v>2.1721152821329071</v>
      </c>
      <c r="BM188" s="19">
        <v>-4.8344992242168132</v>
      </c>
      <c r="BN188" s="19">
        <v>3.8402787542455741</v>
      </c>
    </row>
    <row r="189" spans="1:66" x14ac:dyDescent="0.2">
      <c r="A189" s="19" t="s">
        <v>712</v>
      </c>
      <c r="B189" s="19" t="s">
        <v>1047</v>
      </c>
      <c r="C189" s="19" t="s">
        <v>863</v>
      </c>
      <c r="D189" s="19" t="s">
        <v>864</v>
      </c>
      <c r="F189" s="19">
        <v>5.9873464192906454</v>
      </c>
      <c r="G189" s="19">
        <v>4.4828586274663564</v>
      </c>
      <c r="H189" s="19">
        <v>8.6888315182534086</v>
      </c>
      <c r="I189" s="19">
        <v>7.5697574490569508</v>
      </c>
      <c r="J189" s="19">
        <v>10.419365822013148</v>
      </c>
      <c r="K189" s="19">
        <v>5.7899518014344409</v>
      </c>
      <c r="L189" s="19">
        <v>5.4006125972082373</v>
      </c>
      <c r="M189" s="19">
        <v>7.2332209250022288</v>
      </c>
      <c r="N189" s="19">
        <v>5.5078996342873552</v>
      </c>
      <c r="O189" s="19">
        <v>11.353461718188612</v>
      </c>
      <c r="P189" s="19">
        <v>0.46837254850404975</v>
      </c>
      <c r="Q189" s="19">
        <v>0.81340640458356006</v>
      </c>
      <c r="R189" s="19">
        <v>7.0642638569401868</v>
      </c>
      <c r="S189" s="19">
        <v>3.540191712797423</v>
      </c>
      <c r="T189" s="19">
        <v>4.2114156314739404</v>
      </c>
      <c r="U189" s="19">
        <v>5.1561895898520476</v>
      </c>
      <c r="V189" s="19">
        <v>3.9476982874146813</v>
      </c>
      <c r="W189" s="19">
        <v>8.0485336193739414</v>
      </c>
      <c r="X189" s="19">
        <v>3.7584355685324766</v>
      </c>
      <c r="Y189" s="19">
        <v>10.215704037270854</v>
      </c>
      <c r="Z189" s="19">
        <v>7.9207635719976253</v>
      </c>
      <c r="AA189" s="19">
        <v>6.5374867999854729</v>
      </c>
      <c r="AB189" s="19">
        <v>6.778378338706375</v>
      </c>
      <c r="AC189" s="19">
        <v>5.0652056047587593</v>
      </c>
      <c r="AD189" s="19">
        <v>7.5921146987560633</v>
      </c>
      <c r="AE189" s="19">
        <v>5.5016536638608216</v>
      </c>
      <c r="AF189" s="19">
        <v>6.4523430246764804</v>
      </c>
      <c r="AG189" s="19">
        <v>7.6252787795903316</v>
      </c>
      <c r="AH189" s="19">
        <v>4.9597688944086116</v>
      </c>
      <c r="AI189" s="19">
        <v>4.458586815098613</v>
      </c>
      <c r="AJ189" s="19">
        <v>5.0615677545813327</v>
      </c>
      <c r="AK189" s="19">
        <v>7.7058978226358477</v>
      </c>
      <c r="AL189" s="19">
        <v>1.7577476983084921</v>
      </c>
      <c r="AM189" s="19">
        <v>3.7374155532444036</v>
      </c>
      <c r="AN189" s="19">
        <v>4.9626091484164618</v>
      </c>
      <c r="AO189" s="19">
        <v>4.8465812843486304</v>
      </c>
      <c r="AP189" s="19">
        <v>1.0143960140207327</v>
      </c>
      <c r="AQ189" s="19">
        <v>2.5502342954345494</v>
      </c>
      <c r="AR189" s="19">
        <v>3.6601327434872246</v>
      </c>
      <c r="AS189" s="19">
        <v>4.2600880116879125</v>
      </c>
      <c r="AT189" s="19">
        <v>3.554418215804219</v>
      </c>
      <c r="AU189" s="19">
        <v>2.5083377239821374</v>
      </c>
      <c r="AV189" s="19">
        <v>5.7770339920034814</v>
      </c>
      <c r="AW189" s="19">
        <v>7.5468600151923511</v>
      </c>
      <c r="AX189" s="19">
        <v>6.5187780739394299</v>
      </c>
      <c r="AY189" s="19">
        <v>5.898984441576431</v>
      </c>
      <c r="AZ189" s="19">
        <v>4.8328172769172397</v>
      </c>
      <c r="BA189" s="19">
        <v>1.7014054655524831</v>
      </c>
      <c r="BB189" s="19">
        <v>2.8316585191978163</v>
      </c>
      <c r="BC189" s="19">
        <v>1.6066886289878539</v>
      </c>
      <c r="BD189" s="19">
        <v>2.7484059174901887</v>
      </c>
      <c r="BE189" s="19">
        <v>3.5070334199996438</v>
      </c>
      <c r="BF189" s="19">
        <v>4.3964566335307609</v>
      </c>
      <c r="BG189" s="19">
        <v>4.6747079815483232</v>
      </c>
      <c r="BH189" s="19">
        <v>4.7311474753207108</v>
      </c>
      <c r="BI189" s="19">
        <v>5.5267358447660371</v>
      </c>
      <c r="BJ189" s="19">
        <v>4.4326259068397462</v>
      </c>
      <c r="BK189" s="19">
        <v>6.1517026109951871</v>
      </c>
      <c r="BL189" s="19">
        <v>2.4976369294336536</v>
      </c>
      <c r="BM189" s="19">
        <v>-1.2740874433870886</v>
      </c>
      <c r="BN189" s="19">
        <v>6.4870867738484321</v>
      </c>
    </row>
    <row r="190" spans="1:66" x14ac:dyDescent="0.2">
      <c r="A190" s="19" t="s">
        <v>713</v>
      </c>
      <c r="B190" s="19" t="s">
        <v>1048</v>
      </c>
      <c r="C190" s="19" t="s">
        <v>863</v>
      </c>
      <c r="D190" s="19" t="s">
        <v>864</v>
      </c>
      <c r="F190" s="19">
        <v>10.926594841623015</v>
      </c>
      <c r="G190" s="19">
        <v>8.244736819974662</v>
      </c>
      <c r="H190" s="19">
        <v>8.5387887993979774</v>
      </c>
      <c r="I190" s="19">
        <v>4.4321303682907995</v>
      </c>
      <c r="J190" s="19">
        <v>9.1600362620539499</v>
      </c>
      <c r="K190" s="19">
        <v>7.5814018828488798</v>
      </c>
      <c r="L190" s="19">
        <v>8.5529311789897662</v>
      </c>
      <c r="M190" s="19">
        <v>6.9773886237350666</v>
      </c>
      <c r="N190" s="19">
        <v>8.441389168774009</v>
      </c>
      <c r="O190" s="19">
        <v>6.9592261077993527</v>
      </c>
      <c r="P190" s="19">
        <v>9.6161375784047181</v>
      </c>
      <c r="Q190" s="19">
        <v>4.5828125052524484</v>
      </c>
      <c r="R190" s="19">
        <v>5.3643102172053574</v>
      </c>
      <c r="S190" s="19">
        <v>2.4483195624655423</v>
      </c>
      <c r="T190" s="19">
        <v>1.7409194401264472</v>
      </c>
      <c r="U190" s="19">
        <v>1.6644613597298417</v>
      </c>
      <c r="V190" s="19">
        <v>1.0940258905988429</v>
      </c>
      <c r="W190" s="19">
        <v>9.7926439181661067</v>
      </c>
      <c r="X190" s="19">
        <v>4.5147510798518624</v>
      </c>
      <c r="Y190" s="19">
        <v>13.084481729048747</v>
      </c>
      <c r="Z190" s="19">
        <v>9.2068094535796376</v>
      </c>
      <c r="AA190" s="19">
        <v>5.3484564383762461</v>
      </c>
      <c r="AB190" s="19">
        <v>-4.4913643464285542</v>
      </c>
      <c r="AC190" s="19">
        <v>2.7094737730582779</v>
      </c>
      <c r="AD190" s="19">
        <v>4.9422336515400218</v>
      </c>
      <c r="AE190" s="19">
        <v>3.5677882281900395</v>
      </c>
      <c r="AF190" s="19">
        <v>-1.8090554813949211</v>
      </c>
      <c r="AG190" s="19">
        <v>-13.379843782662419</v>
      </c>
      <c r="AH190" s="19">
        <v>1.5622470054955926</v>
      </c>
      <c r="AI190" s="19">
        <v>8.0989930057319839</v>
      </c>
      <c r="AJ190" s="19">
        <v>9.4190055624272588</v>
      </c>
      <c r="AK190" s="19">
        <v>8.2016803339644611</v>
      </c>
      <c r="AL190" s="19">
        <v>5.4557444355758378</v>
      </c>
      <c r="AM190" s="19">
        <v>2.8501468139855035</v>
      </c>
      <c r="AN190" s="19">
        <v>1.7516787571154993</v>
      </c>
      <c r="AO190" s="19">
        <v>4.0797032057862594</v>
      </c>
      <c r="AP190" s="19">
        <v>6.4609904400289935</v>
      </c>
      <c r="AQ190" s="19">
        <v>7.341500702885881</v>
      </c>
      <c r="AR190" s="19">
        <v>3.9172065887284759</v>
      </c>
      <c r="AS190" s="19">
        <v>2.7153741548282113</v>
      </c>
      <c r="AT190" s="19">
        <v>0.57427279063453796</v>
      </c>
      <c r="AU190" s="19">
        <v>2.2291494166372843</v>
      </c>
      <c r="AV190" s="19">
        <v>4.2054959448157376</v>
      </c>
      <c r="AW190" s="19">
        <v>7.5220796578461915</v>
      </c>
      <c r="AX190" s="19">
        <v>7.1912794023353541</v>
      </c>
      <c r="AY190" s="19">
        <v>8.6524656105666935</v>
      </c>
      <c r="AZ190" s="19">
        <v>11.983985394787069</v>
      </c>
      <c r="BA190" s="19">
        <v>9.8556548515846316</v>
      </c>
      <c r="BB190" s="19">
        <v>1.2429923177641911</v>
      </c>
      <c r="BC190" s="19">
        <v>5.8279934942857068</v>
      </c>
      <c r="BD190" s="19">
        <v>11.313625909704555</v>
      </c>
      <c r="BE190" s="19">
        <v>9.7784900714033824</v>
      </c>
      <c r="BF190" s="19">
        <v>6.9039480514392579</v>
      </c>
      <c r="BG190" s="19">
        <v>5.0664223545579432</v>
      </c>
      <c r="BH190" s="19">
        <v>5.7330542960120994</v>
      </c>
      <c r="BI190" s="19">
        <v>4.9532114227905879</v>
      </c>
      <c r="BJ190" s="19">
        <v>5.5911488755363052</v>
      </c>
      <c r="BK190" s="19">
        <v>3.6854299378857434</v>
      </c>
      <c r="BL190" s="19">
        <v>2.9797720013876159</v>
      </c>
      <c r="BM190" s="19">
        <v>-17.944893597249319</v>
      </c>
      <c r="BN190" s="19">
        <v>15.335873929070942</v>
      </c>
    </row>
    <row r="191" spans="1:66" x14ac:dyDescent="0.2">
      <c r="A191" s="19" t="s">
        <v>714</v>
      </c>
      <c r="B191" s="19" t="s">
        <v>1049</v>
      </c>
      <c r="C191" s="19" t="s">
        <v>863</v>
      </c>
      <c r="D191" s="19" t="s">
        <v>864</v>
      </c>
      <c r="F191" s="19">
        <v>7.3470963314556883</v>
      </c>
      <c r="G191" s="19">
        <v>10.035293334221222</v>
      </c>
      <c r="H191" s="19">
        <v>4.3282498184459115</v>
      </c>
      <c r="I191" s="19">
        <v>6.5478676504710194</v>
      </c>
      <c r="J191" s="19">
        <v>5.621733449477361</v>
      </c>
      <c r="K191" s="19">
        <v>8.2389204457594047</v>
      </c>
      <c r="L191" s="19">
        <v>3.8525644078289503</v>
      </c>
      <c r="M191" s="19">
        <v>0.15223771093175742</v>
      </c>
      <c r="N191" s="19">
        <v>3.5144589125139589</v>
      </c>
      <c r="O191" s="19">
        <v>3.3659460033261439</v>
      </c>
      <c r="P191" s="19">
        <v>4.5905399275988543</v>
      </c>
      <c r="Q191" s="19">
        <v>3.4775351231047296</v>
      </c>
      <c r="R191" s="19">
        <v>6.2769347556202177</v>
      </c>
      <c r="S191" s="19">
        <v>9.386834919383034</v>
      </c>
      <c r="T191" s="19">
        <v>4.3008631654842588</v>
      </c>
      <c r="U191" s="19">
        <v>1.4471109951741141</v>
      </c>
      <c r="V191" s="19">
        <v>0.34906369930381231</v>
      </c>
      <c r="W191" s="19">
        <v>-2.6425029788215397</v>
      </c>
      <c r="X191" s="19">
        <v>4.0907505741000278</v>
      </c>
      <c r="Y191" s="19">
        <v>5.9433353983084061</v>
      </c>
      <c r="Z191" s="19">
        <v>5.5520418148404644</v>
      </c>
      <c r="AA191" s="19">
        <v>-0.22272344418630041</v>
      </c>
      <c r="AB191" s="19">
        <v>-10.408085798296952</v>
      </c>
      <c r="AC191" s="19">
        <v>3.6082865381696649</v>
      </c>
      <c r="AD191" s="19">
        <v>2.0611320662589492</v>
      </c>
      <c r="AE191" s="19">
        <v>9.4259623607365199</v>
      </c>
      <c r="AF191" s="19">
        <v>9.726146430503718</v>
      </c>
      <c r="AG191" s="19">
        <v>-9.4412734462939198</v>
      </c>
      <c r="AH191" s="19">
        <v>-12.312041447129602</v>
      </c>
      <c r="AI191" s="19">
        <v>-4.9825635364660457</v>
      </c>
      <c r="AJ191" s="19">
        <v>2.2192591027909003</v>
      </c>
      <c r="AK191" s="19">
        <v>-0.54050912472392554</v>
      </c>
      <c r="AL191" s="19">
        <v>5.2435770077329096</v>
      </c>
      <c r="AM191" s="19">
        <v>12.308366184844502</v>
      </c>
      <c r="AN191" s="19">
        <v>7.411395047351192</v>
      </c>
      <c r="AO191" s="19">
        <v>2.7989730791260854</v>
      </c>
      <c r="AP191" s="19">
        <v>6.4768244207970866</v>
      </c>
      <c r="AQ191" s="19">
        <v>-0.39153755583382122</v>
      </c>
      <c r="AR191" s="19">
        <v>1.4949106430883319</v>
      </c>
      <c r="AS191" s="19">
        <v>2.6943713980691228</v>
      </c>
      <c r="AT191" s="19">
        <v>0.61789232562429675</v>
      </c>
      <c r="AU191" s="19">
        <v>5.4535289381876737</v>
      </c>
      <c r="AV191" s="19">
        <v>4.1650231366611195</v>
      </c>
      <c r="AW191" s="19">
        <v>4.9582032061174459</v>
      </c>
      <c r="AX191" s="19">
        <v>6.285060325096012</v>
      </c>
      <c r="AY191" s="19">
        <v>7.5288990440594006</v>
      </c>
      <c r="AZ191" s="19">
        <v>8.5183877690954972</v>
      </c>
      <c r="BA191" s="19">
        <v>9.1265683014642036</v>
      </c>
      <c r="BB191" s="19">
        <v>1.0958236592426971</v>
      </c>
      <c r="BC191" s="19">
        <v>8.3324591074957652</v>
      </c>
      <c r="BD191" s="19">
        <v>6.3271924016111711</v>
      </c>
      <c r="BE191" s="19">
        <v>6.1397247056043511</v>
      </c>
      <c r="BF191" s="19">
        <v>5.8525182108492828</v>
      </c>
      <c r="BG191" s="19">
        <v>2.3821573718054054</v>
      </c>
      <c r="BH191" s="19">
        <v>3.2522447721845111</v>
      </c>
      <c r="BI191" s="19">
        <v>3.9533187152076721</v>
      </c>
      <c r="BJ191" s="19">
        <v>2.5188354423313513</v>
      </c>
      <c r="BK191" s="19">
        <v>3.9693513413649981</v>
      </c>
      <c r="BL191" s="19">
        <v>2.2406317687504895</v>
      </c>
      <c r="BM191" s="19">
        <v>-10.952698932501534</v>
      </c>
      <c r="BN191" s="19">
        <v>13.349509077797663</v>
      </c>
    </row>
    <row r="192" spans="1:66" x14ac:dyDescent="0.2">
      <c r="A192" s="19" t="s">
        <v>715</v>
      </c>
      <c r="B192" s="19" t="s">
        <v>1050</v>
      </c>
      <c r="C192" s="19" t="s">
        <v>863</v>
      </c>
      <c r="D192" s="19" t="s">
        <v>864</v>
      </c>
      <c r="F192" s="19">
        <v>5.6954709502975476</v>
      </c>
      <c r="G192" s="19">
        <v>4.8462941891589821</v>
      </c>
      <c r="H192" s="19">
        <v>7.0162651841658317</v>
      </c>
      <c r="I192" s="19">
        <v>3.4024944357127254</v>
      </c>
      <c r="J192" s="19">
        <v>5.3450893293223629</v>
      </c>
      <c r="K192" s="19">
        <v>4.4411585340256039</v>
      </c>
      <c r="L192" s="19">
        <v>5.2226875892266378</v>
      </c>
      <c r="M192" s="19">
        <v>5.0381593969295579</v>
      </c>
      <c r="N192" s="19">
        <v>4.6894734410081895</v>
      </c>
      <c r="O192" s="19">
        <v>3.6924874865479609</v>
      </c>
      <c r="P192" s="19">
        <v>5.3890084162125902</v>
      </c>
      <c r="Q192" s="19">
        <v>5.4303874939234333</v>
      </c>
      <c r="R192" s="19">
        <v>8.78200912237088</v>
      </c>
      <c r="S192" s="19">
        <v>3.3946063785020613</v>
      </c>
      <c r="T192" s="19">
        <v>5.4511028696547754</v>
      </c>
      <c r="U192" s="19">
        <v>8.778403330513342</v>
      </c>
      <c r="V192" s="19">
        <v>5.5629702515126667</v>
      </c>
      <c r="W192" s="19">
        <v>5.1923845302780762</v>
      </c>
      <c r="X192" s="19">
        <v>5.5955710759113089</v>
      </c>
      <c r="Y192" s="19">
        <v>5.2007110791118691</v>
      </c>
      <c r="Z192" s="19">
        <v>3.4222087375366499</v>
      </c>
      <c r="AA192" s="19">
        <v>3.6984060985110858</v>
      </c>
      <c r="AB192" s="19">
        <v>1.8969517895909718</v>
      </c>
      <c r="AC192" s="19">
        <v>-7.039378201225901</v>
      </c>
      <c r="AD192" s="19">
        <v>-6.8583772086468286</v>
      </c>
      <c r="AE192" s="19">
        <v>3.5106840300550601</v>
      </c>
      <c r="AF192" s="19">
        <v>4.3618096727769711</v>
      </c>
      <c r="AG192" s="19">
        <v>6.6969311046818518</v>
      </c>
      <c r="AH192" s="19">
        <v>6.1839182028338797</v>
      </c>
      <c r="AI192" s="19">
        <v>3.0826725285588736</v>
      </c>
      <c r="AJ192" s="19">
        <v>-0.4363900805334282</v>
      </c>
      <c r="AK192" s="19">
        <v>0.4176290660979447</v>
      </c>
      <c r="AL192" s="19">
        <v>2.1818899856129974</v>
      </c>
      <c r="AM192" s="19">
        <v>4.3736659181907669</v>
      </c>
      <c r="AN192" s="19">
        <v>4.6252251173966101</v>
      </c>
      <c r="AO192" s="19">
        <v>5.8603478716378987</v>
      </c>
      <c r="AP192" s="19">
        <v>5.1864116740616453</v>
      </c>
      <c r="AQ192" s="19">
        <v>-0.51409059954188763</v>
      </c>
      <c r="AR192" s="19">
        <v>3.3464511839826656</v>
      </c>
      <c r="AS192" s="19">
        <v>4.3825048334725381</v>
      </c>
      <c r="AT192" s="19">
        <v>3.0492315098586573</v>
      </c>
      <c r="AU192" s="19">
        <v>3.716255001583832</v>
      </c>
      <c r="AV192" s="19">
        <v>5.0869111351307339</v>
      </c>
      <c r="AW192" s="19">
        <v>6.5692285118062586</v>
      </c>
      <c r="AX192" s="19">
        <v>4.9425051187767792</v>
      </c>
      <c r="AY192" s="19">
        <v>5.316416821369387</v>
      </c>
      <c r="AZ192" s="19">
        <v>6.5192915501893793</v>
      </c>
      <c r="BA192" s="19">
        <v>4.3444873050918318</v>
      </c>
      <c r="BB192" s="19">
        <v>1.4483230627566854</v>
      </c>
      <c r="BC192" s="19">
        <v>7.3344999603453829</v>
      </c>
      <c r="BD192" s="19">
        <v>3.8582328279566269</v>
      </c>
      <c r="BE192" s="19">
        <v>6.8969517105098532</v>
      </c>
      <c r="BF192" s="19">
        <v>6.750531301422555</v>
      </c>
      <c r="BG192" s="19">
        <v>6.3479874826086728</v>
      </c>
      <c r="BH192" s="19">
        <v>6.3483097167276128</v>
      </c>
      <c r="BI192" s="19">
        <v>7.1494567500075163</v>
      </c>
      <c r="BJ192" s="19">
        <v>6.9309883258402039</v>
      </c>
      <c r="BK192" s="19">
        <v>6.3414855715347329</v>
      </c>
      <c r="BL192" s="19">
        <v>6.1185256623400619</v>
      </c>
      <c r="BM192" s="19">
        <v>-9.5182947406990337</v>
      </c>
      <c r="BN192" s="19">
        <v>5.7031559684062074</v>
      </c>
    </row>
    <row r="193" spans="1:66" x14ac:dyDescent="0.2">
      <c r="A193" s="19" t="s">
        <v>716</v>
      </c>
      <c r="B193" s="19" t="s">
        <v>1051</v>
      </c>
      <c r="C193" s="19" t="s">
        <v>863</v>
      </c>
      <c r="D193" s="19" t="s">
        <v>864</v>
      </c>
      <c r="AT193" s="19">
        <v>6.4401069493361405</v>
      </c>
      <c r="AU193" s="19">
        <v>3.5793918002288763</v>
      </c>
      <c r="AV193" s="19">
        <v>-3.2633832139261614</v>
      </c>
      <c r="AW193" s="19">
        <v>4.8560302792097332</v>
      </c>
      <c r="AX193" s="19">
        <v>3.9598636786565748</v>
      </c>
      <c r="AY193" s="19">
        <v>-0.40564364089360083</v>
      </c>
      <c r="AZ193" s="19">
        <v>2.0211417088629844</v>
      </c>
      <c r="BA193" s="19">
        <v>-5.7819114213330494</v>
      </c>
      <c r="BB193" s="19">
        <v>-6.5904726053419296</v>
      </c>
      <c r="BC193" s="19">
        <v>0.21609349236022979</v>
      </c>
      <c r="BD193" s="19">
        <v>6.6836675380854444</v>
      </c>
      <c r="BE193" s="19">
        <v>1.6725973403488155</v>
      </c>
      <c r="BF193" s="19">
        <v>-3.3873099360557575</v>
      </c>
      <c r="BG193" s="19">
        <v>6.2938658652999635</v>
      </c>
      <c r="BH193" s="19">
        <v>7.5390632254134715</v>
      </c>
      <c r="BI193" s="19">
        <v>-8.3373224001817903E-2</v>
      </c>
      <c r="BJ193" s="19">
        <v>-4.0788109229173841</v>
      </c>
      <c r="BK193" s="19">
        <v>0.10810810810811233</v>
      </c>
      <c r="BL193" s="19">
        <v>0.39596832253418768</v>
      </c>
      <c r="BM193" s="19">
        <v>-9.1072068841878746</v>
      </c>
      <c r="BN193" s="19">
        <v>-13.333333333333329</v>
      </c>
    </row>
    <row r="194" spans="1:66" x14ac:dyDescent="0.2">
      <c r="A194" s="19" t="s">
        <v>717</v>
      </c>
      <c r="B194" s="19" t="s">
        <v>1052</v>
      </c>
      <c r="C194" s="19" t="s">
        <v>863</v>
      </c>
      <c r="D194" s="19" t="s">
        <v>864</v>
      </c>
      <c r="F194" s="19">
        <v>6.18111172052933</v>
      </c>
      <c r="G194" s="19">
        <v>6.3740993162362258</v>
      </c>
      <c r="H194" s="19">
        <v>4.0725217705863059</v>
      </c>
      <c r="I194" s="19">
        <v>8.5702815288621252</v>
      </c>
      <c r="J194" s="19">
        <v>10.268519808654531</v>
      </c>
      <c r="K194" s="19">
        <v>5.8137579812349998</v>
      </c>
      <c r="L194" s="19">
        <v>4.0704614746062759</v>
      </c>
      <c r="M194" s="19">
        <v>4.3595902508870381</v>
      </c>
      <c r="N194" s="19">
        <v>8.2734579477913286</v>
      </c>
      <c r="O194" s="19">
        <v>10.842805777682329</v>
      </c>
      <c r="P194" s="19">
        <v>6.2951925673701226</v>
      </c>
      <c r="Q194" s="19">
        <v>5.6435533711488972</v>
      </c>
      <c r="R194" s="19">
        <v>6.5292648324462306</v>
      </c>
      <c r="S194" s="19">
        <v>2.6105325934143764</v>
      </c>
      <c r="T194" s="19">
        <v>-0.87988416462034991</v>
      </c>
      <c r="U194" s="19">
        <v>-3.3884486143306276</v>
      </c>
      <c r="V194" s="19">
        <v>0.83481560109210307</v>
      </c>
      <c r="W194" s="19">
        <v>8.5498593340110034</v>
      </c>
      <c r="X194" s="19">
        <v>1.8323955149357261</v>
      </c>
      <c r="Y194" s="19">
        <v>-2.3034512011842878</v>
      </c>
      <c r="Z194" s="19">
        <v>-0.27482957165001665</v>
      </c>
      <c r="AA194" s="19">
        <v>0.35294428867939587</v>
      </c>
      <c r="AB194" s="19">
        <v>3.2231630635429269</v>
      </c>
      <c r="AC194" s="19">
        <v>-0.35472645217686249</v>
      </c>
      <c r="AD194" s="19">
        <v>4.0001903440990247</v>
      </c>
      <c r="AE194" s="19">
        <v>4.6930570688269171</v>
      </c>
      <c r="AF194" s="19">
        <v>2.7704948317036013</v>
      </c>
      <c r="AG194" s="19">
        <v>2.9092404844603124</v>
      </c>
      <c r="AH194" s="19">
        <v>-1.4195798836063744</v>
      </c>
      <c r="AI194" s="19">
        <v>-3.012169221812556</v>
      </c>
      <c r="AJ194" s="19">
        <v>9.5468977103991364</v>
      </c>
      <c r="AK194" s="19">
        <v>13.849085268948102</v>
      </c>
      <c r="AL194" s="19">
        <v>18.202285952729767</v>
      </c>
      <c r="AM194" s="19">
        <v>5.9421090596776907</v>
      </c>
      <c r="AN194" s="19">
        <v>-3.3124487782966554</v>
      </c>
      <c r="AO194" s="19">
        <v>7.7336957979639891</v>
      </c>
      <c r="AP194" s="19">
        <v>-3.9043896563935903</v>
      </c>
      <c r="AQ194" s="19">
        <v>-3.7691132178345725</v>
      </c>
      <c r="AR194" s="19">
        <v>1.8555539940881687</v>
      </c>
      <c r="AS194" s="19">
        <v>-2.4948419926002288</v>
      </c>
      <c r="AT194" s="19">
        <v>-0.1212886055647715</v>
      </c>
      <c r="AU194" s="19">
        <v>-0.15890053308265806</v>
      </c>
      <c r="AV194" s="19">
        <v>2.1641025022208282</v>
      </c>
      <c r="AW194" s="19">
        <v>2.7211757409823463</v>
      </c>
      <c r="AX194" s="19">
        <v>6.3447959230965409</v>
      </c>
      <c r="AY194" s="19">
        <v>5.4099440910730721</v>
      </c>
      <c r="AZ194" s="19">
        <v>7.8151892286238791</v>
      </c>
      <c r="BA194" s="19">
        <v>-0.29645784588058177</v>
      </c>
      <c r="BB194" s="19">
        <v>6.8004214832209584</v>
      </c>
      <c r="BC194" s="19">
        <v>10.12845407202316</v>
      </c>
      <c r="BD194" s="19">
        <v>1.1075436261961613</v>
      </c>
      <c r="BE194" s="19">
        <v>4.6571195968623869</v>
      </c>
      <c r="BF194" s="19">
        <v>3.8249463280067459</v>
      </c>
      <c r="BG194" s="19">
        <v>13.543770621654588</v>
      </c>
      <c r="BH194" s="19">
        <v>6.5783563230427546</v>
      </c>
      <c r="BI194" s="19">
        <v>5.4895731527818725</v>
      </c>
      <c r="BJ194" s="19">
        <v>3.5346108175045856</v>
      </c>
      <c r="BK194" s="19">
        <v>-0.27925228495995214</v>
      </c>
      <c r="BL194" s="19">
        <v>4.480430621718881</v>
      </c>
      <c r="BM194" s="19">
        <v>-3.1673811762963879</v>
      </c>
      <c r="BN194" s="19">
        <v>0.29999999999998295</v>
      </c>
    </row>
    <row r="195" spans="1:66" x14ac:dyDescent="0.2">
      <c r="A195" s="19" t="s">
        <v>718</v>
      </c>
      <c r="B195" s="19" t="s">
        <v>1053</v>
      </c>
      <c r="C195" s="19" t="s">
        <v>863</v>
      </c>
      <c r="D195" s="19" t="s">
        <v>864</v>
      </c>
      <c r="AJ195" s="19">
        <v>-7.0155787895800188</v>
      </c>
      <c r="AK195" s="19">
        <v>2.5149786099252225</v>
      </c>
      <c r="AL195" s="19">
        <v>3.7383103011867149</v>
      </c>
      <c r="AM195" s="19">
        <v>5.2928020640345323</v>
      </c>
      <c r="AN195" s="19">
        <v>7.1028655339494122</v>
      </c>
      <c r="AO195" s="19">
        <v>6.1155428113642643</v>
      </c>
      <c r="AP195" s="19">
        <v>6.4490030785165686</v>
      </c>
      <c r="AQ195" s="19">
        <v>4.6405149616957289</v>
      </c>
      <c r="AR195" s="19">
        <v>4.6548918518212474</v>
      </c>
      <c r="AS195" s="19">
        <v>4.5609854097828304</v>
      </c>
      <c r="AT195" s="19">
        <v>1.2585694606656972</v>
      </c>
      <c r="AU195" s="19">
        <v>2.0358630412627292</v>
      </c>
      <c r="AV195" s="19">
        <v>3.498391213402499</v>
      </c>
      <c r="AW195" s="19">
        <v>4.9828445698604895</v>
      </c>
      <c r="AX195" s="19">
        <v>3.5068346143592066</v>
      </c>
      <c r="AY195" s="19">
        <v>6.1311364585550905</v>
      </c>
      <c r="AZ195" s="19">
        <v>7.0615346335674616</v>
      </c>
      <c r="BA195" s="19">
        <v>4.1999812644494199</v>
      </c>
      <c r="BB195" s="19">
        <v>2.8321840531889677</v>
      </c>
      <c r="BC195" s="19">
        <v>2.9346381805283244</v>
      </c>
      <c r="BD195" s="19">
        <v>5.0421878829294258</v>
      </c>
      <c r="BE195" s="19">
        <v>1.5452215712560928</v>
      </c>
      <c r="BF195" s="19">
        <v>0.85655708060644997</v>
      </c>
      <c r="BG195" s="19">
        <v>3.8369584935179688</v>
      </c>
      <c r="BH195" s="19">
        <v>4.3832986350727623</v>
      </c>
      <c r="BI195" s="19">
        <v>2.9535088416771771</v>
      </c>
      <c r="BJ195" s="19">
        <v>5.1400175740944576</v>
      </c>
      <c r="BK195" s="19">
        <v>5.945208477054976</v>
      </c>
      <c r="BL195" s="19">
        <v>4.4499878787878799</v>
      </c>
      <c r="BM195" s="19">
        <v>-2.0200707335765458</v>
      </c>
      <c r="BN195" s="19">
        <v>6.847713362419185</v>
      </c>
    </row>
    <row r="196" spans="1:66" x14ac:dyDescent="0.2">
      <c r="A196" s="19" t="s">
        <v>719</v>
      </c>
      <c r="B196" s="19" t="s">
        <v>1054</v>
      </c>
      <c r="C196" s="19" t="s">
        <v>863</v>
      </c>
      <c r="D196" s="19" t="s">
        <v>864</v>
      </c>
      <c r="F196" s="19">
        <v>-0.81499602070492472</v>
      </c>
      <c r="G196" s="19">
        <v>6.189515052919802</v>
      </c>
      <c r="H196" s="19">
        <v>5.6971441981861233</v>
      </c>
      <c r="I196" s="19">
        <v>3.9243968216508023</v>
      </c>
      <c r="J196" s="19">
        <v>4.1729598261129581</v>
      </c>
      <c r="K196" s="19">
        <v>-8.988977223171446E-2</v>
      </c>
      <c r="L196" s="19">
        <v>-6.4937828536444329</v>
      </c>
      <c r="M196" s="19">
        <v>2.4070845979510409</v>
      </c>
      <c r="N196" s="19">
        <v>11.785152360166435</v>
      </c>
      <c r="O196" s="19">
        <v>12.368762673779315</v>
      </c>
      <c r="P196" s="19">
        <v>9.5487344106858671</v>
      </c>
      <c r="Q196" s="19">
        <v>2.9871377630428242</v>
      </c>
      <c r="R196" s="19">
        <v>4.1796842587807959</v>
      </c>
      <c r="S196" s="19">
        <v>8.839330912125277</v>
      </c>
      <c r="T196" s="19">
        <v>-0.13611881293850558</v>
      </c>
      <c r="U196" s="19">
        <v>7.4848592403267986</v>
      </c>
      <c r="V196" s="19">
        <v>4.9819926180270357</v>
      </c>
      <c r="W196" s="19">
        <v>-0.63113240416276994</v>
      </c>
      <c r="X196" s="19">
        <v>5.6552555459121265</v>
      </c>
      <c r="Y196" s="19">
        <v>4.3544448909641886</v>
      </c>
      <c r="Z196" s="19">
        <v>-3.90459368356467</v>
      </c>
      <c r="AA196" s="19">
        <v>-1.0691333688190809</v>
      </c>
      <c r="AB196" s="19">
        <v>-4.7911301548035965</v>
      </c>
      <c r="AC196" s="19">
        <v>0.28250140754254005</v>
      </c>
      <c r="AD196" s="19">
        <v>3.4241847344783594</v>
      </c>
      <c r="AE196" s="19">
        <v>2.6650539789844885</v>
      </c>
      <c r="AF196" s="19">
        <v>4.2250145343902972</v>
      </c>
      <c r="AG196" s="19">
        <v>3.6376844560436155</v>
      </c>
      <c r="AH196" s="19">
        <v>1.9006779438994528</v>
      </c>
      <c r="AI196" s="19">
        <v>8.4522364743634455</v>
      </c>
      <c r="AJ196" s="19">
        <v>-7.9682401422570877</v>
      </c>
      <c r="AK196" s="19">
        <v>2.7716538554946482</v>
      </c>
      <c r="AL196" s="19">
        <v>-0.1783634294966987</v>
      </c>
      <c r="AM196" s="19">
        <v>0.1422357602702391</v>
      </c>
      <c r="AN196" s="19">
        <v>3.1498449673688782</v>
      </c>
      <c r="AO196" s="19">
        <v>5.5940766868370844</v>
      </c>
      <c r="AP196" s="19">
        <v>6.6712530480686638</v>
      </c>
      <c r="AQ196" s="19">
        <v>6.8340342543113479</v>
      </c>
      <c r="AR196" s="19">
        <v>4.2174152944816257</v>
      </c>
      <c r="AS196" s="19">
        <v>5.5164732493322504</v>
      </c>
      <c r="AT196" s="19">
        <v>4.5688387895603739</v>
      </c>
      <c r="AU196" s="19">
        <v>5.6981647315448782</v>
      </c>
      <c r="AV196" s="19">
        <v>-0.51241681312423282</v>
      </c>
      <c r="AW196" s="19">
        <v>11.7285332696583</v>
      </c>
      <c r="AX196" s="19">
        <v>5.9587461156426258</v>
      </c>
      <c r="AY196" s="19">
        <v>6.2276638653196983</v>
      </c>
      <c r="AZ196" s="19">
        <v>6.0335399984776217</v>
      </c>
      <c r="BA196" s="19">
        <v>6.2703125917565501</v>
      </c>
      <c r="BB196" s="19">
        <v>4.6296793214921479</v>
      </c>
      <c r="BC196" s="19">
        <v>6.4980212010345326</v>
      </c>
      <c r="BD196" s="19">
        <v>4.0189975547837236</v>
      </c>
      <c r="BE196" s="19">
        <v>3.5257876136922164</v>
      </c>
      <c r="BF196" s="19">
        <v>5.8069656734396773</v>
      </c>
      <c r="BG196" s="19">
        <v>5.0812267264641662</v>
      </c>
      <c r="BH196" s="19">
        <v>3.2090549480048338</v>
      </c>
      <c r="BI196" s="19">
        <v>2.4175444582507026</v>
      </c>
      <c r="BJ196" s="19">
        <v>1.5772732554232789</v>
      </c>
      <c r="BK196" s="19">
        <v>2.5341253174484137</v>
      </c>
      <c r="BL196" s="19">
        <v>3.1834809737329834</v>
      </c>
      <c r="BM196" s="19">
        <v>-2.414619739278578</v>
      </c>
      <c r="BN196" s="19">
        <v>3.1114708474796231</v>
      </c>
    </row>
    <row r="197" spans="1:66" x14ac:dyDescent="0.2">
      <c r="A197" s="19" t="s">
        <v>720</v>
      </c>
      <c r="B197" s="19" t="s">
        <v>1055</v>
      </c>
      <c r="C197" s="19" t="s">
        <v>863</v>
      </c>
      <c r="D197" s="19" t="s">
        <v>864</v>
      </c>
      <c r="F197" s="19">
        <v>7.0417384698717314</v>
      </c>
      <c r="G197" s="19">
        <v>8.3233125303139701</v>
      </c>
      <c r="H197" s="19">
        <v>8.6510470117775071</v>
      </c>
      <c r="I197" s="19">
        <v>7.0609237194136654</v>
      </c>
      <c r="J197" s="19">
        <v>9.2048424677642799</v>
      </c>
      <c r="K197" s="19">
        <v>7.4991483948436866</v>
      </c>
      <c r="L197" s="19">
        <v>6.223223354732113</v>
      </c>
      <c r="M197" s="19">
        <v>5.1804345979668227</v>
      </c>
      <c r="N197" s="19">
        <v>9.3752340360758097</v>
      </c>
      <c r="O197" s="19">
        <v>8.3979179464598133</v>
      </c>
      <c r="P197" s="19">
        <v>6.3654485740831035</v>
      </c>
      <c r="Q197" s="19">
        <v>7.1735749761500927</v>
      </c>
      <c r="R197" s="19">
        <v>6.3448958493385703</v>
      </c>
      <c r="S197" s="19">
        <v>2.9173784910371978</v>
      </c>
      <c r="T197" s="19">
        <v>-0.65456738628681421</v>
      </c>
      <c r="U197" s="19">
        <v>6.2430878135764516</v>
      </c>
      <c r="V197" s="19">
        <v>5.9506822347488537</v>
      </c>
      <c r="W197" s="19">
        <v>6.9319462254128723</v>
      </c>
      <c r="X197" s="19">
        <v>7.9068246876464059</v>
      </c>
      <c r="Y197" s="19">
        <v>4.2434653054678648</v>
      </c>
      <c r="Z197" s="19">
        <v>1.1479472252543701</v>
      </c>
      <c r="AA197" s="19">
        <v>-1.5566432078339716</v>
      </c>
      <c r="AB197" s="19">
        <v>-2.3419746327953987</v>
      </c>
      <c r="AC197" s="19">
        <v>5.9286865284107364</v>
      </c>
      <c r="AD197" s="19">
        <v>3.0974426445499006</v>
      </c>
      <c r="AE197" s="19">
        <v>4.9773674490755297</v>
      </c>
      <c r="AF197" s="19">
        <v>5.7689989036148006</v>
      </c>
      <c r="AG197" s="19">
        <v>5.8883727375965691</v>
      </c>
      <c r="AH197" s="19">
        <v>4.3349523970275072</v>
      </c>
      <c r="AI197" s="19">
        <v>-2.840540726202434</v>
      </c>
      <c r="AJ197" s="19">
        <v>2.3043911874036667</v>
      </c>
      <c r="AK197" s="19">
        <v>4.5640518145429354</v>
      </c>
      <c r="AL197" s="19">
        <v>4.6445270012571882</v>
      </c>
      <c r="AM197" s="19">
        <v>4.1859586128696975</v>
      </c>
      <c r="AN197" s="19">
        <v>4.5489881060350825</v>
      </c>
      <c r="AO197" s="19">
        <v>2.3137075087058321</v>
      </c>
      <c r="AP197" s="19">
        <v>4.8800872093023315</v>
      </c>
      <c r="AQ197" s="19">
        <v>5.5307256117982604</v>
      </c>
      <c r="AR197" s="19">
        <v>5.3896999277725399</v>
      </c>
      <c r="AS197" s="19">
        <v>3.2719645286232009</v>
      </c>
      <c r="AT197" s="19">
        <v>6.3134715546886042</v>
      </c>
      <c r="AU197" s="19">
        <v>0.91645938354156442</v>
      </c>
      <c r="AV197" s="19">
        <v>5.3419804689696093E-2</v>
      </c>
      <c r="AW197" s="19">
        <v>8.7486769265354667</v>
      </c>
      <c r="AX197" s="19">
        <v>-1.9869387333224182</v>
      </c>
      <c r="AY197" s="19">
        <v>-1.4094140244289548</v>
      </c>
      <c r="AZ197" s="19">
        <v>-1.1628066902935359</v>
      </c>
      <c r="BA197" s="19">
        <v>-1.8441342497794011</v>
      </c>
      <c r="BB197" s="19">
        <v>-1.9524251417230971</v>
      </c>
      <c r="BC197" s="19">
        <v>-0.41325411848491456</v>
      </c>
      <c r="BD197" s="19">
        <v>-0.35851062828751878</v>
      </c>
      <c r="BE197" s="19">
        <v>2.9275110489933809E-2</v>
      </c>
      <c r="BF197" s="19">
        <v>-0.30682665709996115</v>
      </c>
      <c r="BG197" s="19">
        <v>-1.1903634538532941</v>
      </c>
      <c r="BH197" s="19">
        <v>-1.0494436511055056</v>
      </c>
      <c r="BI197" s="19">
        <v>-1.2630029250527883</v>
      </c>
      <c r="BJ197" s="19">
        <v>-2.8859547585882126</v>
      </c>
      <c r="BK197" s="19">
        <v>-4.3606060606060595</v>
      </c>
      <c r="BL197" s="19">
        <v>1.6750631053092917</v>
      </c>
      <c r="BM197" s="19">
        <v>-4.3534263366192647</v>
      </c>
      <c r="BN197" s="19">
        <v>0.20743282868870949</v>
      </c>
    </row>
    <row r="198" spans="1:66" x14ac:dyDescent="0.2">
      <c r="A198" s="19" t="s">
        <v>721</v>
      </c>
      <c r="B198" s="19" t="s">
        <v>1056</v>
      </c>
      <c r="C198" s="19" t="s">
        <v>863</v>
      </c>
      <c r="D198" s="19" t="s">
        <v>864</v>
      </c>
    </row>
    <row r="199" spans="1:66" x14ac:dyDescent="0.2">
      <c r="A199" s="19" t="s">
        <v>722</v>
      </c>
      <c r="B199" s="19" t="s">
        <v>1057</v>
      </c>
      <c r="C199" s="19" t="s">
        <v>863</v>
      </c>
      <c r="D199" s="19" t="s">
        <v>864</v>
      </c>
      <c r="F199" s="19">
        <v>5.5349034756750228</v>
      </c>
      <c r="G199" s="19">
        <v>6.6144477687737719</v>
      </c>
      <c r="H199" s="19">
        <v>5.8737021161629599</v>
      </c>
      <c r="I199" s="19">
        <v>6.3107473825750731</v>
      </c>
      <c r="J199" s="19">
        <v>7.4689885299437293</v>
      </c>
      <c r="K199" s="19">
        <v>4.0779094339812048</v>
      </c>
      <c r="L199" s="19">
        <v>7.5444825289496578</v>
      </c>
      <c r="M199" s="19">
        <v>8.8755092337672039</v>
      </c>
      <c r="N199" s="19">
        <v>2.1207411616963157</v>
      </c>
      <c r="O199" s="19">
        <v>12.612605461891519</v>
      </c>
      <c r="P199" s="19">
        <v>6.6316529996385754</v>
      </c>
      <c r="Q199" s="19">
        <v>8.0156957015588688</v>
      </c>
      <c r="R199" s="19">
        <v>11.200672010790555</v>
      </c>
      <c r="S199" s="19">
        <v>1.1428593244949212</v>
      </c>
      <c r="T199" s="19">
        <v>-4.3476305450439412</v>
      </c>
      <c r="U199" s="19">
        <v>6.9002304138931123</v>
      </c>
      <c r="V199" s="19">
        <v>5.6025973129629989</v>
      </c>
      <c r="W199" s="19">
        <v>2.8159661528516722</v>
      </c>
      <c r="X199" s="19">
        <v>5.638937822701152</v>
      </c>
      <c r="Y199" s="19">
        <v>4.5893399236838235</v>
      </c>
      <c r="Z199" s="19">
        <v>1.6181042154184411</v>
      </c>
      <c r="AA199" s="19">
        <v>2.1353750775927409</v>
      </c>
      <c r="AB199" s="19">
        <v>-0.17311354825184821</v>
      </c>
      <c r="AC199" s="19">
        <v>-1.8799790893465342</v>
      </c>
      <c r="AD199" s="19">
        <v>2.8074388512947763</v>
      </c>
      <c r="AE199" s="19">
        <v>4.140955679719923</v>
      </c>
      <c r="AF199" s="19">
        <v>6.3813941349033456</v>
      </c>
      <c r="AG199" s="19">
        <v>7.489108289281404</v>
      </c>
      <c r="AH199" s="19">
        <v>6.4406392402760275</v>
      </c>
      <c r="AI199" s="19">
        <v>3.9505227632515414</v>
      </c>
      <c r="AJ199" s="19">
        <v>4.3682064626740242</v>
      </c>
      <c r="AK199" s="19">
        <v>1.0894764083122936</v>
      </c>
      <c r="AL199" s="19">
        <v>-2.0432765315769359</v>
      </c>
      <c r="AM199" s="19">
        <v>0.96483792534367296</v>
      </c>
      <c r="AN199" s="19">
        <v>4.2827804595035275</v>
      </c>
      <c r="AO199" s="19">
        <v>3.5042470691652738</v>
      </c>
      <c r="AP199" s="19">
        <v>4.4008677538124772</v>
      </c>
      <c r="AQ199" s="19">
        <v>4.8079629757332896</v>
      </c>
      <c r="AR199" s="19">
        <v>3.9065774400257851</v>
      </c>
      <c r="AS199" s="19">
        <v>3.8161780634697919</v>
      </c>
      <c r="AT199" s="19">
        <v>1.9436722958495949</v>
      </c>
      <c r="AU199" s="19">
        <v>0.77092402429121876</v>
      </c>
      <c r="AV199" s="19">
        <v>-0.93052119262306121</v>
      </c>
      <c r="AW199" s="19">
        <v>1.788735681571211</v>
      </c>
      <c r="AX199" s="19">
        <v>0.78184821592743958</v>
      </c>
      <c r="AY199" s="19">
        <v>1.6250341762967366</v>
      </c>
      <c r="AZ199" s="19">
        <v>2.506579645517732</v>
      </c>
      <c r="BA199" s="19">
        <v>0.31924792506308108</v>
      </c>
      <c r="BB199" s="19">
        <v>-3.1220794203332076</v>
      </c>
      <c r="BC199" s="19">
        <v>1.7376254759056593</v>
      </c>
      <c r="BD199" s="19">
        <v>-1.6961647806150353</v>
      </c>
      <c r="BE199" s="19">
        <v>-4.0572936076956125</v>
      </c>
      <c r="BF199" s="19">
        <v>-0.92264467452788779</v>
      </c>
      <c r="BG199" s="19">
        <v>0.79219030187536532</v>
      </c>
      <c r="BH199" s="19">
        <v>1.7920460455598288</v>
      </c>
      <c r="BI199" s="19">
        <v>2.0194853956131169</v>
      </c>
      <c r="BJ199" s="19">
        <v>3.5063452848123973</v>
      </c>
      <c r="BK199" s="19">
        <v>2.8493259343617865</v>
      </c>
      <c r="BL199" s="19">
        <v>2.6827599211807609</v>
      </c>
      <c r="BM199" s="19">
        <v>-8.3005160422115125</v>
      </c>
      <c r="BN199" s="19">
        <v>5.4823917084579961</v>
      </c>
    </row>
    <row r="200" spans="1:66" x14ac:dyDescent="0.2">
      <c r="A200" s="19" t="s">
        <v>723</v>
      </c>
      <c r="B200" s="19" t="s">
        <v>1058</v>
      </c>
      <c r="C200" s="19" t="s">
        <v>863</v>
      </c>
      <c r="D200" s="19" t="s">
        <v>864</v>
      </c>
      <c r="F200" s="19">
        <v>6.9002855142294521</v>
      </c>
      <c r="G200" s="19">
        <v>3.3002585160209321</v>
      </c>
      <c r="H200" s="19">
        <v>4.7102913398507269</v>
      </c>
      <c r="I200" s="19">
        <v>4.2124773594568268</v>
      </c>
      <c r="J200" s="19">
        <v>6.1679747564274265</v>
      </c>
      <c r="K200" s="19">
        <v>1.9915033352727534</v>
      </c>
      <c r="L200" s="19">
        <v>9.1503672041403377</v>
      </c>
      <c r="M200" s="19">
        <v>4.5270738418807639</v>
      </c>
      <c r="N200" s="19">
        <v>4.701151407707755</v>
      </c>
      <c r="O200" s="19">
        <v>5.5534257331189423</v>
      </c>
      <c r="P200" s="19">
        <v>5.538151942856004</v>
      </c>
      <c r="Q200" s="19">
        <v>6.6312974757339589</v>
      </c>
      <c r="R200" s="19">
        <v>7.3028129074068175</v>
      </c>
      <c r="S200" s="19">
        <v>8.3815254365003256</v>
      </c>
      <c r="T200" s="19">
        <v>6.8524447141295326</v>
      </c>
      <c r="U200" s="19">
        <v>7.5259495314272868</v>
      </c>
      <c r="V200" s="19">
        <v>11.494081601995518</v>
      </c>
      <c r="W200" s="19">
        <v>12.028729946121587</v>
      </c>
      <c r="X200" s="19">
        <v>11.862146971295019</v>
      </c>
      <c r="Y200" s="19">
        <v>11.712145943447979</v>
      </c>
      <c r="Z200" s="19">
        <v>9.1704588494291244</v>
      </c>
      <c r="AA200" s="19">
        <v>-1.3976177180351499</v>
      </c>
      <c r="AB200" s="19">
        <v>-3.0426178847185952</v>
      </c>
      <c r="AC200" s="19">
        <v>2.8165994460145782</v>
      </c>
      <c r="AD200" s="19">
        <v>4.5231356783092025</v>
      </c>
      <c r="AE200" s="19">
        <v>4.9648356657136219</v>
      </c>
      <c r="AF200" s="19">
        <v>7.5823043760417761</v>
      </c>
      <c r="AG200" s="19">
        <v>5.9153720655604474</v>
      </c>
      <c r="AH200" s="19">
        <v>6.9352039110352308</v>
      </c>
      <c r="AI200" s="19">
        <v>4.1232828794173884</v>
      </c>
      <c r="AJ200" s="19">
        <v>3.4936501549147181</v>
      </c>
      <c r="AK200" s="19">
        <v>1.6964280112470078</v>
      </c>
      <c r="AL200" s="19">
        <v>4.9363594147528147</v>
      </c>
      <c r="AM200" s="19">
        <v>5.3179176602394165</v>
      </c>
      <c r="AN200" s="19">
        <v>6.8228103035857828</v>
      </c>
      <c r="AO200" s="19">
        <v>1.5737851317500571</v>
      </c>
      <c r="AP200" s="19">
        <v>4.2425161026985876</v>
      </c>
      <c r="AQ200" s="19">
        <v>6.8037755808063594E-2</v>
      </c>
      <c r="AR200" s="19">
        <v>-1.36607971240079</v>
      </c>
      <c r="AS200" s="19">
        <v>-2.314140568190453</v>
      </c>
      <c r="AT200" s="19">
        <v>-0.83405471674609544</v>
      </c>
      <c r="AU200" s="19">
        <v>-2.1404394998569387E-2</v>
      </c>
      <c r="AV200" s="19">
        <v>4.3207454855159142</v>
      </c>
      <c r="AW200" s="19">
        <v>4.0574183636377086</v>
      </c>
      <c r="AX200" s="19">
        <v>2.1334906645960103</v>
      </c>
      <c r="AY200" s="19">
        <v>4.8071171926837621</v>
      </c>
      <c r="AZ200" s="19">
        <v>5.4216228721823541</v>
      </c>
      <c r="BA200" s="19">
        <v>6.4962921197090964</v>
      </c>
      <c r="BB200" s="19">
        <v>-0.26113732808028089</v>
      </c>
      <c r="BC200" s="19">
        <v>11.095231268552055</v>
      </c>
      <c r="BD200" s="19">
        <v>4.2863712070228246</v>
      </c>
      <c r="BE200" s="19">
        <v>-0.70804311231688644</v>
      </c>
      <c r="BF200" s="19">
        <v>8.2930764894047115</v>
      </c>
      <c r="BG200" s="19">
        <v>5.3012385923702539</v>
      </c>
      <c r="BH200" s="19">
        <v>2.9571517348710614</v>
      </c>
      <c r="BI200" s="19">
        <v>4.2680258331458276</v>
      </c>
      <c r="BJ200" s="19">
        <v>4.8100788555404108</v>
      </c>
      <c r="BK200" s="19">
        <v>3.2042503407663929</v>
      </c>
      <c r="BL200" s="19">
        <v>-0.40185510068000951</v>
      </c>
      <c r="BM200" s="19">
        <v>-0.81978539097191572</v>
      </c>
      <c r="BN200" s="19">
        <v>4.1024134153633298</v>
      </c>
    </row>
    <row r="201" spans="1:66" x14ac:dyDescent="0.2">
      <c r="A201" s="19" t="s">
        <v>724</v>
      </c>
      <c r="B201" s="19" t="s">
        <v>1059</v>
      </c>
      <c r="C201" s="19" t="s">
        <v>863</v>
      </c>
      <c r="D201" s="19" t="s">
        <v>864</v>
      </c>
      <c r="AN201" s="19">
        <v>7.1185118237428782</v>
      </c>
      <c r="AO201" s="19">
        <v>1.2151507733078972</v>
      </c>
      <c r="AP201" s="19">
        <v>14.667225162375047</v>
      </c>
      <c r="AQ201" s="19">
        <v>14.334203475552826</v>
      </c>
      <c r="AR201" s="19">
        <v>8.2804294037166102</v>
      </c>
      <c r="AS201" s="19">
        <v>-8.5561832906562216</v>
      </c>
      <c r="AT201" s="19">
        <v>-9.3106381675533072</v>
      </c>
      <c r="AU201" s="19">
        <v>-12.489191760806392</v>
      </c>
      <c r="AV201" s="19">
        <v>14.015865494575181</v>
      </c>
      <c r="AW201" s="19">
        <v>21.925239493344691</v>
      </c>
      <c r="AX201" s="19">
        <v>11.290651182927135</v>
      </c>
      <c r="AY201" s="19">
        <v>-0.99655610347707579</v>
      </c>
      <c r="AZ201" s="19">
        <v>3.7882815208598117</v>
      </c>
      <c r="BA201" s="19">
        <v>7.4291822554783522</v>
      </c>
      <c r="BB201" s="19">
        <v>8.5934908789386384</v>
      </c>
      <c r="BC201" s="19">
        <v>5.7773620562941943</v>
      </c>
      <c r="BD201" s="19">
        <v>9.6008084891359431</v>
      </c>
      <c r="BE201" s="19">
        <v>6.0964565632615404</v>
      </c>
      <c r="BF201" s="19">
        <v>4.6985698655223445</v>
      </c>
      <c r="BG201" s="19">
        <v>-0.15786665085529705</v>
      </c>
      <c r="BH201" s="19">
        <v>3.7212996711478752</v>
      </c>
      <c r="BI201" s="19">
        <v>8.8646188199593468</v>
      </c>
      <c r="BJ201" s="19">
        <v>1.419367562947869</v>
      </c>
      <c r="BK201" s="19">
        <v>1.2270773778270296</v>
      </c>
      <c r="BL201" s="19">
        <v>1.3626874655806205</v>
      </c>
      <c r="BM201" s="19">
        <v>-11.318466106513355</v>
      </c>
      <c r="BN201" s="19">
        <v>7.0504509382079306</v>
      </c>
    </row>
    <row r="202" spans="1:66" x14ac:dyDescent="0.2">
      <c r="A202" s="19" t="s">
        <v>725</v>
      </c>
      <c r="B202" s="19" t="s">
        <v>1060</v>
      </c>
      <c r="C202" s="19" t="s">
        <v>863</v>
      </c>
      <c r="D202" s="19" t="s">
        <v>864</v>
      </c>
      <c r="Z202" s="19">
        <v>4.616720308871038</v>
      </c>
      <c r="AA202" s="19">
        <v>-3.6267825952834727</v>
      </c>
      <c r="AB202" s="19">
        <v>-1.1568458425974484</v>
      </c>
      <c r="AC202" s="19">
        <v>5.9632178800766127</v>
      </c>
      <c r="AD202" s="19">
        <v>-2.5017077962137648</v>
      </c>
      <c r="AE202" s="19">
        <v>5.6613958913265918</v>
      </c>
      <c r="AF202" s="19">
        <v>-2.3653335504971125</v>
      </c>
      <c r="AG202" s="19">
        <v>0.84467733246738419</v>
      </c>
      <c r="AH202" s="19">
        <v>5.0157017159589259</v>
      </c>
      <c r="AI202" s="19">
        <v>3.9868609316947641</v>
      </c>
      <c r="AJ202" s="19">
        <v>5.4802581652936055E-2</v>
      </c>
      <c r="AK202" s="19">
        <v>5.5769766676663011</v>
      </c>
      <c r="AL202" s="19">
        <v>2.9442609407714286</v>
      </c>
      <c r="AM202" s="19">
        <v>4.8565700321992864</v>
      </c>
      <c r="AN202" s="19">
        <v>4.4009719037049848</v>
      </c>
      <c r="AO202" s="19">
        <v>3.1120041268017218</v>
      </c>
      <c r="AP202" s="19">
        <v>-1.2133401428143031</v>
      </c>
      <c r="AQ202" s="19">
        <v>1.6180573773849005</v>
      </c>
      <c r="AR202" s="19">
        <v>4.9521272951467807</v>
      </c>
      <c r="AS202" s="19">
        <v>-1.6590004124535369</v>
      </c>
      <c r="AT202" s="19">
        <v>1.1020055568351239</v>
      </c>
      <c r="AU202" s="19">
        <v>2.1300111191290938</v>
      </c>
      <c r="AV202" s="19">
        <v>2.0809057119996197</v>
      </c>
      <c r="AW202" s="19">
        <v>4.0977117785471648</v>
      </c>
      <c r="AX202" s="19">
        <v>2.556738091849823</v>
      </c>
      <c r="AY202" s="19">
        <v>2.3363934490021592</v>
      </c>
      <c r="AZ202" s="19">
        <v>0.31402582147977398</v>
      </c>
      <c r="BA202" s="19">
        <v>1.9420643466741865</v>
      </c>
      <c r="BB202" s="19">
        <v>-0.47768802537470378</v>
      </c>
      <c r="BC202" s="19">
        <v>3.7899573557072159</v>
      </c>
      <c r="BD202" s="19">
        <v>3.8402776963474707</v>
      </c>
      <c r="BE202" s="19">
        <v>0.90291890846370393</v>
      </c>
      <c r="BF202" s="19">
        <v>3.3058960986823536</v>
      </c>
      <c r="BG202" s="19">
        <v>3.689809768679325</v>
      </c>
      <c r="BH202" s="19">
        <v>3.6727238589594009</v>
      </c>
      <c r="BI202" s="19">
        <v>3.6066207278352351</v>
      </c>
      <c r="BJ202" s="19">
        <v>3.9883868604793804</v>
      </c>
      <c r="BK202" s="19">
        <v>2.8168950637620753</v>
      </c>
      <c r="BL202" s="19">
        <v>0.96536724141242303</v>
      </c>
      <c r="BM202" s="19">
        <v>-10.309958481605833</v>
      </c>
      <c r="BN202" s="19">
        <v>-3.6677283912054008</v>
      </c>
    </row>
    <row r="203" spans="1:66" x14ac:dyDescent="0.2">
      <c r="A203" s="19" t="s">
        <v>726</v>
      </c>
      <c r="B203" s="19" t="s">
        <v>1061</v>
      </c>
      <c r="C203" s="19" t="s">
        <v>863</v>
      </c>
      <c r="D203" s="19" t="s">
        <v>864</v>
      </c>
      <c r="F203" s="19">
        <v>4.34490145562782</v>
      </c>
      <c r="G203" s="19">
        <v>5.674635525651567</v>
      </c>
      <c r="H203" s="19">
        <v>5.2855136263524116</v>
      </c>
      <c r="I203" s="19">
        <v>6.3558569228675594</v>
      </c>
      <c r="J203" s="19">
        <v>5.4868028186419764</v>
      </c>
      <c r="K203" s="19">
        <v>5.8710215931683933</v>
      </c>
      <c r="L203" s="19">
        <v>4.3356268410620089</v>
      </c>
      <c r="M203" s="19">
        <v>5.9747948903424231</v>
      </c>
      <c r="N203" s="19">
        <v>5.3316016945708782</v>
      </c>
      <c r="O203" s="19">
        <v>2.6916093910142536</v>
      </c>
      <c r="P203" s="19">
        <v>3.6929864430964585</v>
      </c>
      <c r="Q203" s="19">
        <v>5.3478796454385957</v>
      </c>
      <c r="R203" s="19">
        <v>6.1111358819941017</v>
      </c>
      <c r="S203" s="19">
        <v>0.74497375835191804</v>
      </c>
      <c r="T203" s="19">
        <v>4.6009521052752689E-2</v>
      </c>
      <c r="U203" s="19">
        <v>4.8607703991539069</v>
      </c>
      <c r="V203" s="19">
        <v>3.826184157482146</v>
      </c>
      <c r="W203" s="19">
        <v>4.396579582049398</v>
      </c>
      <c r="X203" s="19">
        <v>3.8458340342653088</v>
      </c>
      <c r="Y203" s="19">
        <v>0.96353948439723069</v>
      </c>
      <c r="Z203" s="19">
        <v>1.8899433131507521</v>
      </c>
      <c r="AA203" s="19">
        <v>0.31297705843094548</v>
      </c>
      <c r="AB203" s="19">
        <v>3.1831353312272057</v>
      </c>
      <c r="AC203" s="19">
        <v>4.7598661517935597</v>
      </c>
      <c r="AD203" s="19">
        <v>3.7073543468700905</v>
      </c>
      <c r="AE203" s="19">
        <v>3.2281640230227566</v>
      </c>
      <c r="AF203" s="19">
        <v>3.5123797172799129</v>
      </c>
      <c r="AG203" s="19">
        <v>4.6967734123717548</v>
      </c>
      <c r="AH203" s="19">
        <v>3.8655107628815131</v>
      </c>
      <c r="AI203" s="19">
        <v>2.8102450543069608</v>
      </c>
      <c r="AJ203" s="19">
        <v>1.2333855979278496</v>
      </c>
      <c r="AK203" s="19">
        <v>1.9882003526844159</v>
      </c>
      <c r="AL203" s="19">
        <v>1.1350243964034661</v>
      </c>
      <c r="AM203" s="19">
        <v>3.0980425632591846</v>
      </c>
      <c r="AN203" s="19">
        <v>2.6930886654482151</v>
      </c>
      <c r="AO203" s="19">
        <v>2.9195664575311326</v>
      </c>
      <c r="AP203" s="19">
        <v>3.3627632149235467</v>
      </c>
      <c r="AQ203" s="19">
        <v>2.8230298465882697</v>
      </c>
      <c r="AR203" s="19">
        <v>3.5271961504408296</v>
      </c>
      <c r="AS203" s="19">
        <v>4.0219545857070216</v>
      </c>
      <c r="AT203" s="19">
        <v>1.5023110886960751</v>
      </c>
      <c r="AU203" s="19">
        <v>1.5279149872772422</v>
      </c>
      <c r="AV203" s="19">
        <v>2.0168439605342741</v>
      </c>
      <c r="AW203" s="19">
        <v>3.2044095855738135</v>
      </c>
      <c r="AX203" s="19">
        <v>2.7621524123503605</v>
      </c>
      <c r="AY203" s="19">
        <v>2.9036651656867036</v>
      </c>
      <c r="AZ203" s="19">
        <v>2.5413496401662741</v>
      </c>
      <c r="BA203" s="19">
        <v>0.36408428578671703</v>
      </c>
      <c r="BB203" s="19">
        <v>-3.3921979682779266</v>
      </c>
      <c r="BC203" s="19">
        <v>2.9267531930727557</v>
      </c>
      <c r="BD203" s="19">
        <v>1.6544017475212343</v>
      </c>
      <c r="BE203" s="19">
        <v>1.249302147342064</v>
      </c>
      <c r="BF203" s="19">
        <v>1.3994546306300037</v>
      </c>
      <c r="BG203" s="19">
        <v>1.9147799250764734</v>
      </c>
      <c r="BH203" s="19">
        <v>2.1373433971045586</v>
      </c>
      <c r="BI203" s="19">
        <v>1.7481024995504839</v>
      </c>
      <c r="BJ203" s="19">
        <v>2.3630050689667854</v>
      </c>
      <c r="BK203" s="19">
        <v>2.2563490927571621</v>
      </c>
      <c r="BL203" s="19">
        <v>1.6992149975308735</v>
      </c>
      <c r="BM203" s="19">
        <v>-4.4487706212863998</v>
      </c>
      <c r="BN203" s="19">
        <v>5.1191684891464035</v>
      </c>
    </row>
    <row r="204" spans="1:66" x14ac:dyDescent="0.2">
      <c r="A204" s="19" t="s">
        <v>727</v>
      </c>
      <c r="B204" s="19" t="s">
        <v>1062</v>
      </c>
      <c r="C204" s="19" t="s">
        <v>863</v>
      </c>
      <c r="D204" s="19" t="s">
        <v>864</v>
      </c>
      <c r="K204" s="19">
        <v>9.5765782353702207</v>
      </c>
      <c r="L204" s="19">
        <v>-4.7391666169555862</v>
      </c>
      <c r="M204" s="19">
        <v>14.930802142237141</v>
      </c>
      <c r="N204" s="19">
        <v>-2.6859410145686553</v>
      </c>
      <c r="O204" s="19">
        <v>1.6267113386722514</v>
      </c>
      <c r="P204" s="19">
        <v>12.002408647614388</v>
      </c>
      <c r="Q204" s="19">
        <v>-4.6950787322161602</v>
      </c>
      <c r="R204" s="19">
        <v>7.8025611190780637</v>
      </c>
      <c r="S204" s="19">
        <v>18.001048910189937</v>
      </c>
      <c r="T204" s="19">
        <v>-4.9027023963760001</v>
      </c>
      <c r="U204" s="19">
        <v>8.2036163255569789</v>
      </c>
      <c r="V204" s="19">
        <v>2.0789927029723145</v>
      </c>
      <c r="W204" s="19">
        <v>9.892559300284006</v>
      </c>
      <c r="X204" s="19">
        <v>3.9259241774220754</v>
      </c>
      <c r="Y204" s="19">
        <v>0.4849012603717</v>
      </c>
      <c r="Z204" s="19">
        <v>2.6460228773471215</v>
      </c>
      <c r="AA204" s="19">
        <v>1.6985895569612524</v>
      </c>
      <c r="AB204" s="19">
        <v>2.4196553579181739</v>
      </c>
      <c r="AC204" s="19">
        <v>2.3602924498909061</v>
      </c>
      <c r="AD204" s="19">
        <v>-1.1707882157379004</v>
      </c>
      <c r="AE204" s="19">
        <v>13.547794530604847</v>
      </c>
      <c r="AF204" s="19">
        <v>1.2698303226484313</v>
      </c>
      <c r="AG204" s="19">
        <v>-3.5986321422836482</v>
      </c>
      <c r="AH204" s="19">
        <v>2.1578809253815621</v>
      </c>
      <c r="AI204" s="19">
        <v>0.1298832073201055</v>
      </c>
      <c r="AJ204" s="19">
        <v>3.6555268240272767</v>
      </c>
      <c r="AK204" s="19">
        <v>-1.4573882888763734</v>
      </c>
      <c r="AL204" s="19">
        <v>-1.2976826138697106</v>
      </c>
      <c r="AM204" s="19">
        <v>-1.6663251578331</v>
      </c>
      <c r="AN204" s="19">
        <v>-0.3889694125387706</v>
      </c>
      <c r="AO204" s="19">
        <v>-0.66853655890790264</v>
      </c>
      <c r="AP204" s="19">
        <v>-0.12281467000322266</v>
      </c>
      <c r="AQ204" s="19">
        <v>1.7333744028915419</v>
      </c>
      <c r="AR204" s="19">
        <v>1.8905327838479593</v>
      </c>
      <c r="AS204" s="19">
        <v>3.2454110244810153</v>
      </c>
      <c r="AT204" s="19">
        <v>-0.34159558386718913</v>
      </c>
      <c r="AU204" s="19">
        <v>0.84618149120969122</v>
      </c>
      <c r="AV204" s="19">
        <v>2.1269288424879704</v>
      </c>
      <c r="AW204" s="19">
        <v>0.97125912722387397</v>
      </c>
      <c r="AX204" s="19">
        <v>0.30997348124874691</v>
      </c>
      <c r="AY204" s="19">
        <v>-1.9674069437341615</v>
      </c>
      <c r="AZ204" s="19">
        <v>0.17133992974167711</v>
      </c>
      <c r="BA204" s="19">
        <v>-3.6780297081977125</v>
      </c>
      <c r="BB204" s="19">
        <v>-3.479268510810428</v>
      </c>
      <c r="BC204" s="19">
        <v>-4.7188324872024054</v>
      </c>
      <c r="BD204" s="19">
        <v>-5.3883457741530947</v>
      </c>
      <c r="BE204" s="19">
        <v>-2.2627478859267711</v>
      </c>
      <c r="BF204" s="19">
        <v>0.3929951961819711</v>
      </c>
      <c r="BG204" s="19">
        <v>1.0462085442411393</v>
      </c>
      <c r="BH204" s="19">
        <v>3.4469467253234569</v>
      </c>
      <c r="BI204" s="19">
        <v>3.3666413897351504</v>
      </c>
      <c r="BJ204" s="19">
        <v>2.0974484581032868</v>
      </c>
      <c r="BK204" s="19">
        <v>2.8244794196346135</v>
      </c>
      <c r="BL204" s="19">
        <v>2.420144902635883</v>
      </c>
      <c r="BM204" s="19">
        <v>-10</v>
      </c>
      <c r="BN204" s="19">
        <v>1.0242556038807322</v>
      </c>
    </row>
    <row r="205" spans="1:66" x14ac:dyDescent="0.2">
      <c r="A205" s="19" t="s">
        <v>728</v>
      </c>
      <c r="B205" s="19" t="s">
        <v>1063</v>
      </c>
      <c r="C205" s="19" t="s">
        <v>863</v>
      </c>
      <c r="D205" s="19" t="s">
        <v>864</v>
      </c>
      <c r="AT205" s="19">
        <v>3.8981866623390715</v>
      </c>
      <c r="AU205" s="19">
        <v>7.182151680215128</v>
      </c>
      <c r="AV205" s="19">
        <v>3.7199586765490551</v>
      </c>
      <c r="AW205" s="19">
        <v>19.218915339789348</v>
      </c>
      <c r="AX205" s="19">
        <v>7.492758482790677</v>
      </c>
      <c r="AY205" s="19">
        <v>26.170245670303188</v>
      </c>
      <c r="AZ205" s="19">
        <v>17.985656816026349</v>
      </c>
      <c r="BA205" s="19">
        <v>17.663556362608944</v>
      </c>
      <c r="BB205" s="19">
        <v>11.956561128908589</v>
      </c>
      <c r="BC205" s="19">
        <v>19.592331533785895</v>
      </c>
      <c r="BD205" s="19">
        <v>13.375176410792861</v>
      </c>
      <c r="BE205" s="19">
        <v>4.7300118436078407</v>
      </c>
      <c r="BF205" s="19">
        <v>5.5560406430660692</v>
      </c>
      <c r="BG205" s="19">
        <v>5.3343232919645942</v>
      </c>
      <c r="BH205" s="19">
        <v>4.7533457243873727</v>
      </c>
      <c r="BI205" s="19">
        <v>3.0641918843015645</v>
      </c>
      <c r="BJ205" s="19">
        <v>-1.4976047022783803</v>
      </c>
      <c r="BK205" s="19">
        <v>1.2348722019106475</v>
      </c>
      <c r="BL205" s="19">
        <v>0.77480838123042872</v>
      </c>
      <c r="BM205" s="19">
        <v>-3.6404497984917299</v>
      </c>
      <c r="BN205" s="19">
        <v>1.5907569542688691</v>
      </c>
    </row>
    <row r="206" spans="1:66" x14ac:dyDescent="0.2">
      <c r="A206" s="19" t="s">
        <v>729</v>
      </c>
      <c r="B206" s="19" t="s">
        <v>1064</v>
      </c>
      <c r="C206" s="19" t="s">
        <v>863</v>
      </c>
      <c r="D206" s="19" t="s">
        <v>864</v>
      </c>
      <c r="AJ206" s="19">
        <v>-12.918210729821141</v>
      </c>
      <c r="AK206" s="19">
        <v>-8.7672284522823958</v>
      </c>
      <c r="AL206" s="19">
        <v>1.5288344966407692</v>
      </c>
      <c r="AM206" s="19">
        <v>3.9319427296250637</v>
      </c>
      <c r="AN206" s="19">
        <v>6.2335114837135137</v>
      </c>
      <c r="AO206" s="19">
        <v>3.9077020881615852</v>
      </c>
      <c r="AP206" s="19">
        <v>-4.8490627379703</v>
      </c>
      <c r="AQ206" s="19">
        <v>-2.0298129057172076</v>
      </c>
      <c r="AR206" s="19">
        <v>-0.37666070575899369</v>
      </c>
      <c r="AS206" s="19">
        <v>2.4612634592268989</v>
      </c>
      <c r="AT206" s="19">
        <v>5.2181362567370826</v>
      </c>
      <c r="AU206" s="19">
        <v>5.7029916504377098</v>
      </c>
      <c r="AV206" s="19">
        <v>2.3411473291952092</v>
      </c>
      <c r="AW206" s="19">
        <v>10.428113018097648</v>
      </c>
      <c r="AX206" s="19">
        <v>4.6681480508486999</v>
      </c>
      <c r="AY206" s="19">
        <v>8.0288110759916265</v>
      </c>
      <c r="AZ206" s="19">
        <v>7.2338077436280486</v>
      </c>
      <c r="BA206" s="19">
        <v>9.3074671707733785</v>
      </c>
      <c r="BB206" s="19">
        <v>-5.5173944080543862</v>
      </c>
      <c r="BC206" s="19">
        <v>-3.901236280186211</v>
      </c>
      <c r="BD206" s="19">
        <v>4.5170869643391427</v>
      </c>
      <c r="BE206" s="19">
        <v>1.9249932624075399</v>
      </c>
      <c r="BF206" s="19">
        <v>0.26996387863380278</v>
      </c>
      <c r="BG206" s="19">
        <v>4.1206749631981268</v>
      </c>
      <c r="BH206" s="19">
        <v>3.1605038704108921</v>
      </c>
      <c r="BI206" s="19">
        <v>2.8575460568876991</v>
      </c>
      <c r="BJ206" s="19">
        <v>8.196506503096245</v>
      </c>
      <c r="BK206" s="19">
        <v>6.0290190412821403</v>
      </c>
      <c r="BL206" s="19">
        <v>3.8531638334821139</v>
      </c>
      <c r="BM206" s="19">
        <v>-3.6775107912179692</v>
      </c>
      <c r="BN206" s="19">
        <v>5.1001281966894538</v>
      </c>
    </row>
    <row r="207" spans="1:66" x14ac:dyDescent="0.2">
      <c r="A207" s="19" t="s">
        <v>730</v>
      </c>
      <c r="B207" s="19" t="s">
        <v>1065</v>
      </c>
      <c r="C207" s="19" t="s">
        <v>863</v>
      </c>
      <c r="D207" s="19" t="s">
        <v>864</v>
      </c>
      <c r="AI207" s="19">
        <v>-2.9999956424312586</v>
      </c>
      <c r="AJ207" s="19">
        <v>-5.0469394512872441</v>
      </c>
      <c r="AK207" s="19">
        <v>-14.531073773773429</v>
      </c>
      <c r="AL207" s="19">
        <v>-8.6685403414926299</v>
      </c>
      <c r="AM207" s="19">
        <v>-12.569755979797819</v>
      </c>
      <c r="AN207" s="19">
        <v>-4.1435284056490502</v>
      </c>
      <c r="AO207" s="19">
        <v>-3.7550694390062489</v>
      </c>
      <c r="AP207" s="19">
        <v>1.3999158046101599</v>
      </c>
      <c r="AQ207" s="19">
        <v>-5.2999616253122639</v>
      </c>
      <c r="AR207" s="19">
        <v>6.3999146897353114</v>
      </c>
      <c r="AS207" s="19">
        <v>10.000066815788045</v>
      </c>
      <c r="AT207" s="19">
        <v>5.1000512252750525</v>
      </c>
      <c r="AU207" s="19">
        <v>4.6999919087352424</v>
      </c>
      <c r="AV207" s="19">
        <v>7.2999523445386814</v>
      </c>
      <c r="AW207" s="19">
        <v>7.1999478699447508</v>
      </c>
      <c r="AX207" s="19">
        <v>6.3999654478538162</v>
      </c>
      <c r="AY207" s="19">
        <v>8.2000682550559958</v>
      </c>
      <c r="AZ207" s="19">
        <v>8.499977768463566</v>
      </c>
      <c r="BA207" s="19">
        <v>5.1999692649884253</v>
      </c>
      <c r="BB207" s="19">
        <v>-7.7999939134311091</v>
      </c>
      <c r="BC207" s="19">
        <v>4.5000000000306528</v>
      </c>
      <c r="BD207" s="19">
        <v>4.3000291857941022</v>
      </c>
      <c r="BE207" s="19">
        <v>4.0240861572097941</v>
      </c>
      <c r="BF207" s="19">
        <v>1.7554221490936754</v>
      </c>
      <c r="BG207" s="19">
        <v>0.73626722141557366</v>
      </c>
      <c r="BH207" s="19">
        <v>-1.9727192263754176</v>
      </c>
      <c r="BI207" s="19">
        <v>0.19369007172953445</v>
      </c>
      <c r="BJ207" s="19">
        <v>1.8257900635511248</v>
      </c>
      <c r="BK207" s="19">
        <v>2.8072454104941755</v>
      </c>
      <c r="BL207" s="19">
        <v>2.1980757138086346</v>
      </c>
      <c r="BM207" s="19">
        <v>-2.6637575111133316</v>
      </c>
      <c r="BN207" s="19">
        <v>4.7495840999639825</v>
      </c>
    </row>
    <row r="208" spans="1:66" x14ac:dyDescent="0.2">
      <c r="A208" s="19" t="s">
        <v>731</v>
      </c>
      <c r="B208" s="19" t="s">
        <v>1066</v>
      </c>
      <c r="C208" s="19" t="s">
        <v>863</v>
      </c>
      <c r="D208" s="19" t="s">
        <v>864</v>
      </c>
      <c r="F208" s="19">
        <v>-4.2975260471688586</v>
      </c>
      <c r="G208" s="19">
        <v>11.333798368392195</v>
      </c>
      <c r="H208" s="19">
        <v>-9.8204444132636013</v>
      </c>
      <c r="I208" s="19">
        <v>-12.464992682669646</v>
      </c>
      <c r="J208" s="19">
        <v>7.0095292550613095</v>
      </c>
      <c r="K208" s="19">
        <v>7.0089108227524548</v>
      </c>
      <c r="L208" s="19">
        <v>6.9160175100430763</v>
      </c>
      <c r="M208" s="19">
        <v>7.0137809275822889</v>
      </c>
      <c r="N208" s="19">
        <v>11.007370149099941</v>
      </c>
      <c r="O208" s="19">
        <v>6.0014252465363711</v>
      </c>
      <c r="P208" s="19">
        <v>1.2066407013318496</v>
      </c>
      <c r="Q208" s="19">
        <v>0.26306826674425565</v>
      </c>
      <c r="R208" s="19">
        <v>3.4380881406726331</v>
      </c>
      <c r="S208" s="19">
        <v>1.4098235736843066</v>
      </c>
      <c r="T208" s="19">
        <v>-2.1138254244174988</v>
      </c>
      <c r="U208" s="19">
        <v>19.504577172501286</v>
      </c>
      <c r="V208" s="19">
        <v>1.9941094812186151</v>
      </c>
      <c r="W208" s="19">
        <v>9.1508408157397838</v>
      </c>
      <c r="X208" s="19">
        <v>11.86990803800569</v>
      </c>
      <c r="Y208" s="19">
        <v>8.951612329576264</v>
      </c>
      <c r="Z208" s="19">
        <v>5.4361994787403205</v>
      </c>
      <c r="AA208" s="19">
        <v>1.8108464472457655</v>
      </c>
      <c r="AB208" s="19">
        <v>5.9803499344609321</v>
      </c>
      <c r="AC208" s="19">
        <v>-4.2407732775918419</v>
      </c>
      <c r="AD208" s="19">
        <v>4.4027483326599679</v>
      </c>
      <c r="AE208" s="19">
        <v>5.4721374876962585</v>
      </c>
      <c r="AF208" s="19">
        <v>-2.4036108851205995E-2</v>
      </c>
      <c r="AG208" s="19">
        <v>4.4988249932552407</v>
      </c>
      <c r="AH208" s="19">
        <v>-3.6534273190667932E-2</v>
      </c>
      <c r="AI208" s="19">
        <v>-2.3992910975791091</v>
      </c>
      <c r="AJ208" s="19">
        <v>-2.514379652732444</v>
      </c>
      <c r="AK208" s="19">
        <v>5.8727252375905437</v>
      </c>
      <c r="AL208" s="19">
        <v>-8.1086918769396163</v>
      </c>
      <c r="AM208" s="19">
        <v>-50.24806710451773</v>
      </c>
      <c r="AN208" s="19">
        <v>35.224078305263646</v>
      </c>
      <c r="AO208" s="19">
        <v>12.745695762903495</v>
      </c>
      <c r="AP208" s="19">
        <v>13.849752486415241</v>
      </c>
      <c r="AQ208" s="19">
        <v>8.8586694907104118</v>
      </c>
      <c r="AR208" s="19">
        <v>4.3518883256393792</v>
      </c>
      <c r="AS208" s="19">
        <v>8.370918240358094</v>
      </c>
      <c r="AT208" s="19">
        <v>8.4845194528970609</v>
      </c>
      <c r="AU208" s="19">
        <v>13.192078097049603</v>
      </c>
      <c r="AV208" s="19">
        <v>2.2024027203903813</v>
      </c>
      <c r="AW208" s="19">
        <v>7.4476796764293169</v>
      </c>
      <c r="AX208" s="19">
        <v>9.3778994247541334</v>
      </c>
      <c r="AY208" s="19">
        <v>9.2270475786539805</v>
      </c>
      <c r="AZ208" s="19">
        <v>7.6333110613157231</v>
      </c>
      <c r="BA208" s="19">
        <v>11.161243240150981</v>
      </c>
      <c r="BB208" s="19">
        <v>6.248259929096676</v>
      </c>
      <c r="BC208" s="19">
        <v>7.33465610774428</v>
      </c>
      <c r="BD208" s="19">
        <v>7.9583857187722487</v>
      </c>
      <c r="BE208" s="19">
        <v>8.6415206247440324</v>
      </c>
      <c r="BF208" s="19">
        <v>4.7198368644023816</v>
      </c>
      <c r="BG208" s="19">
        <v>6.1671677213225706</v>
      </c>
      <c r="BH208" s="19">
        <v>8.856861324689703</v>
      </c>
      <c r="BI208" s="19">
        <v>5.9707442980852647</v>
      </c>
      <c r="BJ208" s="19">
        <v>3.9762896944846915</v>
      </c>
      <c r="BK208" s="19">
        <v>8.5794375372519198</v>
      </c>
      <c r="BL208" s="19">
        <v>9.4605975613201139</v>
      </c>
      <c r="BM208" s="19">
        <v>-3.358853319639465</v>
      </c>
      <c r="BN208" s="19">
        <v>10.884519160810029</v>
      </c>
    </row>
    <row r="209" spans="1:66" x14ac:dyDescent="0.2">
      <c r="A209" s="19" t="s">
        <v>732</v>
      </c>
      <c r="B209" s="19" t="s">
        <v>1067</v>
      </c>
      <c r="C209" s="19" t="s">
        <v>863</v>
      </c>
      <c r="D209" s="19" t="s">
        <v>864</v>
      </c>
      <c r="F209" s="19">
        <v>4.1952173746789612</v>
      </c>
      <c r="G209" s="19">
        <v>3.3968626667445108</v>
      </c>
      <c r="H209" s="19">
        <v>5.2563252983202915</v>
      </c>
      <c r="I209" s="19">
        <v>7.7610030649156272</v>
      </c>
      <c r="J209" s="19">
        <v>-0.65865865430509984</v>
      </c>
      <c r="K209" s="19">
        <v>1.1886624114611095</v>
      </c>
      <c r="L209" s="19">
        <v>6.1180177954611707</v>
      </c>
      <c r="M209" s="19">
        <v>4.5695292254895463</v>
      </c>
      <c r="N209" s="19">
        <v>5.7808256726617344</v>
      </c>
      <c r="O209" s="19">
        <v>5.8384256410589899</v>
      </c>
      <c r="P209" s="19">
        <v>0.61774644626450481</v>
      </c>
      <c r="Q209" s="19">
        <v>-1.7960122783831736</v>
      </c>
      <c r="R209" s="19">
        <v>3.8412646636617183</v>
      </c>
      <c r="S209" s="19">
        <v>2.4610122891678401</v>
      </c>
      <c r="T209" s="19">
        <v>6.9319865989779146</v>
      </c>
      <c r="U209" s="19">
        <v>2.5701907364969401</v>
      </c>
      <c r="V209" s="19">
        <v>6.2533966750494443</v>
      </c>
      <c r="W209" s="19">
        <v>6.1108641775699368</v>
      </c>
      <c r="X209" s="19">
        <v>-2.626451479508404</v>
      </c>
      <c r="Y209" s="19">
        <v>6.4585547154327685</v>
      </c>
      <c r="Z209" s="19">
        <v>6.4165370205919317</v>
      </c>
      <c r="AA209" s="19">
        <v>3.8205172342991034</v>
      </c>
      <c r="AB209" s="19">
        <v>6.6589024073922474</v>
      </c>
      <c r="AC209" s="19">
        <v>4.217410175941751</v>
      </c>
      <c r="AD209" s="19">
        <v>5.43055781899659</v>
      </c>
      <c r="AE209" s="19">
        <v>4.8171606192777006</v>
      </c>
      <c r="AF209" s="19">
        <v>4.2248906245383182</v>
      </c>
      <c r="AG209" s="19">
        <v>8.3806634317260489</v>
      </c>
      <c r="AH209" s="19">
        <v>5.3845423463969411</v>
      </c>
      <c r="AI209" s="19">
        <v>5.3958595502217719</v>
      </c>
      <c r="AJ209" s="19">
        <v>2.0593555031126414</v>
      </c>
      <c r="AK209" s="19">
        <v>5.7725321526935289</v>
      </c>
      <c r="AL209" s="19">
        <v>4.3290270165478688</v>
      </c>
      <c r="AM209" s="19">
        <v>5.9529101718917161</v>
      </c>
      <c r="AN209" s="19">
        <v>6.8450630848941216</v>
      </c>
      <c r="AO209" s="19">
        <v>6.7390085067989673</v>
      </c>
      <c r="AP209" s="19">
        <v>3.7377324964478476</v>
      </c>
      <c r="AQ209" s="19">
        <v>5.4907811049591686</v>
      </c>
      <c r="AR209" s="19">
        <v>7.5718965111856846</v>
      </c>
      <c r="AS209" s="19">
        <v>4.1103065644315251</v>
      </c>
      <c r="AT209" s="19">
        <v>4.4360976587886256</v>
      </c>
      <c r="AU209" s="19">
        <v>3.6023935133985958</v>
      </c>
      <c r="AV209" s="19">
        <v>7.2519295180730268</v>
      </c>
      <c r="AW209" s="19">
        <v>7.5073883752495192</v>
      </c>
      <c r="AX209" s="19">
        <v>7.5175505903672928</v>
      </c>
      <c r="AY209" s="19">
        <v>7.625924614176995</v>
      </c>
      <c r="AZ209" s="19">
        <v>7.2330297304960709</v>
      </c>
      <c r="BA209" s="19">
        <v>3.2641022702088947</v>
      </c>
      <c r="BB209" s="19">
        <v>6.9282488718791484</v>
      </c>
      <c r="BC209" s="19">
        <v>7.4687736588261231</v>
      </c>
      <c r="BD209" s="19">
        <v>5.1102441269134999</v>
      </c>
      <c r="BE209" s="19">
        <v>5.4679784636059878</v>
      </c>
      <c r="BF209" s="19">
        <v>6.0337854633858683</v>
      </c>
      <c r="BG209" s="19">
        <v>6.9386211920120076</v>
      </c>
      <c r="BH209" s="19">
        <v>7.3360719196774511</v>
      </c>
      <c r="BI209" s="19">
        <v>7.6822405823338045</v>
      </c>
      <c r="BJ209" s="19">
        <v>6.5270092439526195</v>
      </c>
      <c r="BK209" s="19">
        <v>6.334238352958792</v>
      </c>
      <c r="BL209" s="19">
        <v>3.8353719730894227</v>
      </c>
      <c r="BM209" s="19">
        <v>-5.2273739799017562</v>
      </c>
      <c r="BN209" s="19">
        <v>7.9643621733324892</v>
      </c>
    </row>
    <row r="210" spans="1:66" x14ac:dyDescent="0.2">
      <c r="A210" s="19" t="s">
        <v>733</v>
      </c>
      <c r="B210" s="19" t="s">
        <v>1068</v>
      </c>
      <c r="C210" s="19" t="s">
        <v>863</v>
      </c>
      <c r="D210" s="19" t="s">
        <v>864</v>
      </c>
      <c r="N210" s="19">
        <v>6.0378865487125069</v>
      </c>
      <c r="O210" s="19">
        <v>58.647330651182898</v>
      </c>
      <c r="P210" s="19">
        <v>20.512216746451827</v>
      </c>
      <c r="Q210" s="19">
        <v>22.930640248474958</v>
      </c>
      <c r="R210" s="19">
        <v>24.170528537875128</v>
      </c>
      <c r="S210" s="19">
        <v>16.22806526621288</v>
      </c>
      <c r="T210" s="19">
        <v>-8.9286143103635283</v>
      </c>
      <c r="U210" s="19">
        <v>17.820974198273291</v>
      </c>
      <c r="V210" s="19">
        <v>7.0933598980463586</v>
      </c>
      <c r="W210" s="19">
        <v>-5.2197260696054855</v>
      </c>
      <c r="X210" s="19">
        <v>11.919431558705469</v>
      </c>
      <c r="Y210" s="19">
        <v>5.6524576071168156</v>
      </c>
      <c r="Z210" s="19">
        <v>1.94300445362407</v>
      </c>
      <c r="AA210" s="19">
        <v>-20.72988831056955</v>
      </c>
      <c r="AB210" s="19">
        <v>-16.051386211877926</v>
      </c>
      <c r="AC210" s="19">
        <v>-4.6614519262637231</v>
      </c>
      <c r="AD210" s="19">
        <v>-9.7945022645803022</v>
      </c>
      <c r="AE210" s="19">
        <v>17.012746259240359</v>
      </c>
      <c r="AF210" s="19">
        <v>-6.6324960145816618</v>
      </c>
      <c r="AG210" s="19">
        <v>13.109312939558151</v>
      </c>
      <c r="AH210" s="19">
        <v>-0.50301588150095711</v>
      </c>
      <c r="AI210" s="19">
        <v>15.193425886137547</v>
      </c>
      <c r="AJ210" s="19">
        <v>15.007880251111743</v>
      </c>
      <c r="AK210" s="19">
        <v>3.9875401685496996</v>
      </c>
      <c r="AL210" s="19">
        <v>-1.3637414292428218</v>
      </c>
      <c r="AM210" s="19">
        <v>0.558720185389177</v>
      </c>
      <c r="AN210" s="19">
        <v>0.21209134750625935</v>
      </c>
      <c r="AO210" s="19">
        <v>2.6374242169505635</v>
      </c>
      <c r="AP210" s="19">
        <v>1.1037820485482257</v>
      </c>
      <c r="AQ210" s="19">
        <v>2.8933625194487007</v>
      </c>
      <c r="AR210" s="19">
        <v>-3.763285215631484</v>
      </c>
      <c r="AS210" s="19">
        <v>5.6254161425834326</v>
      </c>
      <c r="AT210" s="19">
        <v>-1.2107438628424632</v>
      </c>
      <c r="AU210" s="19">
        <v>-2.8191744042884039</v>
      </c>
      <c r="AV210" s="19">
        <v>11.242061385560049</v>
      </c>
      <c r="AW210" s="19">
        <v>7.9584416636785988</v>
      </c>
      <c r="AX210" s="19">
        <v>5.5738501214288334</v>
      </c>
      <c r="AY210" s="19">
        <v>2.7884022277423668</v>
      </c>
      <c r="AZ210" s="19">
        <v>1.8471302516113184</v>
      </c>
      <c r="BA210" s="19">
        <v>6.2497727547929856</v>
      </c>
      <c r="BB210" s="19">
        <v>-2.0592491899383276</v>
      </c>
      <c r="BC210" s="19">
        <v>5.0394840262865728</v>
      </c>
      <c r="BD210" s="19">
        <v>9.9968651655924816</v>
      </c>
      <c r="BE210" s="19">
        <v>5.4114227801033081</v>
      </c>
      <c r="BF210" s="19">
        <v>2.6992810708552923</v>
      </c>
      <c r="BG210" s="19">
        <v>3.6524856659282392</v>
      </c>
      <c r="BH210" s="19">
        <v>4.1063938644042111</v>
      </c>
      <c r="BI210" s="19">
        <v>1.6706642567558561</v>
      </c>
      <c r="BJ210" s="19">
        <v>-0.74152841823338633</v>
      </c>
      <c r="BK210" s="19">
        <v>2.5141657996922788</v>
      </c>
      <c r="BL210" s="19">
        <v>0.33378075529167006</v>
      </c>
      <c r="BM210" s="19">
        <v>-4.1376703755262412</v>
      </c>
      <c r="BN210" s="19">
        <v>3.2409297684805125</v>
      </c>
    </row>
    <row r="211" spans="1:66" x14ac:dyDescent="0.2">
      <c r="A211" s="19" t="s">
        <v>734</v>
      </c>
      <c r="B211" s="19" t="s">
        <v>1069</v>
      </c>
      <c r="C211" s="19" t="s">
        <v>863</v>
      </c>
      <c r="D211" s="19" t="s">
        <v>864</v>
      </c>
      <c r="F211" s="19">
        <v>2.2391333671805569E-2</v>
      </c>
      <c r="G211" s="19">
        <v>6.9158421543829718</v>
      </c>
      <c r="H211" s="19">
        <v>-2.8469716807152423</v>
      </c>
      <c r="I211" s="19">
        <v>-1.1204491178588967</v>
      </c>
      <c r="J211" s="19">
        <v>6.7770740726696488</v>
      </c>
      <c r="K211" s="19">
        <v>-3.575147484967232</v>
      </c>
      <c r="L211" s="19">
        <v>1.4240812829788609</v>
      </c>
      <c r="M211" s="19">
        <v>1.9632208230600412</v>
      </c>
      <c r="N211" s="19">
        <v>1.3893504905018688</v>
      </c>
      <c r="O211" s="19">
        <v>5.925074716047888</v>
      </c>
      <c r="P211" s="19">
        <v>2.247314099773206</v>
      </c>
      <c r="Q211" s="19">
        <v>-5.0709864790971011</v>
      </c>
      <c r="R211" s="19">
        <v>0.63219524983838937</v>
      </c>
      <c r="S211" s="19">
        <v>11.445289142156795</v>
      </c>
      <c r="T211" s="19">
        <v>15.713466450316389</v>
      </c>
      <c r="U211" s="19">
        <v>16.665219736210517</v>
      </c>
      <c r="V211" s="19">
        <v>6.2238537819563788</v>
      </c>
      <c r="W211" s="19">
        <v>-5.9309867214475958</v>
      </c>
      <c r="X211" s="19">
        <v>-5.0185993295368831</v>
      </c>
      <c r="Y211" s="19">
        <v>1.5243101477997527</v>
      </c>
      <c r="Z211" s="19">
        <v>7.4375636561280487</v>
      </c>
      <c r="AA211" s="19">
        <v>5.9586664325729259</v>
      </c>
      <c r="AB211" s="19">
        <v>2.0625016947758041</v>
      </c>
      <c r="AC211" s="19">
        <v>-5.0089067687658968</v>
      </c>
      <c r="AD211" s="19">
        <v>-6.2810435807506622</v>
      </c>
      <c r="AE211" s="19">
        <v>5.4138110119001936</v>
      </c>
      <c r="AF211" s="19">
        <v>14.220884598001419</v>
      </c>
      <c r="AG211" s="19">
        <v>-0.33109181843944668</v>
      </c>
      <c r="AH211" s="19">
        <v>8.931393687877673</v>
      </c>
      <c r="AI211" s="19">
        <v>-5.4700537764081645</v>
      </c>
      <c r="AJ211" s="19">
        <v>7.5109103536653805</v>
      </c>
      <c r="AK211" s="19">
        <v>6.5778613849960266</v>
      </c>
      <c r="AL211" s="19">
        <v>4.5687491895471339</v>
      </c>
      <c r="AM211" s="19">
        <v>1.0062292478833399</v>
      </c>
      <c r="AN211" s="19">
        <v>5.9970922605124599</v>
      </c>
      <c r="AO211" s="19">
        <v>5.9191237633176002</v>
      </c>
      <c r="AP211" s="19">
        <v>18.312657185027277</v>
      </c>
      <c r="AQ211" s="19">
        <v>4.3085042552503552</v>
      </c>
      <c r="AR211" s="19">
        <v>3.1040956154965187</v>
      </c>
      <c r="AS211" s="19">
        <v>6.34586743997545</v>
      </c>
      <c r="AT211" s="19">
        <v>6.5003605339688306</v>
      </c>
      <c r="AU211" s="19">
        <v>6.0064715363131995</v>
      </c>
      <c r="AV211" s="19">
        <v>6.2888081614651554</v>
      </c>
      <c r="AW211" s="19">
        <v>5.1408885176267489</v>
      </c>
      <c r="AX211" s="19">
        <v>5.6435155134363129</v>
      </c>
      <c r="AY211" s="19">
        <v>6.5314117467791988</v>
      </c>
      <c r="AZ211" s="19">
        <v>5.735274236644841</v>
      </c>
      <c r="BA211" s="19">
        <v>3.8467447312105776</v>
      </c>
      <c r="BB211" s="19">
        <v>-2.7677043659913778</v>
      </c>
      <c r="BC211" s="19">
        <v>3.8582419523010714</v>
      </c>
      <c r="BD211" s="19">
        <v>-3.2135320925337112</v>
      </c>
      <c r="BE211" s="19">
        <v>-17.004688404894466</v>
      </c>
      <c r="BF211" s="19">
        <v>1.9551446330242186</v>
      </c>
      <c r="BG211" s="19">
        <v>4.6613795422987323</v>
      </c>
      <c r="BH211" s="19">
        <v>1.9101768905275094</v>
      </c>
      <c r="BI211" s="19">
        <v>3.4676421840928811</v>
      </c>
      <c r="BJ211" s="19">
        <v>0.70925628476643965</v>
      </c>
      <c r="BK211" s="19">
        <v>-2.6809305497998963</v>
      </c>
      <c r="BL211" s="19">
        <v>-2.178251045300911</v>
      </c>
      <c r="BM211" s="19">
        <v>-3.6298009242576228</v>
      </c>
      <c r="BN211" s="19">
        <v>-1.8685202055926311</v>
      </c>
    </row>
    <row r="212" spans="1:66" x14ac:dyDescent="0.2">
      <c r="A212" s="19" t="s">
        <v>735</v>
      </c>
      <c r="B212" s="19" t="s">
        <v>1070</v>
      </c>
      <c r="C212" s="19" t="s">
        <v>863</v>
      </c>
      <c r="D212" s="19" t="s">
        <v>864</v>
      </c>
      <c r="F212" s="19">
        <v>2.9934482562697298</v>
      </c>
      <c r="G212" s="19">
        <v>-0.13623536056263674</v>
      </c>
      <c r="H212" s="19">
        <v>1.8644785692915775</v>
      </c>
      <c r="I212" s="19">
        <v>3.8839271016463073</v>
      </c>
      <c r="J212" s="19">
        <v>1.33218949146287</v>
      </c>
      <c r="K212" s="19">
        <v>2.8767609752686951</v>
      </c>
      <c r="L212" s="19">
        <v>-1.2197928652849299</v>
      </c>
      <c r="M212" s="19">
        <v>6.2907735312988962</v>
      </c>
      <c r="N212" s="19">
        <v>-6.5541429225009438</v>
      </c>
      <c r="O212" s="19">
        <v>8.5620455145582639</v>
      </c>
      <c r="P212" s="19">
        <v>-0.14044943985554426</v>
      </c>
      <c r="Q212" s="19">
        <v>6.3832089155746701</v>
      </c>
      <c r="R212" s="19">
        <v>-5.5832401079554899</v>
      </c>
      <c r="S212" s="19">
        <v>4.200775525851725</v>
      </c>
      <c r="T212" s="19">
        <v>7.5356625985862848</v>
      </c>
      <c r="U212" s="19">
        <v>8.9205037039029378</v>
      </c>
      <c r="V212" s="19">
        <v>-2.6829053048746516</v>
      </c>
      <c r="W212" s="19">
        <v>-3.9539312601377929</v>
      </c>
      <c r="X212" s="19">
        <v>7.0016856132254333</v>
      </c>
      <c r="Y212" s="19">
        <v>3.9877619716854724</v>
      </c>
      <c r="Z212" s="19">
        <v>5.1802296700223565</v>
      </c>
      <c r="AA212" s="19">
        <v>8.0103843713438749</v>
      </c>
      <c r="AB212" s="19">
        <v>-5.6474602811428838</v>
      </c>
      <c r="AC212" s="19">
        <v>3.9358424430633931</v>
      </c>
      <c r="AD212" s="19">
        <v>3.4630844651519368</v>
      </c>
      <c r="AE212" s="19">
        <v>3.1269855489720442</v>
      </c>
      <c r="AF212" s="19">
        <v>6.2558634066273129</v>
      </c>
      <c r="AG212" s="19">
        <v>-0.81657548824352943</v>
      </c>
      <c r="AH212" s="19">
        <v>3.9737833148322466</v>
      </c>
      <c r="AI212" s="19">
        <v>-0.74628222425231172</v>
      </c>
      <c r="AJ212" s="19">
        <v>2.6599626573937911</v>
      </c>
      <c r="AK212" s="19">
        <v>1.3202330366135726</v>
      </c>
      <c r="AL212" s="19">
        <v>1.3602130065134617</v>
      </c>
      <c r="AM212" s="19">
        <v>-4.7520948661741613E-2</v>
      </c>
      <c r="AN212" s="19">
        <v>5.4685848581962802</v>
      </c>
      <c r="AO212" s="19">
        <v>2.0199772085413059</v>
      </c>
      <c r="AP212" s="19">
        <v>3.0456010348542293</v>
      </c>
      <c r="AQ212" s="19">
        <v>5.8984793176920505</v>
      </c>
      <c r="AR212" s="19">
        <v>6.2833082503098723</v>
      </c>
      <c r="AS212" s="19">
        <v>3.8872109581679268</v>
      </c>
      <c r="AT212" s="19">
        <v>4.3108514661836921</v>
      </c>
      <c r="AU212" s="19">
        <v>6.8696574741906602E-2</v>
      </c>
      <c r="AV212" s="19">
        <v>5.5939509445614277</v>
      </c>
      <c r="AW212" s="19">
        <v>4.6432939368331176</v>
      </c>
      <c r="AX212" s="19">
        <v>4.3102385263963328</v>
      </c>
      <c r="AY212" s="19">
        <v>2.3307709833023864</v>
      </c>
      <c r="AZ212" s="19">
        <v>2.8271192013337441</v>
      </c>
      <c r="BA212" s="19">
        <v>3.7031690639138617</v>
      </c>
      <c r="BB212" s="19">
        <v>2.7521044845505287</v>
      </c>
      <c r="BC212" s="19">
        <v>3.39088925336209</v>
      </c>
      <c r="BD212" s="19">
        <v>1.3340910796125769</v>
      </c>
      <c r="BE212" s="19">
        <v>4.002995550904572</v>
      </c>
      <c r="BF212" s="19">
        <v>2.4123852760557867</v>
      </c>
      <c r="BG212" s="19">
        <v>6.2240744379098629</v>
      </c>
      <c r="BH212" s="19">
        <v>6.367043650669828</v>
      </c>
      <c r="BI212" s="19">
        <v>6.369684416903425</v>
      </c>
      <c r="BJ212" s="19">
        <v>7.3937374974633059</v>
      </c>
      <c r="BK212" s="19">
        <v>6.2092410338908621</v>
      </c>
      <c r="BL212" s="19">
        <v>4.6136280974970845</v>
      </c>
      <c r="BM212" s="19">
        <v>1.3255051408736449</v>
      </c>
      <c r="BN212" s="19">
        <v>6.064495967521367</v>
      </c>
    </row>
    <row r="213" spans="1:66" x14ac:dyDescent="0.2">
      <c r="A213" s="19" t="s">
        <v>736</v>
      </c>
      <c r="B213" s="19" t="s">
        <v>1071</v>
      </c>
      <c r="C213" s="19" t="s">
        <v>863</v>
      </c>
      <c r="D213" s="19" t="s">
        <v>864</v>
      </c>
      <c r="F213" s="19">
        <v>8.1375295081766836</v>
      </c>
      <c r="G213" s="19">
        <v>7.5534441805225754</v>
      </c>
      <c r="H213" s="19">
        <v>10.040173313141509</v>
      </c>
      <c r="I213" s="19">
        <v>-3.1031681559707636</v>
      </c>
      <c r="J213" s="19">
        <v>7.8342604647492919</v>
      </c>
      <c r="K213" s="19">
        <v>10.180095306912037</v>
      </c>
      <c r="L213" s="19">
        <v>12.50861274603399</v>
      </c>
      <c r="M213" s="19">
        <v>13.526994222638706</v>
      </c>
      <c r="N213" s="19">
        <v>13.83382511601306</v>
      </c>
      <c r="O213" s="19">
        <v>13.942003003191587</v>
      </c>
      <c r="P213" s="19">
        <v>12.413437158634238</v>
      </c>
      <c r="Q213" s="19">
        <v>13.315562608373938</v>
      </c>
      <c r="R213" s="19">
        <v>10.603003017178651</v>
      </c>
      <c r="S213" s="19">
        <v>6.1174043710988286</v>
      </c>
      <c r="T213" s="19">
        <v>3.9887386255090149</v>
      </c>
      <c r="U213" s="19">
        <v>7.437166818149592</v>
      </c>
      <c r="V213" s="19">
        <v>6.8524423938249441</v>
      </c>
      <c r="W213" s="19">
        <v>7.7771819542201683</v>
      </c>
      <c r="X213" s="19">
        <v>9.554448739723469</v>
      </c>
      <c r="Y213" s="19">
        <v>10.113372106847507</v>
      </c>
      <c r="Z213" s="19">
        <v>10.815923298675216</v>
      </c>
      <c r="AA213" s="19">
        <v>7.1021448489135395</v>
      </c>
      <c r="AB213" s="19">
        <v>8.5544821061441354</v>
      </c>
      <c r="AC213" s="19">
        <v>8.7922862391225607</v>
      </c>
      <c r="AD213" s="19">
        <v>-0.62270165011315726</v>
      </c>
      <c r="AE213" s="19">
        <v>1.3428104144543624</v>
      </c>
      <c r="AF213" s="19">
        <v>10.797932470281935</v>
      </c>
      <c r="AG213" s="19">
        <v>11.26359213382004</v>
      </c>
      <c r="AH213" s="19">
        <v>10.158828638788947</v>
      </c>
      <c r="AI213" s="19">
        <v>9.8208995573177731</v>
      </c>
      <c r="AJ213" s="19">
        <v>6.6883975395837894</v>
      </c>
      <c r="AK213" s="19">
        <v>6.6398055694956355</v>
      </c>
      <c r="AL213" s="19">
        <v>11.459650875246012</v>
      </c>
      <c r="AM213" s="19">
        <v>11.095689310022692</v>
      </c>
      <c r="AN213" s="19">
        <v>7.1754011209107063</v>
      </c>
      <c r="AO213" s="19">
        <v>7.4713908600200227</v>
      </c>
      <c r="AP213" s="19">
        <v>8.316209111244973</v>
      </c>
      <c r="AQ213" s="19">
        <v>-2.1910150061127354</v>
      </c>
      <c r="AR213" s="19">
        <v>5.7183717571083719</v>
      </c>
      <c r="AS213" s="19">
        <v>9.0383163255516337</v>
      </c>
      <c r="AT213" s="19">
        <v>-1.0708627510044835</v>
      </c>
      <c r="AU213" s="19">
        <v>3.923360767020128</v>
      </c>
      <c r="AV213" s="19">
        <v>4.5482554264322914</v>
      </c>
      <c r="AW213" s="19">
        <v>9.9399826843495731</v>
      </c>
      <c r="AX213" s="19">
        <v>7.366322392507584</v>
      </c>
      <c r="AY213" s="19">
        <v>9.0067660787175754</v>
      </c>
      <c r="AZ213" s="19">
        <v>9.0215195126889256</v>
      </c>
      <c r="BA213" s="19">
        <v>1.8634834546203507</v>
      </c>
      <c r="BB213" s="19">
        <v>0.1279533827780881</v>
      </c>
      <c r="BC213" s="19">
        <v>14.519749710899404</v>
      </c>
      <c r="BD213" s="19">
        <v>6.2149341685898918</v>
      </c>
      <c r="BE213" s="19">
        <v>4.4354975937853709</v>
      </c>
      <c r="BF213" s="19">
        <v>4.8176309912067552</v>
      </c>
      <c r="BG213" s="19">
        <v>3.9355402770900696</v>
      </c>
      <c r="BH213" s="19">
        <v>2.9767993163480639</v>
      </c>
      <c r="BI213" s="19">
        <v>3.5616979903604857</v>
      </c>
      <c r="BJ213" s="19">
        <v>4.661435048648201</v>
      </c>
      <c r="BK213" s="19">
        <v>3.6613049943623537</v>
      </c>
      <c r="BL213" s="19">
        <v>1.0956725673258774</v>
      </c>
      <c r="BM213" s="19">
        <v>-4.1431056212610571</v>
      </c>
      <c r="BN213" s="19">
        <v>7.6139626150264661</v>
      </c>
    </row>
    <row r="214" spans="1:66" x14ac:dyDescent="0.2">
      <c r="A214" s="19" t="s">
        <v>737</v>
      </c>
      <c r="B214" s="19" t="s">
        <v>1072</v>
      </c>
      <c r="C214" s="19" t="s">
        <v>863</v>
      </c>
      <c r="D214" s="19" t="s">
        <v>864</v>
      </c>
      <c r="Z214" s="19">
        <v>-1.7970193686776383</v>
      </c>
      <c r="AA214" s="19">
        <v>-1.669565560784406</v>
      </c>
      <c r="AB214" s="19">
        <v>3.8905916322333383</v>
      </c>
      <c r="AC214" s="19">
        <v>0.17020030310996503</v>
      </c>
      <c r="AD214" s="19">
        <v>-3.1323229029037378</v>
      </c>
      <c r="AE214" s="19">
        <v>-0.20143016121588175</v>
      </c>
      <c r="AF214" s="19">
        <v>8.42131018114749</v>
      </c>
      <c r="AG214" s="19">
        <v>1.250196323285536</v>
      </c>
      <c r="AH214" s="19">
        <v>4.2642567236613331</v>
      </c>
      <c r="AI214" s="19">
        <v>2.2000000001457494</v>
      </c>
      <c r="AJ214" s="19">
        <v>6.0000015533426989</v>
      </c>
      <c r="AK214" s="19">
        <v>12.69999824823995</v>
      </c>
      <c r="AL214" s="19">
        <v>3.9999995348558315</v>
      </c>
      <c r="AM214" s="19">
        <v>8.1000012262214085</v>
      </c>
      <c r="AN214" s="19">
        <v>10.0886153892408</v>
      </c>
      <c r="AO214" s="19">
        <v>1.609907634642596</v>
      </c>
      <c r="AP214" s="19">
        <v>-0.91407718815813155</v>
      </c>
      <c r="AQ214" s="19">
        <v>1.2915122493724027</v>
      </c>
      <c r="AR214" s="19">
        <v>-0.48573072799985084</v>
      </c>
      <c r="AS214" s="19">
        <v>-14.276999591179759</v>
      </c>
      <c r="AT214" s="19">
        <v>-7.9566061001623041</v>
      </c>
      <c r="AU214" s="19">
        <v>-2.7999828846498929</v>
      </c>
      <c r="AV214" s="19">
        <v>6.5234668505513866</v>
      </c>
      <c r="AW214" s="19">
        <v>7.6832999660031049</v>
      </c>
      <c r="AX214" s="19">
        <v>7.3578419335601666</v>
      </c>
      <c r="AY214" s="19">
        <v>4.1382803182538481</v>
      </c>
      <c r="AZ214" s="19">
        <v>3.6396724294813509</v>
      </c>
      <c r="BA214" s="19">
        <v>6.2259695437619058</v>
      </c>
      <c r="BB214" s="19">
        <v>2.8642679016743813</v>
      </c>
      <c r="BC214" s="19">
        <v>9.7083881692872467</v>
      </c>
      <c r="BD214" s="19">
        <v>7.4299496167590746</v>
      </c>
      <c r="BE214" s="19">
        <v>2.4660013869788315</v>
      </c>
      <c r="BF214" s="19">
        <v>5.2377401778032748</v>
      </c>
      <c r="BG214" s="19">
        <v>1.1892174709235803</v>
      </c>
      <c r="BH214" s="19">
        <v>1.6761461564977651</v>
      </c>
      <c r="BI214" s="19">
        <v>5.5547315336695391</v>
      </c>
      <c r="BJ214" s="19">
        <v>3.0753480342463604</v>
      </c>
      <c r="BK214" s="19">
        <v>2.7459954233409576</v>
      </c>
      <c r="BL214" s="19">
        <v>1.7495142870681946</v>
      </c>
      <c r="BM214" s="19">
        <v>-3.3820474846545778</v>
      </c>
      <c r="BN214" s="19">
        <v>-0.2024486648028585</v>
      </c>
    </row>
    <row r="215" spans="1:66" x14ac:dyDescent="0.2">
      <c r="A215" s="19" t="s">
        <v>738</v>
      </c>
      <c r="B215" s="19" t="s">
        <v>1073</v>
      </c>
      <c r="C215" s="19" t="s">
        <v>863</v>
      </c>
      <c r="D215" s="19" t="s">
        <v>864</v>
      </c>
      <c r="F215" s="19">
        <v>1.8090435500572255</v>
      </c>
      <c r="G215" s="19">
        <v>4.5409670642764439</v>
      </c>
      <c r="H215" s="19">
        <v>1.6997151729227795</v>
      </c>
      <c r="I215" s="19">
        <v>6.6852387905255881</v>
      </c>
      <c r="J215" s="19">
        <v>7.1801557915249816</v>
      </c>
      <c r="K215" s="19">
        <v>1.6999999980082237</v>
      </c>
      <c r="L215" s="19">
        <v>3.6281553320876014E-2</v>
      </c>
      <c r="M215" s="19">
        <v>2.0199238329879421</v>
      </c>
      <c r="N215" s="19">
        <v>8.5254468016975977</v>
      </c>
      <c r="O215" s="19">
        <v>8.620493239716879</v>
      </c>
      <c r="P215" s="19">
        <v>3.465916492276861</v>
      </c>
      <c r="Q215" s="19">
        <v>0.90023465027167049</v>
      </c>
      <c r="R215" s="19">
        <v>2.2566182498725738</v>
      </c>
      <c r="S215" s="19">
        <v>3.4998283200315541</v>
      </c>
      <c r="T215" s="19">
        <v>1.6692165238664245</v>
      </c>
      <c r="U215" s="19">
        <v>-0.44917634153227937</v>
      </c>
      <c r="V215" s="19">
        <v>4.6675809840749594E-2</v>
      </c>
      <c r="W215" s="19">
        <v>2.4063321661992774</v>
      </c>
      <c r="X215" s="19">
        <v>4.5112656074807234</v>
      </c>
      <c r="Y215" s="19">
        <v>4.8435037562916108</v>
      </c>
      <c r="Z215" s="19">
        <v>2.881428565017103</v>
      </c>
      <c r="AA215" s="19">
        <v>4.7817555346547351</v>
      </c>
      <c r="AB215" s="19">
        <v>-2.1028016174281703</v>
      </c>
      <c r="AC215" s="19">
        <v>4.0930342669799984</v>
      </c>
      <c r="AD215" s="19">
        <v>-5.311340498476568</v>
      </c>
      <c r="AE215" s="19">
        <v>1.2360469106910301</v>
      </c>
      <c r="AF215" s="19">
        <v>7.2312687313393695</v>
      </c>
      <c r="AG215" s="19">
        <v>-7.0799999995221583</v>
      </c>
      <c r="AH215" s="19">
        <v>0.72999999869576015</v>
      </c>
      <c r="AI215" s="19">
        <v>3.3499979838772447</v>
      </c>
      <c r="AJ215" s="19">
        <v>2.3519606446944721</v>
      </c>
      <c r="AK215" s="19">
        <v>-19.012909633684927</v>
      </c>
      <c r="AL215" s="19">
        <v>1.3745493787097729</v>
      </c>
      <c r="AM215" s="19">
        <v>-1.9473843345680137</v>
      </c>
      <c r="AN215" s="19">
        <v>-7.9997532856654487</v>
      </c>
      <c r="AO215" s="19">
        <v>1.7538213991709739</v>
      </c>
      <c r="AP215" s="19">
        <v>-5.8770820148606191</v>
      </c>
      <c r="AQ215" s="19">
        <v>1.7850142812972223</v>
      </c>
      <c r="AR215" s="19">
        <v>-1.979285588314454</v>
      </c>
      <c r="AS215" s="19">
        <v>6.6527278847047882</v>
      </c>
      <c r="AT215" s="19">
        <v>-6.3454551533225043</v>
      </c>
      <c r="AU215" s="19">
        <v>26.417316600136871</v>
      </c>
      <c r="AV215" s="19">
        <v>9.3131209689808685</v>
      </c>
      <c r="AW215" s="19">
        <v>6.5979448602823112</v>
      </c>
      <c r="AX215" s="19">
        <v>4.5050956716019499</v>
      </c>
      <c r="AY215" s="19">
        <v>4.2239142791538313</v>
      </c>
      <c r="AZ215" s="19">
        <v>8.0581451522880627</v>
      </c>
      <c r="BA215" s="19">
        <v>5.3982852096073941</v>
      </c>
      <c r="BB215" s="19">
        <v>3.1880512155610319</v>
      </c>
      <c r="BC215" s="19">
        <v>5.3464660523753196</v>
      </c>
      <c r="BD215" s="19">
        <v>6.3150450363764605</v>
      </c>
      <c r="BE215" s="19">
        <v>15.18176908302253</v>
      </c>
      <c r="BF215" s="19">
        <v>20.715768285872755</v>
      </c>
      <c r="BG215" s="19">
        <v>4.5567723661529271</v>
      </c>
      <c r="BH215" s="19">
        <v>-20.598770715403163</v>
      </c>
      <c r="BI215" s="19">
        <v>6.0554740287726219</v>
      </c>
      <c r="BJ215" s="19">
        <v>4.1926100742920767</v>
      </c>
      <c r="BK215" s="19">
        <v>3.4646021399665727</v>
      </c>
      <c r="BL215" s="19">
        <v>5.2542412025153595</v>
      </c>
      <c r="BM215" s="19">
        <v>-1.9689478204583679</v>
      </c>
      <c r="BN215" s="19">
        <v>4.1047000888411844</v>
      </c>
    </row>
    <row r="216" spans="1:66" x14ac:dyDescent="0.2">
      <c r="A216" s="19" t="s">
        <v>739</v>
      </c>
      <c r="B216" s="19" t="s">
        <v>1074</v>
      </c>
      <c r="C216" s="19" t="s">
        <v>863</v>
      </c>
      <c r="D216" s="19" t="s">
        <v>864</v>
      </c>
      <c r="K216" s="19">
        <v>7.1611377397188534</v>
      </c>
      <c r="L216" s="19">
        <v>5.4368488512869533</v>
      </c>
      <c r="M216" s="19">
        <v>3.2366923840662736</v>
      </c>
      <c r="N216" s="19">
        <v>3.4854188159065842</v>
      </c>
      <c r="O216" s="19">
        <v>2.9772950928131507</v>
      </c>
      <c r="P216" s="19">
        <v>3.858257513493129</v>
      </c>
      <c r="Q216" s="19">
        <v>6.1175336871667412</v>
      </c>
      <c r="R216" s="19">
        <v>4.8616735040866104</v>
      </c>
      <c r="S216" s="19">
        <v>5.3360011067654227</v>
      </c>
      <c r="T216" s="19">
        <v>2.9235318885202872</v>
      </c>
      <c r="U216" s="19">
        <v>5.049260173759464</v>
      </c>
      <c r="V216" s="19">
        <v>6.7800617282486115</v>
      </c>
      <c r="W216" s="19">
        <v>5.322765834727889</v>
      </c>
      <c r="X216" s="19">
        <v>-4.1802654332690423</v>
      </c>
      <c r="Y216" s="19">
        <v>-15.83686429486589</v>
      </c>
      <c r="Z216" s="19">
        <v>-5.7209904515293744</v>
      </c>
      <c r="AA216" s="19">
        <v>-6.3084713758475743</v>
      </c>
      <c r="AB216" s="19">
        <v>1.5390252839868168</v>
      </c>
      <c r="AC216" s="19">
        <v>1.3352580295921967</v>
      </c>
      <c r="AD216" s="19">
        <v>0.61431623931625268</v>
      </c>
      <c r="AE216" s="19">
        <v>0.19467303778426981</v>
      </c>
      <c r="AF216" s="19">
        <v>2.5081692131060578</v>
      </c>
      <c r="AG216" s="19">
        <v>1.8781769621780029</v>
      </c>
      <c r="AH216" s="19">
        <v>0.96405919661732753</v>
      </c>
      <c r="AI216" s="19">
        <v>4.8329005779378633</v>
      </c>
      <c r="AJ216" s="19">
        <v>1.4940875679130698</v>
      </c>
      <c r="AK216" s="19">
        <v>7.0219633157521741</v>
      </c>
      <c r="AL216" s="19">
        <v>5.8183155571901466</v>
      </c>
      <c r="AM216" s="19">
        <v>4.6920617266787019</v>
      </c>
      <c r="AN216" s="19">
        <v>4.7340814022973206</v>
      </c>
      <c r="AO216" s="19">
        <v>0.81146189932800894</v>
      </c>
      <c r="AP216" s="19">
        <v>3.1379700666582835</v>
      </c>
      <c r="AQ216" s="19">
        <v>2.6522773001646129</v>
      </c>
      <c r="AR216" s="19">
        <v>2.1620337372297342</v>
      </c>
      <c r="AS216" s="19">
        <v>1.1279069767441854</v>
      </c>
      <c r="AT216" s="19">
        <v>0.87961365988272178</v>
      </c>
      <c r="AU216" s="19">
        <v>1.5729184475978855</v>
      </c>
      <c r="AV216" s="19">
        <v>1.5653930314761766</v>
      </c>
      <c r="AW216" s="19">
        <v>0.88940448569219654</v>
      </c>
      <c r="AX216" s="19">
        <v>2.7054634725948574</v>
      </c>
      <c r="AY216" s="19">
        <v>4.3483497952300638</v>
      </c>
      <c r="AZ216" s="19">
        <v>1.8584785870945382</v>
      </c>
      <c r="BA216" s="19">
        <v>2.130553037171353</v>
      </c>
      <c r="BB216" s="19">
        <v>-2.0861074123391035</v>
      </c>
      <c r="BC216" s="19">
        <v>2.1078875793290877</v>
      </c>
      <c r="BD216" s="19">
        <v>3.806881243063259</v>
      </c>
      <c r="BE216" s="19">
        <v>2.8226237570832922</v>
      </c>
      <c r="BF216" s="19">
        <v>2.2356244150982576</v>
      </c>
      <c r="BG216" s="19">
        <v>1.7087062652562963</v>
      </c>
      <c r="BH216" s="19">
        <v>2.4000000000000057</v>
      </c>
      <c r="BI216" s="19">
        <v>2.5390625</v>
      </c>
      <c r="BJ216" s="19">
        <v>2.2476190476190538</v>
      </c>
      <c r="BK216" s="19">
        <v>2.4124441132637742</v>
      </c>
      <c r="BL216" s="19">
        <v>2.4374715779899958</v>
      </c>
      <c r="BM216" s="19">
        <v>-8.1772174376276325</v>
      </c>
      <c r="BN216" s="19">
        <v>10.278476116805251</v>
      </c>
    </row>
    <row r="217" spans="1:66" x14ac:dyDescent="0.2">
      <c r="A217" s="19" t="s">
        <v>740</v>
      </c>
      <c r="B217" s="19" t="s">
        <v>1075</v>
      </c>
      <c r="C217" s="19" t="s">
        <v>863</v>
      </c>
      <c r="D217" s="19" t="s">
        <v>864</v>
      </c>
      <c r="AQ217" s="19">
        <v>7.4656188605108014</v>
      </c>
      <c r="AR217" s="19">
        <v>9.0493601462522832</v>
      </c>
      <c r="AS217" s="19">
        <v>2.1793797150041883</v>
      </c>
      <c r="AT217" s="19">
        <v>5.5783429040196779</v>
      </c>
      <c r="AU217" s="19">
        <v>0.31080031080030324</v>
      </c>
      <c r="AV217" s="19">
        <v>3.8729666924864432</v>
      </c>
      <c r="AW217" s="19">
        <v>4.5488441461595954</v>
      </c>
      <c r="AX217" s="19">
        <v>2.4251069900142568</v>
      </c>
      <c r="AY217" s="19">
        <v>3.830083565459617</v>
      </c>
      <c r="AZ217" s="19">
        <v>7.1093226022803435</v>
      </c>
      <c r="BA217" s="19">
        <v>-0.50093926111458131</v>
      </c>
      <c r="BB217" s="19">
        <v>-10.320956576463175</v>
      </c>
      <c r="BC217" s="19">
        <v>-5.473684210526315</v>
      </c>
      <c r="BD217" s="19">
        <v>-8.3147735708982964</v>
      </c>
      <c r="BE217" s="19">
        <v>-7.044534412955457</v>
      </c>
      <c r="BF217" s="19">
        <v>-0.78397212543553962</v>
      </c>
      <c r="BG217" s="19">
        <v>-0.70237050043898819</v>
      </c>
      <c r="BH217" s="19">
        <v>2.2915055612926523</v>
      </c>
      <c r="BI217" s="19">
        <v>2.3444058605542608</v>
      </c>
      <c r="BJ217" s="19">
        <v>0.2582654663280266</v>
      </c>
      <c r="BK217" s="19">
        <v>1.4939053181737307</v>
      </c>
      <c r="BL217" s="19">
        <v>2.0656851473273861</v>
      </c>
      <c r="BM217" s="19">
        <v>-6.64791081780605</v>
      </c>
    </row>
    <row r="218" spans="1:66" x14ac:dyDescent="0.2">
      <c r="A218" s="19" t="s">
        <v>741</v>
      </c>
      <c r="B218" s="19" t="s">
        <v>1076</v>
      </c>
      <c r="C218" s="19" t="s">
        <v>863</v>
      </c>
      <c r="D218" s="19" t="s">
        <v>864</v>
      </c>
      <c r="F218" s="19">
        <v>-3.2619812023409622</v>
      </c>
      <c r="G218" s="19">
        <v>7.0766554341688419</v>
      </c>
      <c r="H218" s="19">
        <v>2.8088025700939312</v>
      </c>
      <c r="I218" s="19">
        <v>-6.1106233303426762</v>
      </c>
      <c r="J218" s="19">
        <v>-5.9436814925390422</v>
      </c>
      <c r="K218" s="19">
        <v>9.0986547077214368</v>
      </c>
      <c r="L218" s="19">
        <v>5.9409436166139074</v>
      </c>
      <c r="M218" s="19">
        <v>2.029977324836139</v>
      </c>
      <c r="N218" s="19">
        <v>-1.6995697173317126</v>
      </c>
      <c r="O218" s="19">
        <v>4.5814079214509604</v>
      </c>
      <c r="P218" s="19">
        <v>2.6290223397552381</v>
      </c>
      <c r="Q218" s="19">
        <v>10.100846049171054</v>
      </c>
      <c r="R218" s="19">
        <v>-1.9512984775573301</v>
      </c>
      <c r="S218" s="19">
        <v>-18.266378741832654</v>
      </c>
      <c r="T218" s="19">
        <v>30.073698584818743</v>
      </c>
      <c r="U218" s="19">
        <v>-1.0167167010779821</v>
      </c>
      <c r="V218" s="19">
        <v>23.307490511749606</v>
      </c>
      <c r="W218" s="19">
        <v>3.7274890874143409</v>
      </c>
      <c r="X218" s="19">
        <v>-2.7084658486775197</v>
      </c>
      <c r="Y218" s="19">
        <v>-3.9013900443195979</v>
      </c>
      <c r="Z218" s="19">
        <v>5.6626996605128426</v>
      </c>
      <c r="AA218" s="19">
        <v>4.0722945781459998</v>
      </c>
      <c r="AB218" s="19">
        <v>-8.7536692749918927</v>
      </c>
      <c r="AC218" s="19">
        <v>3.5549461490183916</v>
      </c>
      <c r="AD218" s="19">
        <v>8.1524367140727918</v>
      </c>
      <c r="AE218" s="19">
        <v>3.3527550394146317</v>
      </c>
      <c r="AF218" s="19">
        <v>5.0969044874901215</v>
      </c>
      <c r="AG218" s="19">
        <v>-0.55326992818058329</v>
      </c>
      <c r="AH218" s="19">
        <v>-0.17591181769063269</v>
      </c>
      <c r="AI218" s="19">
        <v>-1.4840756842422422</v>
      </c>
      <c r="BG218" s="19">
        <v>7.7942002527859273</v>
      </c>
      <c r="BH218" s="19">
        <v>15.049941474373441</v>
      </c>
      <c r="BI218" s="19">
        <v>8.5322930397740322</v>
      </c>
      <c r="BJ218" s="19">
        <v>2.349582762507481</v>
      </c>
      <c r="BK218" s="19">
        <v>7.5309692528717562</v>
      </c>
      <c r="BL218" s="19">
        <v>7.4565215433203491</v>
      </c>
      <c r="BM218" s="19">
        <v>2.4893743455444337</v>
      </c>
      <c r="BN218" s="19">
        <v>4.0491104880812969</v>
      </c>
    </row>
    <row r="219" spans="1:66" x14ac:dyDescent="0.2">
      <c r="A219" s="19" t="s">
        <v>742</v>
      </c>
      <c r="B219" s="19" t="s">
        <v>1077</v>
      </c>
      <c r="C219" s="19" t="s">
        <v>863</v>
      </c>
      <c r="D219" s="19" t="s">
        <v>864</v>
      </c>
      <c r="AO219" s="19">
        <v>6.2640826429298642</v>
      </c>
      <c r="AP219" s="19">
        <v>7.207379839417797</v>
      </c>
      <c r="AQ219" s="19">
        <v>3.3408773579261037</v>
      </c>
      <c r="AR219" s="19">
        <v>-9.4241616060843967</v>
      </c>
      <c r="AS219" s="19">
        <v>6.1318130895325424</v>
      </c>
      <c r="AT219" s="19">
        <v>6.8787747650663817</v>
      </c>
      <c r="AU219" s="19">
        <v>6.3804053040045261</v>
      </c>
      <c r="AV219" s="19">
        <v>4.3877570229959417</v>
      </c>
      <c r="AW219" s="19">
        <v>9.0281969282915355</v>
      </c>
      <c r="AX219" s="19">
        <v>5.5303471214543265</v>
      </c>
      <c r="AY219" s="19">
        <v>5.1077901412298417</v>
      </c>
      <c r="AZ219" s="19">
        <v>6.4395255541621168</v>
      </c>
      <c r="BA219" s="19">
        <v>5.655576621591905</v>
      </c>
      <c r="BB219" s="19">
        <v>-2.7317519891772832</v>
      </c>
      <c r="BC219" s="19">
        <v>0.73104455254213008</v>
      </c>
      <c r="BD219" s="19">
        <v>2.0362766886402994</v>
      </c>
      <c r="BE219" s="19">
        <v>-0.68154236933474976</v>
      </c>
      <c r="BF219" s="19">
        <v>2.8926367335580778</v>
      </c>
      <c r="BG219" s="19">
        <v>-1.5895103199025726</v>
      </c>
      <c r="BH219" s="19">
        <v>1.8060592650968204</v>
      </c>
      <c r="BI219" s="19">
        <v>3.3385867654298806</v>
      </c>
      <c r="BJ219" s="19">
        <v>2.1011638474124084</v>
      </c>
      <c r="BK219" s="19">
        <v>4.495121292762704</v>
      </c>
      <c r="BL219" s="19">
        <v>4.3317349060828292</v>
      </c>
      <c r="BM219" s="19">
        <v>-0.90321850152075456</v>
      </c>
      <c r="BN219" s="19">
        <v>7.5499125353738634</v>
      </c>
    </row>
    <row r="220" spans="1:66" x14ac:dyDescent="0.2">
      <c r="A220" s="19" t="s">
        <v>743</v>
      </c>
      <c r="B220" s="19" t="s">
        <v>1078</v>
      </c>
      <c r="C220" s="19" t="s">
        <v>863</v>
      </c>
      <c r="D220" s="19" t="s">
        <v>864</v>
      </c>
      <c r="F220" s="19">
        <v>0.96114581683586664</v>
      </c>
      <c r="G220" s="19">
        <v>6.0571154696022091</v>
      </c>
      <c r="H220" s="19">
        <v>6.1097483528240275</v>
      </c>
      <c r="I220" s="19">
        <v>4.9490931214737799</v>
      </c>
      <c r="J220" s="19">
        <v>4.7539555619391649</v>
      </c>
      <c r="K220" s="19">
        <v>1.3247181455092232</v>
      </c>
      <c r="L220" s="19">
        <v>-1.2480020586037881</v>
      </c>
      <c r="M220" s="19">
        <v>2.9780732338055458</v>
      </c>
      <c r="N220" s="19">
        <v>9.3850537158666185</v>
      </c>
      <c r="O220" s="19">
        <v>10.288553032902769</v>
      </c>
      <c r="P220" s="19">
        <v>7.832293124428773</v>
      </c>
      <c r="Q220" s="19">
        <v>2.6122640673011261</v>
      </c>
      <c r="R220" s="19">
        <v>4.3387598545980666</v>
      </c>
      <c r="S220" s="19">
        <v>7.9269286353409001</v>
      </c>
      <c r="T220" s="19">
        <v>-0.13286973672698821</v>
      </c>
      <c r="U220" s="19">
        <v>5.5127666211612194</v>
      </c>
      <c r="V220" s="19">
        <v>2.916221287022708</v>
      </c>
      <c r="W220" s="19">
        <v>-0.55677203445858936</v>
      </c>
      <c r="X220" s="19">
        <v>3.9568263157945296</v>
      </c>
      <c r="Y220" s="19">
        <v>3.7798687367075985</v>
      </c>
      <c r="Z220" s="19">
        <v>-0.75219189802373876</v>
      </c>
      <c r="AA220" s="19">
        <v>-1.0917168043019245</v>
      </c>
      <c r="AB220" s="19">
        <v>-2.5290486014908851</v>
      </c>
      <c r="AC220" s="19">
        <v>2.0670216121434066</v>
      </c>
      <c r="AD220" s="19">
        <v>1.8139110809499925</v>
      </c>
      <c r="AE220" s="19">
        <v>1.9478410362777225</v>
      </c>
      <c r="AF220" s="19">
        <v>3.1503338137266894</v>
      </c>
      <c r="AG220" s="19">
        <v>4.3407135335123996</v>
      </c>
      <c r="AH220" s="19">
        <v>2.6594986505181168</v>
      </c>
      <c r="AI220" s="19">
        <v>2.4759572272127031</v>
      </c>
      <c r="AJ220" s="19">
        <v>0.50652345616771299</v>
      </c>
      <c r="AK220" s="19">
        <v>-0.11850263609457556</v>
      </c>
      <c r="AL220" s="19">
        <v>-0.71177851658637792</v>
      </c>
      <c r="AM220" s="19">
        <v>1.0806049107912088</v>
      </c>
      <c r="AN220" s="19">
        <v>3.3498423615109658</v>
      </c>
      <c r="AO220" s="19">
        <v>5.1159244467330751</v>
      </c>
      <c r="AP220" s="19">
        <v>4.3438011854072016</v>
      </c>
      <c r="AQ220" s="19">
        <v>2.4872405094694869</v>
      </c>
      <c r="AR220" s="19">
        <v>2.1633954191217555</v>
      </c>
      <c r="AS220" s="19">
        <v>3.5092168771184049</v>
      </c>
      <c r="AT220" s="19">
        <v>4.2786021471103481</v>
      </c>
      <c r="AU220" s="19">
        <v>6.315221049392747</v>
      </c>
      <c r="AV220" s="19">
        <v>4.1101198717834677</v>
      </c>
      <c r="AW220" s="19">
        <v>6.566926730234556</v>
      </c>
      <c r="AX220" s="19">
        <v>6.0026157303211249</v>
      </c>
      <c r="AY220" s="19">
        <v>6.0587035668068268</v>
      </c>
      <c r="AZ220" s="19">
        <v>6.1323089980384964</v>
      </c>
      <c r="BA220" s="19">
        <v>5.1367708724255294</v>
      </c>
      <c r="BB220" s="19">
        <v>2.9951825924756008</v>
      </c>
      <c r="BC220" s="19">
        <v>5.955932497165179</v>
      </c>
      <c r="BD220" s="19">
        <v>4.1962366059834295</v>
      </c>
      <c r="BE220" s="19">
        <v>2.7130490544650741</v>
      </c>
      <c r="BF220" s="19">
        <v>5.0627417936632213</v>
      </c>
      <c r="BG220" s="19">
        <v>4.862689503700679</v>
      </c>
      <c r="BH220" s="19">
        <v>2.8691660702407091</v>
      </c>
      <c r="BI220" s="19">
        <v>1.2637187881742022</v>
      </c>
      <c r="BJ220" s="19">
        <v>2.4364531726650966</v>
      </c>
      <c r="BK220" s="19">
        <v>2.7052678564850225</v>
      </c>
      <c r="BL220" s="19">
        <v>2.577173068507733</v>
      </c>
      <c r="BM220" s="19">
        <v>-1.9925064647495674</v>
      </c>
      <c r="BN220" s="19">
        <v>4.1405314417561954</v>
      </c>
    </row>
    <row r="221" spans="1:66" x14ac:dyDescent="0.2">
      <c r="A221" s="19" t="s">
        <v>744</v>
      </c>
      <c r="B221" s="19" t="s">
        <v>1079</v>
      </c>
      <c r="C221" s="19" t="s">
        <v>863</v>
      </c>
      <c r="D221" s="19" t="s">
        <v>864</v>
      </c>
      <c r="BB221" s="19">
        <v>5.0416418798334206</v>
      </c>
      <c r="BC221" s="19">
        <v>5.4934163952994481</v>
      </c>
      <c r="BD221" s="19">
        <v>-4.640316736008586</v>
      </c>
      <c r="BE221" s="19">
        <v>-46.082122374300695</v>
      </c>
      <c r="BF221" s="19">
        <v>13.129731140694332</v>
      </c>
      <c r="BG221" s="19">
        <v>3.37364847715736</v>
      </c>
      <c r="BH221" s="19">
        <v>-10.793364627114315</v>
      </c>
    </row>
    <row r="222" spans="1:66" x14ac:dyDescent="0.2">
      <c r="A222" s="19" t="s">
        <v>745</v>
      </c>
      <c r="B222" s="19" t="s">
        <v>1080</v>
      </c>
      <c r="C222" s="19" t="s">
        <v>863</v>
      </c>
      <c r="D222" s="19" t="s">
        <v>864</v>
      </c>
      <c r="F222" s="19">
        <v>0.95760071895627163</v>
      </c>
      <c r="G222" s="19">
        <v>6.0584531871119509</v>
      </c>
      <c r="H222" s="19">
        <v>6.1120893570780339</v>
      </c>
      <c r="I222" s="19">
        <v>4.9496786490658593</v>
      </c>
      <c r="J222" s="19">
        <v>4.7504138346329654</v>
      </c>
      <c r="K222" s="19">
        <v>1.3319510295702202</v>
      </c>
      <c r="L222" s="19">
        <v>-1.2468696410127791</v>
      </c>
      <c r="M222" s="19">
        <v>2.9810601607952663</v>
      </c>
      <c r="N222" s="19">
        <v>9.3786545852227761</v>
      </c>
      <c r="O222" s="19">
        <v>10.287669903445604</v>
      </c>
      <c r="P222" s="19">
        <v>7.8372170724451991</v>
      </c>
      <c r="Q222" s="19">
        <v>2.6147020928535198</v>
      </c>
      <c r="R222" s="19">
        <v>4.3419822566489046</v>
      </c>
      <c r="S222" s="19">
        <v>7.9221974767215357</v>
      </c>
      <c r="T222" s="19">
        <v>-0.13065043199225101</v>
      </c>
      <c r="U222" s="19">
        <v>5.5202227689530758</v>
      </c>
      <c r="V222" s="19">
        <v>2.9093036621603829</v>
      </c>
      <c r="W222" s="19">
        <v>-0.54173955762325932</v>
      </c>
      <c r="X222" s="19">
        <v>3.9668113735202155</v>
      </c>
      <c r="Y222" s="19">
        <v>3.7723263081416576</v>
      </c>
      <c r="Z222" s="19">
        <v>-0.75831167523216436</v>
      </c>
      <c r="AA222" s="19">
        <v>-1.0917360962788791</v>
      </c>
      <c r="AB222" s="19">
        <v>-2.5284450265706084</v>
      </c>
      <c r="AC222" s="19">
        <v>2.0688361970792499</v>
      </c>
      <c r="AD222" s="19">
        <v>1.8209898980181833</v>
      </c>
      <c r="AE222" s="19">
        <v>1.9460782933574166</v>
      </c>
      <c r="AF222" s="19">
        <v>3.1513470343262924</v>
      </c>
      <c r="AG222" s="19">
        <v>4.3415773170144973</v>
      </c>
      <c r="AH222" s="19">
        <v>2.6664135885115172</v>
      </c>
      <c r="AI222" s="19">
        <v>2.4799212429638118</v>
      </c>
      <c r="AJ222" s="19">
        <v>0.50858740310087569</v>
      </c>
      <c r="AK222" s="19">
        <v>-0.11168685241777609</v>
      </c>
      <c r="AL222" s="19">
        <v>-0.70485182548466696</v>
      </c>
      <c r="AM222" s="19">
        <v>1.0785896752691713</v>
      </c>
      <c r="AN222" s="19">
        <v>3.3454480134790856</v>
      </c>
      <c r="AO222" s="19">
        <v>5.1157240749463995</v>
      </c>
      <c r="AP222" s="19">
        <v>4.3514801549708864</v>
      </c>
      <c r="AQ222" s="19">
        <v>2.4936391254075687</v>
      </c>
      <c r="AR222" s="19">
        <v>2.1630620961492895</v>
      </c>
      <c r="AS222" s="19">
        <v>3.5069414153019522</v>
      </c>
      <c r="AT222" s="19">
        <v>4.2712948904771224</v>
      </c>
      <c r="AU222" s="19">
        <v>6.3098867161565551</v>
      </c>
      <c r="AV222" s="19">
        <v>4.1001692808303005</v>
      </c>
      <c r="AW222" s="19">
        <v>6.5584525806154943</v>
      </c>
      <c r="AX222" s="19">
        <v>6.0050794732634074</v>
      </c>
      <c r="AY222" s="19">
        <v>6.0615274866785143</v>
      </c>
      <c r="AZ222" s="19">
        <v>6.1360414509418604</v>
      </c>
      <c r="BA222" s="19">
        <v>5.1301766166250076</v>
      </c>
      <c r="BB222" s="19">
        <v>2.9917819703280344</v>
      </c>
      <c r="BC222" s="19">
        <v>5.9559317242775478</v>
      </c>
      <c r="BD222" s="19">
        <v>4.1991759131880997</v>
      </c>
      <c r="BE222" s="19">
        <v>2.7118516682226073</v>
      </c>
      <c r="BF222" s="19">
        <v>5.0635183598479045</v>
      </c>
      <c r="BG222" s="19">
        <v>4.8623967350745971</v>
      </c>
      <c r="BH222" s="19">
        <v>2.871422715900664</v>
      </c>
      <c r="BI222" s="19">
        <v>1.2671421371829297</v>
      </c>
      <c r="BJ222" s="19">
        <v>2.4382600070736373</v>
      </c>
      <c r="BK222" s="19">
        <v>2.7057064525996708</v>
      </c>
      <c r="BL222" s="19">
        <v>2.5776397337377972</v>
      </c>
      <c r="BM222" s="19">
        <v>-1.9976215020097357</v>
      </c>
      <c r="BN222" s="19">
        <v>4.1436767375322887</v>
      </c>
    </row>
    <row r="223" spans="1:66" x14ac:dyDescent="0.2">
      <c r="A223" s="19" t="s">
        <v>746</v>
      </c>
      <c r="B223" s="19" t="s">
        <v>1081</v>
      </c>
      <c r="C223" s="19" t="s">
        <v>863</v>
      </c>
      <c r="D223" s="19" t="s">
        <v>864</v>
      </c>
      <c r="AT223" s="19">
        <v>3.5190447635715856</v>
      </c>
      <c r="AU223" s="19">
        <v>4.2351012995121664</v>
      </c>
      <c r="AV223" s="19">
        <v>4.6912406805835758</v>
      </c>
      <c r="AW223" s="19">
        <v>7.6572360161647453</v>
      </c>
      <c r="AX223" s="19">
        <v>5.1624648335939298</v>
      </c>
      <c r="AY223" s="19">
        <v>9.6843974317168744</v>
      </c>
      <c r="AZ223" s="19">
        <v>8.1641582828407877</v>
      </c>
      <c r="BA223" s="19">
        <v>5.8807561680072098</v>
      </c>
      <c r="BB223" s="19">
        <v>0.48819720925116883</v>
      </c>
      <c r="BC223" s="19">
        <v>7.1580465101624782</v>
      </c>
      <c r="BD223" s="19">
        <v>6.2754113332430563</v>
      </c>
      <c r="BE223" s="19">
        <v>3.3089999253631817</v>
      </c>
      <c r="BF223" s="19">
        <v>3.2842707517359884</v>
      </c>
      <c r="BG223" s="19">
        <v>3.5544384026297422</v>
      </c>
      <c r="BH223" s="19">
        <v>2.6505446022052013</v>
      </c>
      <c r="BI223" s="19">
        <v>2.1868951294220125</v>
      </c>
      <c r="BJ223" s="19">
        <v>1.0992974612163522</v>
      </c>
      <c r="BK223" s="19">
        <v>2.0935321286350614</v>
      </c>
      <c r="BL223" s="19">
        <v>2.0053387645589567</v>
      </c>
      <c r="BM223" s="19">
        <v>-5.6595228689541415</v>
      </c>
      <c r="BN223" s="19">
        <v>3.9172429534768014</v>
      </c>
    </row>
    <row r="224" spans="1:66" x14ac:dyDescent="0.2">
      <c r="A224" s="19" t="s">
        <v>747</v>
      </c>
      <c r="B224" s="19" t="s">
        <v>1082</v>
      </c>
      <c r="C224" s="19" t="s">
        <v>863</v>
      </c>
      <c r="D224" s="19" t="s">
        <v>864</v>
      </c>
      <c r="AU224" s="19">
        <v>3.3601906389056211</v>
      </c>
      <c r="AV224" s="19">
        <v>8.2915157461198987</v>
      </c>
      <c r="AW224" s="19">
        <v>3.5379076235508222</v>
      </c>
      <c r="AX224" s="19">
        <v>6.614625825654656</v>
      </c>
      <c r="AY224" s="19">
        <v>8.8661083233431981</v>
      </c>
      <c r="AZ224" s="19">
        <v>3.6414737656514546</v>
      </c>
      <c r="BA224" s="19">
        <v>6.2287836698456118</v>
      </c>
      <c r="BB224" s="19">
        <v>2.426282361005704</v>
      </c>
      <c r="BC224" s="19">
        <v>6.6719836565281412</v>
      </c>
      <c r="BD224" s="19">
        <v>4.3982020146162739</v>
      </c>
      <c r="BE224" s="19">
        <v>3.1419764595209898</v>
      </c>
      <c r="BF224" s="19">
        <v>4.8147926541241191</v>
      </c>
      <c r="BG224" s="19">
        <v>6.5499349550144075</v>
      </c>
      <c r="BH224" s="19">
        <v>3.9113379886256183</v>
      </c>
      <c r="BI224" s="19">
        <v>4.1647689737284566</v>
      </c>
      <c r="BJ224" s="19">
        <v>3.8489809179806684</v>
      </c>
      <c r="BK224" s="19">
        <v>2.9452689087182904</v>
      </c>
      <c r="BL224" s="19">
        <v>2.2108558328609149</v>
      </c>
      <c r="BM224" s="19">
        <v>3.0245676690280732</v>
      </c>
      <c r="BN224" s="19">
        <v>1.8779230379409881</v>
      </c>
    </row>
    <row r="225" spans="1:66" x14ac:dyDescent="0.2">
      <c r="A225" s="19" t="s">
        <v>748</v>
      </c>
      <c r="B225" s="19" t="s">
        <v>1083</v>
      </c>
      <c r="C225" s="19" t="s">
        <v>863</v>
      </c>
      <c r="D225" s="19" t="s">
        <v>864</v>
      </c>
      <c r="F225" s="19">
        <v>4.7999999984688344</v>
      </c>
      <c r="G225" s="19">
        <v>3.9000000007305147</v>
      </c>
      <c r="H225" s="19">
        <v>5.600000000413587</v>
      </c>
      <c r="I225" s="19">
        <v>6.4999999992656541</v>
      </c>
      <c r="J225" s="19">
        <v>11.999999999448391</v>
      </c>
      <c r="K225" s="19">
        <v>19.200000001329798</v>
      </c>
      <c r="L225" s="19">
        <v>12.099999999443909</v>
      </c>
      <c r="M225" s="19">
        <v>7.5999999998095831</v>
      </c>
      <c r="N225" s="19">
        <v>4.499999999414797</v>
      </c>
      <c r="O225" s="19">
        <v>2.700000000345554</v>
      </c>
      <c r="P225" s="19">
        <v>3.8999999998803077</v>
      </c>
      <c r="Q225" s="19">
        <v>-0.60000000030720457</v>
      </c>
      <c r="R225" s="19">
        <v>-1.7999999999536413</v>
      </c>
      <c r="S225" s="19">
        <v>0.40000000017835191</v>
      </c>
      <c r="T225" s="19">
        <v>2.8000000009195105</v>
      </c>
      <c r="U225" s="19">
        <v>8.7999999996035712</v>
      </c>
      <c r="V225" s="19">
        <v>10.200000000282628</v>
      </c>
      <c r="W225" s="19">
        <v>6.599999997132457</v>
      </c>
      <c r="X225" s="19">
        <v>-0.59999999729608078</v>
      </c>
      <c r="Y225" s="19">
        <v>-8.800000000032</v>
      </c>
      <c r="Z225" s="19">
        <v>7.0999999994297696</v>
      </c>
      <c r="AA225" s="19">
        <v>-4.2000000000634827</v>
      </c>
      <c r="AB225" s="19">
        <v>-3.8999999999775383</v>
      </c>
      <c r="AC225" s="19">
        <v>-1.9000000003492232</v>
      </c>
      <c r="AD225" s="19">
        <v>2.0000000002720668</v>
      </c>
      <c r="AE225" s="19">
        <v>0.80000000057796683</v>
      </c>
      <c r="AF225" s="19">
        <v>-6.1999999998654829</v>
      </c>
      <c r="AG225" s="19">
        <v>7.7999999991418747</v>
      </c>
      <c r="AH225" s="19">
        <v>4.2000000004121887</v>
      </c>
      <c r="AI225" s="19">
        <v>-4.5000000005441763</v>
      </c>
      <c r="AJ225" s="19">
        <v>2.6999991342741225</v>
      </c>
      <c r="AK225" s="19">
        <v>0.40000000853616768</v>
      </c>
      <c r="AL225" s="19">
        <v>-6.6999981497151992</v>
      </c>
      <c r="AM225" s="19">
        <v>3.3999988973605753</v>
      </c>
      <c r="AN225" s="19">
        <v>0</v>
      </c>
      <c r="AO225" s="19">
        <v>1.0000012228145607</v>
      </c>
      <c r="AP225" s="19">
        <v>5.699997683294896</v>
      </c>
      <c r="AQ225" s="19">
        <v>2.3000016510538899</v>
      </c>
      <c r="AR225" s="19">
        <v>-1.400000470058103</v>
      </c>
      <c r="AS225" s="19">
        <v>2.099998867504894</v>
      </c>
      <c r="AT225" s="19">
        <v>4.2000004208353943</v>
      </c>
      <c r="AU225" s="19">
        <v>2.80000068850687</v>
      </c>
      <c r="AV225" s="19">
        <v>6.299999433141366</v>
      </c>
      <c r="AW225" s="19">
        <v>8.500000184794132</v>
      </c>
      <c r="AX225" s="19">
        <v>4.5000002108688761</v>
      </c>
      <c r="AY225" s="19">
        <v>5.7935435846330421</v>
      </c>
      <c r="AZ225" s="19">
        <v>5.1114877777345811</v>
      </c>
      <c r="BA225" s="19">
        <v>4.1434068116562628</v>
      </c>
      <c r="BB225" s="19">
        <v>3.0136989826621061</v>
      </c>
      <c r="BC225" s="19">
        <v>5.1688251522581368</v>
      </c>
      <c r="BD225" s="19">
        <v>5.8493676717300929</v>
      </c>
      <c r="BE225" s="19">
        <v>2.6903497466884687</v>
      </c>
      <c r="BF225" s="19">
        <v>2.9334416518612016</v>
      </c>
      <c r="BG225" s="19">
        <v>0.25550303164547472</v>
      </c>
      <c r="BH225" s="19">
        <v>-3.4110960130708889</v>
      </c>
      <c r="BI225" s="19">
        <v>-4.9157864687410751</v>
      </c>
      <c r="BJ225" s="19">
        <v>1.5671910652095562</v>
      </c>
      <c r="BK225" s="19">
        <v>4.9482707655926816</v>
      </c>
      <c r="BL225" s="19">
        <v>1.1687978819288105</v>
      </c>
      <c r="BM225" s="19">
        <v>-15.975196393437784</v>
      </c>
      <c r="BN225" s="19">
        <v>-2.729618827094427</v>
      </c>
    </row>
    <row r="226" spans="1:66" x14ac:dyDescent="0.2">
      <c r="A226" s="19" t="s">
        <v>749</v>
      </c>
      <c r="B226" s="19" t="s">
        <v>1084</v>
      </c>
      <c r="C226" s="19" t="s">
        <v>863</v>
      </c>
      <c r="D226" s="19" t="s">
        <v>864</v>
      </c>
      <c r="AL226" s="19">
        <v>1.901328123563701</v>
      </c>
      <c r="AM226" s="19">
        <v>6.2055312027231651</v>
      </c>
      <c r="AN226" s="19">
        <v>5.843494233658646</v>
      </c>
      <c r="AO226" s="19">
        <v>6.6198981205071448</v>
      </c>
      <c r="AP226" s="19">
        <v>5.9258370836299719</v>
      </c>
      <c r="AQ226" s="19">
        <v>4.0760974788787649</v>
      </c>
      <c r="AR226" s="19">
        <v>-0.10591496212168749</v>
      </c>
      <c r="AS226" s="19">
        <v>1.1665265182411133</v>
      </c>
      <c r="AT226" s="19">
        <v>3.2537839810897538</v>
      </c>
      <c r="AU226" s="19">
        <v>4.509444137870247</v>
      </c>
      <c r="AV226" s="19">
        <v>5.4990830769915675</v>
      </c>
      <c r="AW226" s="19">
        <v>5.2788807178014423</v>
      </c>
      <c r="AX226" s="19">
        <v>6.6234612585053299</v>
      </c>
      <c r="AY226" s="19">
        <v>8.4931767453384452</v>
      </c>
      <c r="AZ226" s="19">
        <v>10.832028812965277</v>
      </c>
      <c r="BA226" s="19">
        <v>5.5748863451130006</v>
      </c>
      <c r="BB226" s="19">
        <v>-5.4555328671597891</v>
      </c>
      <c r="BC226" s="19">
        <v>6.7166327498308505</v>
      </c>
      <c r="BD226" s="19">
        <v>2.6714527790951479</v>
      </c>
      <c r="BE226" s="19">
        <v>1.3188022455628072</v>
      </c>
      <c r="BF226" s="19">
        <v>0.63274000729418844</v>
      </c>
      <c r="BG226" s="19">
        <v>2.6971898070712541</v>
      </c>
      <c r="BH226" s="19">
        <v>5.1671816061415399</v>
      </c>
      <c r="BI226" s="19">
        <v>1.9439508610233673</v>
      </c>
      <c r="BJ226" s="19">
        <v>2.9380686778490315</v>
      </c>
      <c r="BK226" s="19">
        <v>4.0303897142534879</v>
      </c>
      <c r="BL226" s="19">
        <v>2.519693137305353</v>
      </c>
      <c r="BM226" s="19">
        <v>-3.374681765900462</v>
      </c>
      <c r="BN226" s="19">
        <v>3.0143028607267865</v>
      </c>
    </row>
    <row r="227" spans="1:66" x14ac:dyDescent="0.2">
      <c r="A227" s="19" t="s">
        <v>750</v>
      </c>
      <c r="B227" s="19" t="s">
        <v>1085</v>
      </c>
      <c r="C227" s="19" t="s">
        <v>863</v>
      </c>
      <c r="D227" s="19" t="s">
        <v>864</v>
      </c>
      <c r="AO227" s="19">
        <v>3.2030058085273225</v>
      </c>
      <c r="AP227" s="19">
        <v>5.0497934566449771</v>
      </c>
      <c r="AQ227" s="19">
        <v>3.2793654435130435</v>
      </c>
      <c r="AR227" s="19">
        <v>5.3326665718437027</v>
      </c>
      <c r="AS227" s="19">
        <v>3.6723715496824525</v>
      </c>
      <c r="AT227" s="19">
        <v>3.2165603345289071</v>
      </c>
      <c r="AU227" s="19">
        <v>3.5055980569207179</v>
      </c>
      <c r="AV227" s="19">
        <v>2.960260285794547</v>
      </c>
      <c r="AW227" s="19">
        <v>4.3591927784399473</v>
      </c>
      <c r="AX227" s="19">
        <v>3.7979726419864619</v>
      </c>
      <c r="AY227" s="19">
        <v>5.7463969006449958</v>
      </c>
      <c r="AZ227" s="19">
        <v>6.9801607545069402</v>
      </c>
      <c r="BA227" s="19">
        <v>3.5098415169955786</v>
      </c>
      <c r="BB227" s="19">
        <v>-7.5484377913417831</v>
      </c>
      <c r="BC227" s="19">
        <v>1.3437484722021509</v>
      </c>
      <c r="BD227" s="19">
        <v>0.86132773271930319</v>
      </c>
      <c r="BE227" s="19">
        <v>-2.6394387567668929</v>
      </c>
      <c r="BF227" s="19">
        <v>-1.0292827720405597</v>
      </c>
      <c r="BG227" s="19">
        <v>2.7681588306503642</v>
      </c>
      <c r="BH227" s="19">
        <v>2.2100816065059377</v>
      </c>
      <c r="BI227" s="19">
        <v>3.1918525178249837</v>
      </c>
      <c r="BJ227" s="19">
        <v>4.8153806323136621</v>
      </c>
      <c r="BK227" s="19">
        <v>4.4543657472189579</v>
      </c>
      <c r="BL227" s="19">
        <v>3.4510792442390255</v>
      </c>
      <c r="BM227" s="19">
        <v>-4.3213699045107035</v>
      </c>
      <c r="BN227" s="19">
        <v>8.2110625918128051</v>
      </c>
    </row>
    <row r="228" spans="1:66" x14ac:dyDescent="0.2">
      <c r="A228" s="19" t="s">
        <v>751</v>
      </c>
      <c r="B228" s="19" t="s">
        <v>1086</v>
      </c>
      <c r="C228" s="19" t="s">
        <v>863</v>
      </c>
      <c r="D228" s="19" t="s">
        <v>864</v>
      </c>
      <c r="F228" s="19">
        <v>5.6812928095654911</v>
      </c>
      <c r="G228" s="19">
        <v>4.2590472283269776</v>
      </c>
      <c r="H228" s="19">
        <v>5.3279337882882629</v>
      </c>
      <c r="I228" s="19">
        <v>6.8211645004480346</v>
      </c>
      <c r="J228" s="19">
        <v>3.8215075855096785</v>
      </c>
      <c r="K228" s="19">
        <v>2.0908442894974115</v>
      </c>
      <c r="L228" s="19">
        <v>3.3653885828444032</v>
      </c>
      <c r="M228" s="19">
        <v>3.6385056642276794</v>
      </c>
      <c r="N228" s="19">
        <v>5.0090752148767876</v>
      </c>
      <c r="O228" s="19">
        <v>7.2892062604920795</v>
      </c>
      <c r="P228" s="19">
        <v>0.94464624571585887</v>
      </c>
      <c r="Q228" s="19">
        <v>2.2887387937982737</v>
      </c>
      <c r="R228" s="19">
        <v>3.967981154174538</v>
      </c>
      <c r="S228" s="19">
        <v>3.1981956458423895</v>
      </c>
      <c r="T228" s="19">
        <v>2.5528626427053496</v>
      </c>
      <c r="U228" s="19">
        <v>1.0581048766160137</v>
      </c>
      <c r="V228" s="19">
        <v>-1.5962585663413336</v>
      </c>
      <c r="W228" s="19">
        <v>1.7515480497740867</v>
      </c>
      <c r="X228" s="19">
        <v>3.8400034766003159</v>
      </c>
      <c r="Y228" s="19">
        <v>1.6999714393924705</v>
      </c>
      <c r="Z228" s="19">
        <v>0.45483041663563029</v>
      </c>
      <c r="AA228" s="19">
        <v>1.2486646792272467</v>
      </c>
      <c r="AB228" s="19">
        <v>1.9006387302032692</v>
      </c>
      <c r="AC228" s="19">
        <v>4.2295352449170451</v>
      </c>
      <c r="AD228" s="19">
        <v>2.1603737456558463</v>
      </c>
      <c r="AE228" s="19">
        <v>2.6913231733863654</v>
      </c>
      <c r="AF228" s="19">
        <v>3.3538429842478195</v>
      </c>
      <c r="AG228" s="19">
        <v>2.5590386654457404</v>
      </c>
      <c r="AH228" s="19">
        <v>2.6548069272007524</v>
      </c>
      <c r="AI228" s="19">
        <v>0.75467476866684535</v>
      </c>
      <c r="AJ228" s="19">
        <v>-1.1459748685806517</v>
      </c>
      <c r="AK228" s="19">
        <v>-1.1585927600785908</v>
      </c>
      <c r="AL228" s="19">
        <v>-2.0656163696098275</v>
      </c>
      <c r="AM228" s="19">
        <v>3.9299728368169724</v>
      </c>
      <c r="AN228" s="19">
        <v>3.9351929260644596</v>
      </c>
      <c r="AO228" s="19">
        <v>1.5794564064992329</v>
      </c>
      <c r="AP228" s="19">
        <v>3.0705265929637449</v>
      </c>
      <c r="AQ228" s="19">
        <v>4.3118363532626915</v>
      </c>
      <c r="AR228" s="19">
        <v>4.2471841436754829</v>
      </c>
      <c r="AS228" s="19">
        <v>4.766348871487196</v>
      </c>
      <c r="AT228" s="19">
        <v>1.4494986179698088</v>
      </c>
      <c r="AU228" s="19">
        <v>2.1969210621745958</v>
      </c>
      <c r="AV228" s="19">
        <v>2.3098105903281123</v>
      </c>
      <c r="AW228" s="19">
        <v>4.3368561538447352</v>
      </c>
      <c r="AX228" s="19">
        <v>2.8588032399026133</v>
      </c>
      <c r="AY228" s="19">
        <v>4.6627735517512576</v>
      </c>
      <c r="AZ228" s="19">
        <v>3.4392217760006503</v>
      </c>
      <c r="BA228" s="19">
        <v>-0.45055925674336095</v>
      </c>
      <c r="BB228" s="19">
        <v>-4.3397905745293457</v>
      </c>
      <c r="BC228" s="19">
        <v>5.95210700755608</v>
      </c>
      <c r="BD228" s="19">
        <v>3.1953332348894037</v>
      </c>
      <c r="BE228" s="19">
        <v>-0.58830456899073624</v>
      </c>
      <c r="BF228" s="19">
        <v>1.1877757159059996</v>
      </c>
      <c r="BG228" s="19">
        <v>2.6577982753164235</v>
      </c>
      <c r="BH228" s="19">
        <v>4.4892815879049124</v>
      </c>
      <c r="BI228" s="19">
        <v>2.0705931505209634</v>
      </c>
      <c r="BJ228" s="19">
        <v>2.5679245252647576</v>
      </c>
      <c r="BK228" s="19">
        <v>1.9500228456998343</v>
      </c>
      <c r="BL228" s="19">
        <v>1.9861958738039078</v>
      </c>
      <c r="BM228" s="19">
        <v>-2.1702131788587167</v>
      </c>
      <c r="BN228" s="19">
        <v>5.0750847254402061</v>
      </c>
    </row>
    <row r="229" spans="1:66" x14ac:dyDescent="0.2">
      <c r="A229" s="19" t="s">
        <v>752</v>
      </c>
      <c r="B229" s="19" t="s">
        <v>1087</v>
      </c>
      <c r="C229" s="19" t="s">
        <v>863</v>
      </c>
      <c r="D229" s="19" t="s">
        <v>864</v>
      </c>
      <c r="P229" s="19">
        <v>13.743633730655901</v>
      </c>
      <c r="Q229" s="19">
        <v>5.4242942826437002</v>
      </c>
      <c r="R229" s="19">
        <v>9.0186737385881059</v>
      </c>
      <c r="S229" s="19">
        <v>5.7434869047628041</v>
      </c>
      <c r="T229" s="19">
        <v>13.908444106606368</v>
      </c>
      <c r="U229" s="19">
        <v>-2.1194377656464525</v>
      </c>
      <c r="V229" s="19">
        <v>1.0095929078720616</v>
      </c>
      <c r="W229" s="19">
        <v>1.3271287284206608</v>
      </c>
      <c r="X229" s="19">
        <v>3.1069450512420076</v>
      </c>
      <c r="Y229" s="19">
        <v>12.449052171671042</v>
      </c>
      <c r="Z229" s="19">
        <v>14.641441073910897</v>
      </c>
      <c r="AA229" s="19">
        <v>1.1725678797536858</v>
      </c>
      <c r="AB229" s="19">
        <v>1.2023548984267762</v>
      </c>
      <c r="AC229" s="19">
        <v>6.1617550869083004</v>
      </c>
      <c r="AD229" s="19">
        <v>3.7924156916512004</v>
      </c>
      <c r="AE229" s="19">
        <v>12.264478039883869</v>
      </c>
      <c r="AF229" s="19">
        <v>14.606590236782296</v>
      </c>
      <c r="AG229" s="19">
        <v>6.5698215710544616</v>
      </c>
      <c r="AH229" s="19">
        <v>12.911104072814879</v>
      </c>
      <c r="AI229" s="19">
        <v>21.018000536139496</v>
      </c>
      <c r="AJ229" s="19">
        <v>1.7603763493116702</v>
      </c>
      <c r="AK229" s="19">
        <v>3.2262068810839537</v>
      </c>
      <c r="AL229" s="19">
        <v>3.1061141567694079</v>
      </c>
      <c r="AM229" s="19">
        <v>2.4006910390288283</v>
      </c>
      <c r="AN229" s="19">
        <v>4.8256515499647037</v>
      </c>
      <c r="AO229" s="19">
        <v>3.8420536377188057</v>
      </c>
      <c r="AP229" s="19">
        <v>3.1028053503962383</v>
      </c>
      <c r="AQ229" s="19">
        <v>2.6040394013294872</v>
      </c>
      <c r="AR229" s="19">
        <v>2.9508752114854104</v>
      </c>
      <c r="AS229" s="19">
        <v>1.7601737602222443</v>
      </c>
      <c r="AT229" s="19">
        <v>1.0547649060689253</v>
      </c>
      <c r="AU229" s="19">
        <v>4.3800990879008879</v>
      </c>
      <c r="AV229" s="19">
        <v>3.8802135859712621</v>
      </c>
      <c r="AW229" s="19">
        <v>3.6239142259662458</v>
      </c>
      <c r="AX229" s="19">
        <v>5.9987765498792527</v>
      </c>
      <c r="AY229" s="19">
        <v>5.9921668378351001</v>
      </c>
      <c r="AZ229" s="19">
        <v>4.4353755768697454</v>
      </c>
      <c r="BA229" s="19">
        <v>0.82166391380005166</v>
      </c>
      <c r="BB229" s="19">
        <v>1.5650488524351545</v>
      </c>
      <c r="BC229" s="19">
        <v>3.7937549682814904</v>
      </c>
      <c r="BD229" s="19">
        <v>2.2472297610679988</v>
      </c>
      <c r="BE229" s="19">
        <v>5.3966306966672732</v>
      </c>
      <c r="BF229" s="19">
        <v>3.861213797666224</v>
      </c>
      <c r="BG229" s="19">
        <v>0.92323054714435671</v>
      </c>
      <c r="BH229" s="19">
        <v>2.2274806753240597</v>
      </c>
      <c r="BI229" s="19">
        <v>1.0626101934285259</v>
      </c>
      <c r="BJ229" s="19">
        <v>2.026578155749803</v>
      </c>
      <c r="BK229" s="19">
        <v>2.368742042944632</v>
      </c>
      <c r="BL229" s="19">
        <v>2.7035575954873963</v>
      </c>
      <c r="BM229" s="19">
        <v>-1.5596425899949935</v>
      </c>
      <c r="BN229" s="19">
        <v>7.8833064015731793</v>
      </c>
    </row>
    <row r="230" spans="1:66" x14ac:dyDescent="0.2">
      <c r="A230" s="19" t="s">
        <v>753</v>
      </c>
      <c r="B230" s="19" t="s">
        <v>1088</v>
      </c>
      <c r="C230" s="19" t="s">
        <v>863</v>
      </c>
      <c r="D230" s="19" t="s">
        <v>864</v>
      </c>
      <c r="BC230" s="19">
        <v>3.1999940215446117</v>
      </c>
      <c r="BD230" s="19">
        <v>4.6000029964192777</v>
      </c>
      <c r="BE230" s="19">
        <v>1.3905466698496127</v>
      </c>
      <c r="BF230" s="19">
        <v>1.3067278827476656</v>
      </c>
      <c r="BG230" s="19">
        <v>1.5803846377316972</v>
      </c>
      <c r="BH230" s="19">
        <v>0.40000000000000568</v>
      </c>
      <c r="BI230" s="19">
        <v>0.50000193699833062</v>
      </c>
      <c r="BJ230" s="19">
        <v>-5.8000032538396908</v>
      </c>
      <c r="BK230" s="19">
        <v>-6.599997737330014</v>
      </c>
    </row>
    <row r="231" spans="1:66" x14ac:dyDescent="0.2">
      <c r="A231" s="19" t="s">
        <v>754</v>
      </c>
      <c r="B231" s="19" t="s">
        <v>1089</v>
      </c>
      <c r="C231" s="19" t="s">
        <v>863</v>
      </c>
      <c r="D231" s="19" t="s">
        <v>864</v>
      </c>
      <c r="F231" s="19">
        <v>-4.8822763613212601</v>
      </c>
      <c r="G231" s="19">
        <v>8.4085812717188873</v>
      </c>
      <c r="H231" s="19">
        <v>10.13560295821334</v>
      </c>
      <c r="I231" s="19">
        <v>5.9192464561403426</v>
      </c>
      <c r="J231" s="19">
        <v>-1.0605710966055284</v>
      </c>
      <c r="K231" s="19">
        <v>13.896507570330314</v>
      </c>
      <c r="L231" s="19">
        <v>0.50473946250177448</v>
      </c>
      <c r="M231" s="19">
        <v>7.5532356388422954</v>
      </c>
      <c r="N231" s="19">
        <v>0</v>
      </c>
      <c r="O231" s="19">
        <v>8.8718698648759187</v>
      </c>
      <c r="P231" s="19">
        <v>15.851775742510682</v>
      </c>
      <c r="Q231" s="19">
        <v>6.3083079664031345</v>
      </c>
      <c r="R231" s="19">
        <v>9.0541863115232388</v>
      </c>
      <c r="S231" s="19">
        <v>1.3028496756374324</v>
      </c>
      <c r="T231" s="19">
        <v>3.1774050717928333</v>
      </c>
      <c r="U231" s="19">
        <v>16.277647723416806</v>
      </c>
      <c r="V231" s="19">
        <v>-6.1902268134725063</v>
      </c>
      <c r="W231" s="19">
        <v>21.151692524025151</v>
      </c>
      <c r="X231" s="19">
        <v>15.794340620172093</v>
      </c>
      <c r="Y231" s="19">
        <v>-4.2485225887641178</v>
      </c>
      <c r="Z231" s="19">
        <v>-8.2151788704125153</v>
      </c>
      <c r="AA231" s="19">
        <v>-1.1176736226137365</v>
      </c>
      <c r="AB231" s="19">
        <v>-1.7092455393657104</v>
      </c>
      <c r="AC231" s="19">
        <v>4.5111323409723099</v>
      </c>
      <c r="AD231" s="19">
        <v>11.125737577892565</v>
      </c>
      <c r="AE231" s="19">
        <v>-0.17680126254525419</v>
      </c>
      <c r="AF231" s="19">
        <v>4.404107290900086</v>
      </c>
      <c r="AG231" s="19">
        <v>5.3967460527299664</v>
      </c>
      <c r="AH231" s="19">
        <v>11.198823072266435</v>
      </c>
      <c r="AI231" s="19">
        <v>6.9955446900336113</v>
      </c>
      <c r="AJ231" s="19">
        <v>2.7604255113389655</v>
      </c>
      <c r="AK231" s="19">
        <v>7.1614673058670917</v>
      </c>
      <c r="AL231" s="19">
        <v>6.1966498801886161</v>
      </c>
      <c r="AM231" s="19">
        <v>-0.79869659416044669</v>
      </c>
      <c r="AN231" s="19">
        <v>-0.8256423427623929</v>
      </c>
      <c r="AO231" s="19">
        <v>4.9175247637433017</v>
      </c>
      <c r="AP231" s="19">
        <v>11.961556161038715</v>
      </c>
      <c r="AQ231" s="19">
        <v>8.4033987851706655</v>
      </c>
      <c r="AR231" s="19">
        <v>1.8720065209126773</v>
      </c>
      <c r="AS231" s="19">
        <v>1.5143388417490371</v>
      </c>
      <c r="AT231" s="19">
        <v>-2.2711630354646672</v>
      </c>
      <c r="AU231" s="19">
        <v>1.2128312083779349</v>
      </c>
      <c r="AV231" s="19">
        <v>-5.8871277716400101</v>
      </c>
      <c r="AW231" s="19">
        <v>-2.8504536392911888</v>
      </c>
      <c r="AX231" s="19">
        <v>9.005762141649015</v>
      </c>
      <c r="AY231" s="19">
        <v>9.4061273872661104</v>
      </c>
      <c r="AZ231" s="19">
        <v>10.421435950305977</v>
      </c>
      <c r="BA231" s="19">
        <v>-2.146892229610458</v>
      </c>
      <c r="BB231" s="19">
        <v>-1.1052458174799256</v>
      </c>
      <c r="BC231" s="19">
        <v>5.9549619502260924</v>
      </c>
      <c r="BD231" s="19">
        <v>7.8872797884198036</v>
      </c>
      <c r="BE231" s="19">
        <v>1.2608289259520546</v>
      </c>
      <c r="BF231" s="19">
        <v>6.0180769144567421</v>
      </c>
      <c r="BG231" s="19">
        <v>4.5047851906577563</v>
      </c>
      <c r="BH231" s="19">
        <v>5.6373144876325227</v>
      </c>
      <c r="BI231" s="19">
        <v>5.3530715134388629</v>
      </c>
      <c r="BJ231" s="19">
        <v>4.5110948549134378</v>
      </c>
      <c r="BK231" s="19">
        <v>3.1988839632913368</v>
      </c>
      <c r="BL231" s="19">
        <v>3.0998695297891317</v>
      </c>
      <c r="BM231" s="19">
        <v>-7.692672469335804</v>
      </c>
      <c r="BN231" s="19">
        <v>7.8618824199665056</v>
      </c>
    </row>
    <row r="232" spans="1:66" x14ac:dyDescent="0.2">
      <c r="A232" s="19" t="s">
        <v>755</v>
      </c>
      <c r="B232" s="19" t="s">
        <v>1090</v>
      </c>
      <c r="C232" s="19" t="s">
        <v>863</v>
      </c>
      <c r="D232" s="19" t="s">
        <v>864</v>
      </c>
      <c r="F232" s="19">
        <v>10.833063900000212</v>
      </c>
      <c r="G232" s="19">
        <v>24.521297171784866</v>
      </c>
      <c r="H232" s="19">
        <v>-8.6527466722075985</v>
      </c>
      <c r="I232" s="19">
        <v>9.2713638022406997</v>
      </c>
      <c r="J232" s="19">
        <v>2.2993738753767587</v>
      </c>
      <c r="K232" s="19">
        <v>-7.6590655102021117</v>
      </c>
      <c r="L232" s="19">
        <v>8.257682647050828</v>
      </c>
      <c r="M232" s="19">
        <v>3.7290802210556535</v>
      </c>
      <c r="N232" s="19">
        <v>18.767915211832147</v>
      </c>
      <c r="O232" s="19">
        <v>-1.7968528752820134</v>
      </c>
      <c r="P232" s="19">
        <v>8.9558145627442087</v>
      </c>
      <c r="Q232" s="19">
        <v>25.660715199263322</v>
      </c>
      <c r="R232" s="19">
        <v>-10.469854943838058</v>
      </c>
      <c r="S232" s="19">
        <v>25.795772854596379</v>
      </c>
      <c r="T232" s="19">
        <v>16.351576055523424</v>
      </c>
      <c r="U232" s="19">
        <v>12.254446601941751</v>
      </c>
      <c r="V232" s="19">
        <v>-1.7995178775541802</v>
      </c>
      <c r="W232" s="19">
        <v>9.9425901239230399</v>
      </c>
      <c r="X232" s="19">
        <v>0.88798882323537498</v>
      </c>
      <c r="Y232" s="19">
        <v>14.508116953239551</v>
      </c>
      <c r="Z232" s="19">
        <v>7.755343864624308</v>
      </c>
      <c r="AA232" s="19">
        <v>2.7890866482567276</v>
      </c>
      <c r="AB232" s="19">
        <v>2.3203399372133902</v>
      </c>
      <c r="AC232" s="19">
        <v>-7.610630211871964</v>
      </c>
      <c r="AD232" s="19">
        <v>9.350807331789099</v>
      </c>
      <c r="AE232" s="19">
        <v>-7.952928955436775</v>
      </c>
      <c r="AF232" s="19">
        <v>1.6822823455100462</v>
      </c>
      <c r="AG232" s="19">
        <v>18.011140100219492</v>
      </c>
      <c r="AH232" s="19">
        <v>-13.647282176715109</v>
      </c>
      <c r="AI232" s="19">
        <v>3.7395559023375142</v>
      </c>
      <c r="AJ232" s="19">
        <v>7.6664681871244227</v>
      </c>
      <c r="AK232" s="19">
        <v>12.972790068566042</v>
      </c>
      <c r="AL232" s="19">
        <v>6.1508955731007546</v>
      </c>
      <c r="AM232" s="19">
        <v>7.2130292052743101</v>
      </c>
      <c r="AN232" s="19">
        <v>7.0265895430311502</v>
      </c>
      <c r="AO232" s="19">
        <v>9.8255694047096398</v>
      </c>
      <c r="AP232" s="19">
        <v>5.0238045081104019</v>
      </c>
      <c r="AQ232" s="19">
        <v>6.7853045243386703</v>
      </c>
      <c r="AR232" s="19">
        <v>-3.553449871090038</v>
      </c>
      <c r="AS232" s="19">
        <v>0.6756425894105007</v>
      </c>
      <c r="AT232" s="19">
        <v>1.0472871019198067</v>
      </c>
      <c r="AU232" s="19">
        <v>3.9548319270274419</v>
      </c>
      <c r="AV232" s="19">
        <v>7.204435052744131</v>
      </c>
      <c r="AW232" s="19">
        <v>6.9029594348920256</v>
      </c>
      <c r="AX232" s="19">
        <v>6.2150778353928189</v>
      </c>
      <c r="AY232" s="19">
        <v>5.0461955558552631</v>
      </c>
      <c r="AZ232" s="19">
        <v>5.6745917768580512</v>
      </c>
      <c r="BA232" s="19">
        <v>4.4766727360801895</v>
      </c>
      <c r="BB232" s="19">
        <v>5.9120427933770543</v>
      </c>
      <c r="BC232" s="19">
        <v>5.1919058407533072</v>
      </c>
      <c r="BD232" s="19">
        <v>2.850002843579702</v>
      </c>
      <c r="BE232" s="19">
        <v>-26.339017077253246</v>
      </c>
      <c r="BF232" s="19">
        <v>-26.300087661506126</v>
      </c>
      <c r="BG232" s="19">
        <v>-10.310339909052999</v>
      </c>
      <c r="BH232" s="19">
        <v>-4.1797916132319983</v>
      </c>
      <c r="BI232" s="19">
        <v>-6.405590739361898</v>
      </c>
      <c r="BJ232" s="19">
        <v>-0.72328177747054667</v>
      </c>
      <c r="BK232" s="19">
        <v>1.3931760783083718</v>
      </c>
      <c r="BL232" s="19">
        <v>1.2207052207052271</v>
      </c>
      <c r="BM232" s="19">
        <v>-3.8736816863886787</v>
      </c>
    </row>
    <row r="233" spans="1:66" x14ac:dyDescent="0.2">
      <c r="A233" s="19" t="s">
        <v>756</v>
      </c>
      <c r="B233" s="19" t="s">
        <v>1091</v>
      </c>
      <c r="C233" s="19" t="s">
        <v>863</v>
      </c>
      <c r="D233" s="19" t="s">
        <v>864</v>
      </c>
      <c r="BE233" s="19">
        <v>-0.97229935533214018</v>
      </c>
      <c r="BF233" s="19">
        <v>1.07087701348118</v>
      </c>
      <c r="BG233" s="19">
        <v>8.7112965815268524</v>
      </c>
      <c r="BH233" s="19">
        <v>11.314834133633056</v>
      </c>
      <c r="BI233" s="19">
        <v>7.2511805497306199</v>
      </c>
      <c r="BJ233" s="19">
        <v>-2.4902189924579403</v>
      </c>
      <c r="BK233" s="19">
        <v>5.6109563744354745</v>
      </c>
      <c r="BL233" s="19">
        <v>5.3245514831690173</v>
      </c>
      <c r="BM233" s="19">
        <v>-26.78287692742046</v>
      </c>
      <c r="BN233" s="19">
        <v>2.0999976765848487</v>
      </c>
    </row>
    <row r="234" spans="1:66" x14ac:dyDescent="0.2">
      <c r="A234" s="19" t="s">
        <v>757</v>
      </c>
      <c r="B234" s="19" t="s">
        <v>1092</v>
      </c>
      <c r="C234" s="19" t="s">
        <v>863</v>
      </c>
      <c r="D234" s="19" t="s">
        <v>864</v>
      </c>
      <c r="F234" s="19">
        <v>1.3977436707753839</v>
      </c>
      <c r="G234" s="19">
        <v>5.3601161089397777</v>
      </c>
      <c r="H234" s="19">
        <v>-1.5994540152080532</v>
      </c>
      <c r="I234" s="19">
        <v>-2.5109396034681026</v>
      </c>
      <c r="J234" s="19">
        <v>0.60622778632574637</v>
      </c>
      <c r="K234" s="19">
        <v>-1.8070923919983954</v>
      </c>
      <c r="L234" s="19">
        <v>0.76720138229009649</v>
      </c>
      <c r="M234" s="19">
        <v>-0.45721886653811339</v>
      </c>
      <c r="N234" s="19">
        <v>6.8813102237921271</v>
      </c>
      <c r="O234" s="19">
        <v>1.8596564785553653</v>
      </c>
      <c r="P234" s="19">
        <v>-2.2476263724496732</v>
      </c>
      <c r="Q234" s="19">
        <v>1.149616094832723</v>
      </c>
      <c r="R234" s="19">
        <v>-8.3808830080084107</v>
      </c>
      <c r="S234" s="19">
        <v>4.9618525825386683</v>
      </c>
      <c r="T234" s="19">
        <v>9.0102673055045415</v>
      </c>
      <c r="U234" s="19">
        <v>2.98076526952687</v>
      </c>
      <c r="V234" s="19">
        <v>2.2346248491377168</v>
      </c>
      <c r="W234" s="19">
        <v>-0.46963418803200341</v>
      </c>
      <c r="X234" s="19">
        <v>-21.441087688912191</v>
      </c>
      <c r="Y234" s="19">
        <v>-6.0476707473300593</v>
      </c>
      <c r="Z234" s="19">
        <v>1.0429181025977812</v>
      </c>
      <c r="AA234" s="19">
        <v>5.3466089993691241</v>
      </c>
      <c r="AB234" s="19">
        <v>15.678717778733755</v>
      </c>
      <c r="AC234" s="19">
        <v>2.0488989108163054</v>
      </c>
      <c r="AD234" s="19">
        <v>21.792773530391969</v>
      </c>
      <c r="AE234" s="19">
        <v>-4.0816675172733596</v>
      </c>
      <c r="AF234" s="19">
        <v>-2.3888084973240353</v>
      </c>
      <c r="AG234" s="19">
        <v>15.482359070013274</v>
      </c>
      <c r="AH234" s="19">
        <v>4.8847351025103762</v>
      </c>
      <c r="AI234" s="19">
        <v>-4.178472372776767</v>
      </c>
      <c r="AJ234" s="19">
        <v>8.5351371664717419</v>
      </c>
      <c r="AK234" s="19">
        <v>8.0014433463192631</v>
      </c>
      <c r="AL234" s="19">
        <v>-15.709837045207735</v>
      </c>
      <c r="AM234" s="19">
        <v>10.136887633514718</v>
      </c>
      <c r="AN234" s="19">
        <v>1.236549316864938</v>
      </c>
      <c r="AO234" s="19">
        <v>2.2144730346744126</v>
      </c>
      <c r="AP234" s="19">
        <v>5.6533923278835516</v>
      </c>
      <c r="AQ234" s="19">
        <v>6.9515799135400727</v>
      </c>
      <c r="AR234" s="19">
        <v>-0.68285021729774087</v>
      </c>
      <c r="AS234" s="19">
        <v>-0.87968102544483884</v>
      </c>
      <c r="AT234" s="19">
        <v>11.658134654294017</v>
      </c>
      <c r="AU234" s="19">
        <v>8.4912098189805647</v>
      </c>
      <c r="AV234" s="19">
        <v>14.72166701210331</v>
      </c>
      <c r="AW234" s="19">
        <v>33.629371852465852</v>
      </c>
      <c r="AX234" s="19">
        <v>17.3325337350837</v>
      </c>
      <c r="AY234" s="19">
        <v>0.64826201409451301</v>
      </c>
      <c r="AZ234" s="19">
        <v>3.2714995788864343</v>
      </c>
      <c r="BA234" s="19">
        <v>3.0526915319682786</v>
      </c>
      <c r="BB234" s="19">
        <v>4.2176955518963268</v>
      </c>
      <c r="BC234" s="19">
        <v>13.550100859548948</v>
      </c>
      <c r="BD234" s="19">
        <v>8.2869798438196085E-2</v>
      </c>
      <c r="BE234" s="19">
        <v>8.8825760717031557</v>
      </c>
      <c r="BF234" s="19">
        <v>5.700001362858643</v>
      </c>
      <c r="BG234" s="19">
        <v>6.8999850453216567</v>
      </c>
      <c r="BH234" s="19">
        <v>2.7676756848447326</v>
      </c>
      <c r="BI234" s="19">
        <v>-6.2555270854528118</v>
      </c>
      <c r="BJ234" s="19">
        <v>-2.9886959855393087</v>
      </c>
      <c r="BK234" s="19">
        <v>2.3740378003778631</v>
      </c>
      <c r="BL234" s="19">
        <v>3.2471819174342897</v>
      </c>
      <c r="BM234" s="19">
        <v>-1.6000067370552387</v>
      </c>
      <c r="BN234" s="19">
        <v>-1.199990524609504</v>
      </c>
    </row>
    <row r="235" spans="1:66" x14ac:dyDescent="0.2">
      <c r="A235" s="19" t="s">
        <v>758</v>
      </c>
      <c r="B235" s="19" t="s">
        <v>1093</v>
      </c>
      <c r="C235" s="19" t="s">
        <v>863</v>
      </c>
      <c r="D235" s="19" t="s">
        <v>864</v>
      </c>
      <c r="F235" s="19">
        <v>-13.471078492884487</v>
      </c>
      <c r="G235" s="19">
        <v>-0.65691587394024964</v>
      </c>
      <c r="H235" s="19">
        <v>6.3865050610138354</v>
      </c>
      <c r="I235" s="19">
        <v>10.896839897676315</v>
      </c>
      <c r="J235" s="19">
        <v>10.668826306958863</v>
      </c>
      <c r="K235" s="19">
        <v>8.0799297271740897</v>
      </c>
      <c r="L235" s="19">
        <v>-1.421724781733829</v>
      </c>
      <c r="M235" s="19">
        <v>1.6878638542059434</v>
      </c>
      <c r="N235" s="19">
        <v>11.424277384741984</v>
      </c>
      <c r="O235" s="19">
        <v>13.422793646664473</v>
      </c>
      <c r="P235" s="19">
        <v>6.7714015048583605</v>
      </c>
      <c r="Q235" s="19">
        <v>4.9137336817154562</v>
      </c>
      <c r="R235" s="19">
        <v>8.2661726403120213</v>
      </c>
      <c r="S235" s="19">
        <v>3.8406064074477939</v>
      </c>
      <c r="T235" s="19">
        <v>6.8433526707054426</v>
      </c>
      <c r="U235" s="19">
        <v>2.8402400210703007</v>
      </c>
      <c r="V235" s="19">
        <v>7.5724504000838095</v>
      </c>
      <c r="W235" s="19">
        <v>9.2556744914861611</v>
      </c>
      <c r="X235" s="19">
        <v>7.1056348535748697</v>
      </c>
      <c r="Y235" s="19">
        <v>7.555227333924222</v>
      </c>
      <c r="Z235" s="19">
        <v>5.6053936289851976</v>
      </c>
      <c r="AA235" s="19">
        <v>6.4403318180403772</v>
      </c>
      <c r="AB235" s="19">
        <v>7.7390429616446426</v>
      </c>
      <c r="AC235" s="19">
        <v>9.9489381930364118</v>
      </c>
      <c r="AD235" s="19">
        <v>7.90262502701367</v>
      </c>
      <c r="AE235" s="19">
        <v>7.1404041573573522</v>
      </c>
      <c r="AF235" s="19">
        <v>9.1442946901271398</v>
      </c>
      <c r="AG235" s="19">
        <v>9.7363109206288385</v>
      </c>
      <c r="AH235" s="19">
        <v>5.7155420247350719</v>
      </c>
      <c r="AI235" s="19">
        <v>5.1646291611495769</v>
      </c>
      <c r="AJ235" s="19">
        <v>8.0076073740013527</v>
      </c>
      <c r="AK235" s="19">
        <v>11.169812235472065</v>
      </c>
      <c r="AL235" s="19">
        <v>11.291592823530252</v>
      </c>
      <c r="AM235" s="19">
        <v>10.932434443432754</v>
      </c>
      <c r="AN235" s="19">
        <v>9.8747656049362575</v>
      </c>
      <c r="AO235" s="19">
        <v>9.0633824199140491</v>
      </c>
      <c r="AP235" s="19">
        <v>7.3443427662615477</v>
      </c>
      <c r="AQ235" s="19">
        <v>2.8957366992562186</v>
      </c>
      <c r="AR235" s="19">
        <v>6.3820636491388427</v>
      </c>
      <c r="AS235" s="19">
        <v>7.6359098032689587</v>
      </c>
      <c r="AT235" s="19">
        <v>6.984841468387188</v>
      </c>
      <c r="AU235" s="19">
        <v>8.0598576625401535</v>
      </c>
      <c r="AV235" s="19">
        <v>8.9421163474575565</v>
      </c>
      <c r="AW235" s="19">
        <v>9.1229166176615877</v>
      </c>
      <c r="AX235" s="19">
        <v>9.9777392232315094</v>
      </c>
      <c r="AY235" s="19">
        <v>11.079497381142019</v>
      </c>
      <c r="AZ235" s="19">
        <v>12.488271443171328</v>
      </c>
      <c r="BA235" s="19">
        <v>8.6196335261530521</v>
      </c>
      <c r="BB235" s="19">
        <v>7.984818651938852</v>
      </c>
      <c r="BC235" s="19">
        <v>9.9231709815218068</v>
      </c>
      <c r="BD235" s="19">
        <v>8.6511259818413464</v>
      </c>
      <c r="BE235" s="19">
        <v>7.5759321509328004</v>
      </c>
      <c r="BF235" s="19">
        <v>7.2965016607503372</v>
      </c>
      <c r="BG235" s="19">
        <v>6.9850462286902086</v>
      </c>
      <c r="BH235" s="19">
        <v>6.6890675341672932</v>
      </c>
      <c r="BI235" s="19">
        <v>6.5862840199675929</v>
      </c>
      <c r="BJ235" s="19">
        <v>6.7052523305652869</v>
      </c>
      <c r="BK235" s="19">
        <v>6.5254371427056412</v>
      </c>
      <c r="BL235" s="19">
        <v>5.7839160444957116</v>
      </c>
      <c r="BM235" s="19">
        <v>1.2972912676213042</v>
      </c>
      <c r="BN235" s="19">
        <v>7.2634081831701565</v>
      </c>
    </row>
    <row r="236" spans="1:66" x14ac:dyDescent="0.2">
      <c r="A236" s="19" t="s">
        <v>759</v>
      </c>
      <c r="B236" s="19" t="s">
        <v>1094</v>
      </c>
      <c r="C236" s="19" t="s">
        <v>863</v>
      </c>
      <c r="D236" s="19" t="s">
        <v>864</v>
      </c>
      <c r="AI236" s="19">
        <v>-1.4568327811048931</v>
      </c>
      <c r="AJ236" s="19">
        <v>-5.5203016413392447</v>
      </c>
      <c r="AK236" s="19">
        <v>-9.4261768874216756</v>
      </c>
      <c r="AL236" s="19">
        <v>-4.6112483783621485</v>
      </c>
      <c r="AM236" s="19">
        <v>-8.6116153750124482</v>
      </c>
      <c r="AN236" s="19">
        <v>-0.27211151506749331</v>
      </c>
      <c r="AO236" s="19">
        <v>1.0552917520157479</v>
      </c>
      <c r="AP236" s="19">
        <v>2.9259303060716491</v>
      </c>
      <c r="AQ236" s="19">
        <v>-0.64656870219018003</v>
      </c>
      <c r="AR236" s="19">
        <v>2.4680770557902889</v>
      </c>
      <c r="AS236" s="19">
        <v>7.3978280653148829</v>
      </c>
      <c r="AT236" s="19">
        <v>2.5920056767361359</v>
      </c>
      <c r="AU236" s="19">
        <v>5.0106236924765284</v>
      </c>
      <c r="AV236" s="19">
        <v>6.1806868959011467</v>
      </c>
      <c r="AW236" s="19">
        <v>7.8683228326771371</v>
      </c>
      <c r="AX236" s="19">
        <v>6.6428335635772271</v>
      </c>
      <c r="AY236" s="19">
        <v>7.8501233621551876</v>
      </c>
      <c r="AZ236" s="19">
        <v>7.6268647495313786</v>
      </c>
      <c r="BA236" s="19">
        <v>4.4564240422900951</v>
      </c>
      <c r="BB236" s="19">
        <v>-4.671537451242358</v>
      </c>
      <c r="BC236" s="19">
        <v>4.6337597597588314</v>
      </c>
      <c r="BD236" s="19">
        <v>5.9274867850199797</v>
      </c>
      <c r="BE236" s="19">
        <v>3.4560118048356117</v>
      </c>
      <c r="BF236" s="19">
        <v>3.3845832665293329</v>
      </c>
      <c r="BG236" s="19">
        <v>2.338531219313694</v>
      </c>
      <c r="BH236" s="19">
        <v>1.4811585638435929</v>
      </c>
      <c r="BI236" s="19">
        <v>1.8476539488181629</v>
      </c>
      <c r="BJ236" s="19">
        <v>4.2931215227364703</v>
      </c>
      <c r="BK236" s="19">
        <v>3.6656198316972137</v>
      </c>
      <c r="BL236" s="19">
        <v>2.6381478468840385</v>
      </c>
      <c r="BM236" s="19">
        <v>-1.5397455608721913</v>
      </c>
      <c r="BN236" s="19">
        <v>7.0124730712597199</v>
      </c>
    </row>
    <row r="237" spans="1:66" x14ac:dyDescent="0.2">
      <c r="A237" s="19" t="s">
        <v>760</v>
      </c>
      <c r="B237" s="19" t="s">
        <v>1095</v>
      </c>
      <c r="C237" s="19" t="s">
        <v>863</v>
      </c>
      <c r="D237" s="19" t="s">
        <v>864</v>
      </c>
      <c r="F237" s="19">
        <v>12.169317371654216</v>
      </c>
      <c r="G237" s="19">
        <v>3.7736528319365163</v>
      </c>
      <c r="H237" s="19">
        <v>4.9996942708476269</v>
      </c>
      <c r="I237" s="19">
        <v>14.286011263052927</v>
      </c>
      <c r="J237" s="19">
        <v>15.459712706293587</v>
      </c>
      <c r="K237" s="19">
        <v>9.4087191006689181</v>
      </c>
      <c r="L237" s="19">
        <v>5.5003715576667815</v>
      </c>
      <c r="M237" s="19">
        <v>5.0236918524871896</v>
      </c>
      <c r="N237" s="19">
        <v>10.830868344100878</v>
      </c>
      <c r="O237" s="19">
        <v>2.5243026452815656</v>
      </c>
      <c r="P237" s="19">
        <v>0</v>
      </c>
      <c r="Q237" s="19">
        <v>7.6251575468443349</v>
      </c>
      <c r="R237" s="19">
        <v>3.8374840024309975</v>
      </c>
      <c r="S237" s="19">
        <v>4.8328491185244218</v>
      </c>
      <c r="T237" s="19">
        <v>2.4405411835407165</v>
      </c>
      <c r="U237" s="19">
        <v>-2.0515225871268967</v>
      </c>
      <c r="V237" s="19">
        <v>6.959085372964438</v>
      </c>
      <c r="W237" s="19">
        <v>11.045434507344808</v>
      </c>
      <c r="X237" s="19">
        <v>-5.1677426455196098</v>
      </c>
      <c r="Y237" s="19">
        <v>14.576956109650112</v>
      </c>
      <c r="Z237" s="19">
        <v>-3.3151860775687538</v>
      </c>
      <c r="AA237" s="19">
        <v>-3.582402546284726</v>
      </c>
      <c r="AB237" s="19">
        <v>-5.4140077846693089</v>
      </c>
      <c r="AC237" s="19">
        <v>5.5555550411677075</v>
      </c>
      <c r="AD237" s="19">
        <v>5.5555521635343439</v>
      </c>
      <c r="AE237" s="19">
        <v>1.5865043145892912</v>
      </c>
      <c r="AF237" s="19">
        <v>0.51016218065298347</v>
      </c>
      <c r="AG237" s="19">
        <v>6.6423697703106512</v>
      </c>
      <c r="AH237" s="19">
        <v>4.0600216835487259</v>
      </c>
      <c r="AI237" s="19">
        <v>-0.24365613446188661</v>
      </c>
      <c r="AJ237" s="19">
        <v>-0.6999674937780469</v>
      </c>
      <c r="AK237" s="19">
        <v>-3.9806868137453506</v>
      </c>
      <c r="AL237" s="19">
        <v>-15.095827485871922</v>
      </c>
      <c r="AM237" s="19">
        <v>14.982414350239324</v>
      </c>
      <c r="AN237" s="19">
        <v>7.8458323191036925</v>
      </c>
      <c r="AO237" s="19">
        <v>8.8362116315139616</v>
      </c>
      <c r="AP237" s="19">
        <v>14.377377570583889</v>
      </c>
      <c r="AQ237" s="19">
        <v>-2.2998765678462831</v>
      </c>
      <c r="AR237" s="19">
        <v>2.4817514358491621</v>
      </c>
      <c r="AS237" s="19">
        <v>-0.78347960638990344</v>
      </c>
      <c r="AT237" s="19">
        <v>0.82343874878108636</v>
      </c>
      <c r="AU237" s="19">
        <v>3.8266225796225655</v>
      </c>
      <c r="AV237" s="19">
        <v>6.7201714230121183</v>
      </c>
      <c r="AW237" s="19">
        <v>-0.97866533539263401</v>
      </c>
      <c r="AX237" s="19">
        <v>-4.666299382419183</v>
      </c>
      <c r="AY237" s="19">
        <v>2.6501320995314472</v>
      </c>
      <c r="AZ237" s="19">
        <v>-1.1751203909525145</v>
      </c>
      <c r="BA237" s="19">
        <v>4.0622528272169234</v>
      </c>
      <c r="BB237" s="19">
        <v>5.5379109730041733</v>
      </c>
      <c r="BC237" s="19">
        <v>6.0992591626745281</v>
      </c>
      <c r="BD237" s="19">
        <v>6.3981990530655395</v>
      </c>
      <c r="BE237" s="19">
        <v>6.5435070292660669</v>
      </c>
      <c r="BF237" s="19">
        <v>6.1123430766482585</v>
      </c>
      <c r="BG237" s="19">
        <v>5.9205885732303187</v>
      </c>
      <c r="BH237" s="19">
        <v>5.7428684528658493</v>
      </c>
      <c r="BI237" s="19">
        <v>5.5590793053514602</v>
      </c>
      <c r="BJ237" s="19">
        <v>4.3477482382254351</v>
      </c>
      <c r="BK237" s="19">
        <v>4.9762130997398373</v>
      </c>
      <c r="BL237" s="19">
        <v>5.4599214483578322</v>
      </c>
      <c r="BM237" s="19">
        <v>1.7528249671906906</v>
      </c>
      <c r="BN237" s="19">
        <v>5.2605949247180916</v>
      </c>
    </row>
    <row r="238" spans="1:66" x14ac:dyDescent="0.2">
      <c r="A238" s="19" t="s">
        <v>761</v>
      </c>
      <c r="B238" s="19" t="s">
        <v>1096</v>
      </c>
      <c r="C238" s="19" t="s">
        <v>863</v>
      </c>
      <c r="D238" s="19" t="s">
        <v>864</v>
      </c>
      <c r="F238" s="19">
        <v>5.3621463016878721</v>
      </c>
      <c r="G238" s="19">
        <v>7.5542544478408615</v>
      </c>
      <c r="H238" s="19">
        <v>7.9998307869878431</v>
      </c>
      <c r="I238" s="19">
        <v>6.8309961437054199</v>
      </c>
      <c r="J238" s="19">
        <v>8.1816615376771722</v>
      </c>
      <c r="K238" s="19">
        <v>11.122518494638925</v>
      </c>
      <c r="L238" s="19">
        <v>8.6159823332819769</v>
      </c>
      <c r="M238" s="19">
        <v>8.1222702555428867</v>
      </c>
      <c r="N238" s="19">
        <v>6.5506598858774794</v>
      </c>
      <c r="O238" s="19">
        <v>11.407949066209767</v>
      </c>
      <c r="P238" s="19">
        <v>4.8953737602429896</v>
      </c>
      <c r="Q238" s="19">
        <v>4.2785080386105108</v>
      </c>
      <c r="R238" s="19">
        <v>10.236433014879822</v>
      </c>
      <c r="S238" s="19">
        <v>4.466253385754527</v>
      </c>
      <c r="T238" s="19">
        <v>4.9704052276649691</v>
      </c>
      <c r="U238" s="19">
        <v>9.3268110817843706</v>
      </c>
      <c r="V238" s="19">
        <v>9.843463235311134</v>
      </c>
      <c r="W238" s="19">
        <v>10.295746534938459</v>
      </c>
      <c r="X238" s="19">
        <v>5.371766512542365</v>
      </c>
      <c r="Y238" s="19">
        <v>5.1735410057193434</v>
      </c>
      <c r="Z238" s="19">
        <v>5.9068677630363879</v>
      </c>
      <c r="AA238" s="19">
        <v>5.3523487506674314</v>
      </c>
      <c r="AB238" s="19">
        <v>5.5842024691908421</v>
      </c>
      <c r="AC238" s="19">
        <v>5.7524302514899261</v>
      </c>
      <c r="AD238" s="19">
        <v>4.6472403565933149</v>
      </c>
      <c r="AE238" s="19">
        <v>5.5338277672477147</v>
      </c>
      <c r="AF238" s="19">
        <v>9.5189460221078974</v>
      </c>
      <c r="AG238" s="19">
        <v>13.288114071764383</v>
      </c>
      <c r="AH238" s="19">
        <v>12.19050598661093</v>
      </c>
      <c r="AI238" s="19">
        <v>11.167163444629253</v>
      </c>
      <c r="AJ238" s="19">
        <v>8.558260321242301</v>
      </c>
      <c r="AK238" s="19">
        <v>8.083388023453324</v>
      </c>
      <c r="AL238" s="19">
        <v>8.251915915246272</v>
      </c>
      <c r="AM238" s="19">
        <v>7.9970246672043288</v>
      </c>
      <c r="AN238" s="19">
        <v>8.1203153462537756</v>
      </c>
      <c r="AO238" s="19">
        <v>5.6519444649947133</v>
      </c>
      <c r="AP238" s="19">
        <v>-2.7535751531408152</v>
      </c>
      <c r="AQ238" s="19">
        <v>-7.6340352860010228</v>
      </c>
      <c r="AR238" s="19">
        <v>4.5723077511554209</v>
      </c>
      <c r="AS238" s="19">
        <v>4.4552470433501412</v>
      </c>
      <c r="AT238" s="19">
        <v>3.4442490096837162</v>
      </c>
      <c r="AU238" s="19">
        <v>6.1490360521003566</v>
      </c>
      <c r="AV238" s="19">
        <v>7.189243303409711</v>
      </c>
      <c r="AW238" s="19">
        <v>6.2893421428579472</v>
      </c>
      <c r="AX238" s="19">
        <v>4.1876384288433712</v>
      </c>
      <c r="AY238" s="19">
        <v>4.967810892461074</v>
      </c>
      <c r="AZ238" s="19">
        <v>5.4351516905080928</v>
      </c>
      <c r="BA238" s="19">
        <v>1.7256988486633418</v>
      </c>
      <c r="BB238" s="19">
        <v>-0.69061823230057939</v>
      </c>
      <c r="BC238" s="19">
        <v>7.513390532616242</v>
      </c>
      <c r="BD238" s="19">
        <v>0.84013208305333364</v>
      </c>
      <c r="BE238" s="19">
        <v>7.2427962024964216</v>
      </c>
      <c r="BF238" s="19">
        <v>2.6874955632055588</v>
      </c>
      <c r="BG238" s="19">
        <v>0.98446886361942632</v>
      </c>
      <c r="BH238" s="19">
        <v>3.1340472491163496</v>
      </c>
      <c r="BI238" s="19">
        <v>3.4351577169218217</v>
      </c>
      <c r="BJ238" s="19">
        <v>4.1776810321000966</v>
      </c>
      <c r="BK238" s="19">
        <v>4.222870287460708</v>
      </c>
      <c r="BL238" s="19">
        <v>2.1516561218081875</v>
      </c>
      <c r="BM238" s="19">
        <v>-6.1954891595807311</v>
      </c>
      <c r="BN238" s="19">
        <v>1.5338355844195064</v>
      </c>
    </row>
    <row r="239" spans="1:66" x14ac:dyDescent="0.2">
      <c r="A239" s="19" t="s">
        <v>762</v>
      </c>
      <c r="B239" s="19" t="s">
        <v>1097</v>
      </c>
      <c r="C239" s="19" t="s">
        <v>863</v>
      </c>
      <c r="D239" s="19" t="s">
        <v>864</v>
      </c>
      <c r="AE239" s="19">
        <v>3.4999998730957742</v>
      </c>
      <c r="AF239" s="19">
        <v>-1.20000004458646</v>
      </c>
      <c r="AG239" s="19">
        <v>13.900001094353968</v>
      </c>
      <c r="AH239" s="19">
        <v>-6.5000006636470289</v>
      </c>
      <c r="AI239" s="19">
        <v>-0.59999963133662959</v>
      </c>
      <c r="AJ239" s="19">
        <v>-7.0999990962252468</v>
      </c>
      <c r="AK239" s="19">
        <v>-29.000001055447086</v>
      </c>
      <c r="AL239" s="19">
        <v>-16.399999844882245</v>
      </c>
      <c r="AM239" s="19">
        <v>-21.299998013094864</v>
      </c>
      <c r="AN239" s="19">
        <v>-12.416322231898974</v>
      </c>
      <c r="AO239" s="19">
        <v>-16.69999843533887</v>
      </c>
      <c r="AP239" s="19">
        <v>1.6806741358806647</v>
      </c>
      <c r="AQ239" s="19">
        <v>5.3128676594004247</v>
      </c>
      <c r="AR239" s="19">
        <v>3.6995507166585071</v>
      </c>
      <c r="AS239" s="19">
        <v>8.3243244947385904</v>
      </c>
      <c r="AT239" s="19">
        <v>9.5808361784295073</v>
      </c>
      <c r="AU239" s="19">
        <v>10.800003759166543</v>
      </c>
      <c r="AV239" s="19">
        <v>10.999999078057201</v>
      </c>
      <c r="AW239" s="19">
        <v>10.299998941011651</v>
      </c>
      <c r="AX239" s="19">
        <v>6.6999985165540892</v>
      </c>
      <c r="AY239" s="19">
        <v>7.000003211089961</v>
      </c>
      <c r="AZ239" s="19">
        <v>7.8000001187216128</v>
      </c>
      <c r="BA239" s="19">
        <v>7.8999982715493928</v>
      </c>
      <c r="BB239" s="19">
        <v>3.9000011482649626</v>
      </c>
      <c r="BC239" s="19">
        <v>6.4999990858523518</v>
      </c>
      <c r="BD239" s="19">
        <v>7.4000005995670932</v>
      </c>
      <c r="BE239" s="19">
        <v>7.4999994632152465</v>
      </c>
      <c r="BF239" s="19">
        <v>7.3999997470037897</v>
      </c>
      <c r="BG239" s="19">
        <v>6.7000006901625255</v>
      </c>
      <c r="BH239" s="19">
        <v>6.0193033177118593</v>
      </c>
      <c r="BI239" s="19">
        <v>6.8992602064115403</v>
      </c>
      <c r="BJ239" s="19">
        <v>7.0998940569358524</v>
      </c>
      <c r="BK239" s="19">
        <v>7.5992788423185402</v>
      </c>
      <c r="BL239" s="19">
        <v>7.4006524317912152</v>
      </c>
      <c r="BM239" s="19">
        <v>4.4000497024754566</v>
      </c>
      <c r="BN239" s="19">
        <v>9.2001904308498013</v>
      </c>
    </row>
    <row r="240" spans="1:66" x14ac:dyDescent="0.2">
      <c r="A240" s="19" t="s">
        <v>763</v>
      </c>
      <c r="B240" s="19" t="s">
        <v>1098</v>
      </c>
      <c r="C240" s="19" t="s">
        <v>863</v>
      </c>
      <c r="D240" s="19" t="s">
        <v>864</v>
      </c>
      <c r="AG240" s="19">
        <v>11.023622175137234</v>
      </c>
      <c r="AH240" s="19">
        <v>-4.255319506897024</v>
      </c>
      <c r="AI240" s="19">
        <v>35.384558108446299</v>
      </c>
      <c r="AJ240" s="19">
        <v>-4.6052632135837399</v>
      </c>
      <c r="AK240" s="19">
        <v>-14.965986595768044</v>
      </c>
      <c r="AL240" s="19">
        <v>1.5000001739180675</v>
      </c>
      <c r="AM240" s="19">
        <v>-17.299860472134057</v>
      </c>
      <c r="AN240" s="19">
        <v>-7.2000409344549041</v>
      </c>
      <c r="AO240" s="19">
        <v>6.6999921606475397</v>
      </c>
      <c r="AP240" s="19">
        <v>-11.400000227661252</v>
      </c>
      <c r="AQ240" s="19">
        <v>7.1000003438649344</v>
      </c>
      <c r="AR240" s="19">
        <v>16.499999497227066</v>
      </c>
      <c r="AS240" s="19">
        <v>5.4690641325285441</v>
      </c>
      <c r="AT240" s="19">
        <v>4.3438457143272728</v>
      </c>
      <c r="AU240" s="19">
        <v>0.25717992500628384</v>
      </c>
      <c r="AV240" s="19">
        <v>3.268828559553441</v>
      </c>
      <c r="AW240" s="19">
        <v>5.0004074376674765</v>
      </c>
      <c r="AX240" s="19">
        <v>13.034034870021998</v>
      </c>
      <c r="AY240" s="19">
        <v>10.973308325401703</v>
      </c>
      <c r="AZ240" s="19">
        <v>11.059299470450014</v>
      </c>
      <c r="BA240" s="19">
        <v>14.7</v>
      </c>
      <c r="BB240" s="19">
        <v>6.100000114856428</v>
      </c>
      <c r="BC240" s="19">
        <v>9.1999999880548273</v>
      </c>
      <c r="BD240" s="19">
        <v>14.699999927872341</v>
      </c>
      <c r="BE240" s="19">
        <v>11.099999961554488</v>
      </c>
      <c r="BF240" s="19">
        <v>10.200000101398984</v>
      </c>
      <c r="BG240" s="19">
        <v>10.299999970545912</v>
      </c>
      <c r="BH240" s="19">
        <v>6.4999999095166601</v>
      </c>
      <c r="BI240" s="19">
        <v>6.1999999664300987</v>
      </c>
      <c r="BJ240" s="19">
        <v>6.5000000468297543</v>
      </c>
      <c r="BK240" s="19">
        <v>6.199999941371189</v>
      </c>
      <c r="BL240" s="19">
        <v>6.3</v>
      </c>
    </row>
    <row r="241" spans="1:66" x14ac:dyDescent="0.2">
      <c r="A241" s="19" t="s">
        <v>764</v>
      </c>
      <c r="B241" s="19" t="s">
        <v>1099</v>
      </c>
      <c r="C241" s="19" t="s">
        <v>863</v>
      </c>
      <c r="D241" s="19" t="s">
        <v>864</v>
      </c>
      <c r="F241" s="19">
        <v>6.1177724495595811</v>
      </c>
      <c r="G241" s="19">
        <v>4.1902017346945968</v>
      </c>
      <c r="H241" s="19">
        <v>1.8118474725219613</v>
      </c>
      <c r="I241" s="19">
        <v>7.1908865997791764</v>
      </c>
      <c r="J241" s="19">
        <v>5.5347343524143895</v>
      </c>
      <c r="K241" s="19">
        <v>4.8456425858656331</v>
      </c>
      <c r="L241" s="19">
        <v>4.2411636136752406</v>
      </c>
      <c r="M241" s="19">
        <v>7.1185557182910486</v>
      </c>
      <c r="N241" s="19">
        <v>6.8195207018817854</v>
      </c>
      <c r="O241" s="19">
        <v>6.5278343097797915</v>
      </c>
      <c r="P241" s="19">
        <v>6.9528347863536197</v>
      </c>
      <c r="Q241" s="19">
        <v>7.2609785776234048</v>
      </c>
      <c r="R241" s="19">
        <v>8.165450724130352</v>
      </c>
      <c r="S241" s="19">
        <v>6.5640026559709952</v>
      </c>
      <c r="T241" s="19">
        <v>3.617438317554118</v>
      </c>
      <c r="U241" s="19">
        <v>5.4414428000523856</v>
      </c>
      <c r="V241" s="19">
        <v>4.7851485603869435</v>
      </c>
      <c r="W241" s="19">
        <v>4.3192577466733155</v>
      </c>
      <c r="X241" s="19">
        <v>7.4109577194701757</v>
      </c>
      <c r="Y241" s="19">
        <v>7.0105731536734766</v>
      </c>
      <c r="Z241" s="19">
        <v>0.50820876283728467</v>
      </c>
      <c r="AA241" s="19">
        <v>-0.45994403836868969</v>
      </c>
      <c r="AB241" s="19">
        <v>-2.0947511999261366</v>
      </c>
      <c r="AC241" s="19">
        <v>3.6887801624874186</v>
      </c>
      <c r="AD241" s="19">
        <v>3.2708424739525981</v>
      </c>
      <c r="AE241" s="19">
        <v>3.9036022366596654</v>
      </c>
      <c r="AF241" s="19">
        <v>3.2974304581752563</v>
      </c>
      <c r="AG241" s="19">
        <v>0.38474879187471345</v>
      </c>
      <c r="AH241" s="19">
        <v>1.7206313639895257</v>
      </c>
      <c r="AI241" s="19">
        <v>-0.34315402508708814</v>
      </c>
      <c r="AJ241" s="19">
        <v>3.362413011002559</v>
      </c>
      <c r="AK241" s="19">
        <v>2.7981789236996661</v>
      </c>
      <c r="AL241" s="19">
        <v>4.501006774911545</v>
      </c>
      <c r="AM241" s="19">
        <v>5.488317096131226</v>
      </c>
      <c r="AN241" s="19">
        <v>0.70497840227513109</v>
      </c>
      <c r="AO241" s="19">
        <v>4.0626596712030079</v>
      </c>
      <c r="AP241" s="19">
        <v>5.3306119180021483</v>
      </c>
      <c r="AQ241" s="19">
        <v>2.6159998567095073</v>
      </c>
      <c r="AR241" s="19">
        <v>0.3927091843882522</v>
      </c>
      <c r="AS241" s="19">
        <v>3.5309818277970351</v>
      </c>
      <c r="AT241" s="19">
        <v>0.26138468722045616</v>
      </c>
      <c r="AU241" s="19">
        <v>0.49411420972337794</v>
      </c>
      <c r="AV241" s="19">
        <v>2.6320981799086667</v>
      </c>
      <c r="AW241" s="19">
        <v>5.5086247611451142</v>
      </c>
      <c r="AX241" s="19">
        <v>4.1116063703247505</v>
      </c>
      <c r="AY241" s="19">
        <v>5.1651973735101819</v>
      </c>
      <c r="AZ241" s="19">
        <v>5.4702176979438235</v>
      </c>
      <c r="BA241" s="19">
        <v>3.910367908599838</v>
      </c>
      <c r="BB241" s="19">
        <v>-2.0254201296037309</v>
      </c>
      <c r="BC241" s="19">
        <v>6.7338120591706456</v>
      </c>
      <c r="BD241" s="19">
        <v>4.6326241861714976</v>
      </c>
      <c r="BE241" s="19">
        <v>2.6482715516272322</v>
      </c>
      <c r="BF241" s="19">
        <v>2.9575142845244926</v>
      </c>
      <c r="BG241" s="19">
        <v>1.4528795203951006</v>
      </c>
      <c r="BH241" s="19">
        <v>0.48268476323731591</v>
      </c>
      <c r="BI241" s="19">
        <v>-0.15934459574188509</v>
      </c>
      <c r="BJ241" s="19">
        <v>1.9814779429085547</v>
      </c>
      <c r="BK241" s="19">
        <v>1.738687707954341</v>
      </c>
      <c r="BL241" s="19">
        <v>0.72768430844554643</v>
      </c>
      <c r="BM241" s="19">
        <v>-6.5483396870831143</v>
      </c>
      <c r="BN241" s="19">
        <v>6.7530763595820389</v>
      </c>
    </row>
    <row r="242" spans="1:66" x14ac:dyDescent="0.2">
      <c r="A242" s="19" t="s">
        <v>765</v>
      </c>
      <c r="B242" s="19" t="s">
        <v>1100</v>
      </c>
      <c r="C242" s="19" t="s">
        <v>863</v>
      </c>
      <c r="D242" s="19" t="s">
        <v>864</v>
      </c>
      <c r="AT242" s="19">
        <v>16.347692150282285</v>
      </c>
      <c r="AU242" s="19">
        <v>-6.7006940730042714</v>
      </c>
      <c r="AV242" s="19">
        <v>-2.1822672375903522</v>
      </c>
      <c r="AW242" s="19">
        <v>0.40000000000000568</v>
      </c>
      <c r="AX242" s="19">
        <v>2.987649098102338</v>
      </c>
      <c r="AY242" s="19">
        <v>-4.1194059763509188</v>
      </c>
      <c r="AZ242" s="19">
        <v>10.262419934835492</v>
      </c>
      <c r="BA242" s="19">
        <v>11.39054373561008</v>
      </c>
      <c r="BB242" s="19">
        <v>10.144309718858295</v>
      </c>
      <c r="BC242" s="19">
        <v>9.3294240565050472</v>
      </c>
      <c r="BD242" s="19">
        <v>5.9560537879144135</v>
      </c>
      <c r="BE242" s="19">
        <v>4.8585979222196585</v>
      </c>
      <c r="BF242" s="19">
        <v>3.1028805696446113</v>
      </c>
      <c r="BG242" s="19">
        <v>4.4719621228429105</v>
      </c>
      <c r="BH242" s="19">
        <v>2.7632217732675315</v>
      </c>
      <c r="BI242" s="19">
        <v>3.3829773526972815</v>
      </c>
      <c r="BJ242" s="19">
        <v>-3.0576494686372513</v>
      </c>
      <c r="BK242" s="19">
        <v>-0.69025580304534628</v>
      </c>
      <c r="BL242" s="19">
        <v>23.513790814662471</v>
      </c>
      <c r="BM242" s="19">
        <v>31.914487165902841</v>
      </c>
      <c r="BN242" s="19">
        <v>5.2914419197513922</v>
      </c>
    </row>
    <row r="243" spans="1:66" x14ac:dyDescent="0.2">
      <c r="A243" s="19" t="s">
        <v>766</v>
      </c>
      <c r="B243" s="19" t="s">
        <v>1101</v>
      </c>
      <c r="C243" s="19" t="s">
        <v>863</v>
      </c>
      <c r="D243" s="19" t="s">
        <v>864</v>
      </c>
      <c r="K243" s="19">
        <v>6.6244458803323027</v>
      </c>
      <c r="L243" s="19">
        <v>8.5821411582066389</v>
      </c>
      <c r="M243" s="19">
        <v>10.521533334807188</v>
      </c>
      <c r="N243" s="19">
        <v>11.702457129940143</v>
      </c>
      <c r="O243" s="19">
        <v>8.8479724836289222</v>
      </c>
      <c r="P243" s="19">
        <v>8.0119942206847696</v>
      </c>
      <c r="Q243" s="19">
        <v>13.580682694772079</v>
      </c>
      <c r="R243" s="19">
        <v>5.6770369318108465</v>
      </c>
      <c r="S243" s="19">
        <v>6.340778480718015</v>
      </c>
      <c r="T243" s="19">
        <v>2.8171285223945546</v>
      </c>
      <c r="U243" s="19">
        <v>15.62481096456159</v>
      </c>
      <c r="V243" s="19">
        <v>0.44200649847108764</v>
      </c>
      <c r="W243" s="19">
        <v>-3.901822389683133</v>
      </c>
      <c r="X243" s="19">
        <v>-2.6664753474802154</v>
      </c>
      <c r="Y243" s="19">
        <v>-5.9768248530180301</v>
      </c>
      <c r="Z243" s="19">
        <v>8.4047717193257654E-2</v>
      </c>
      <c r="AA243" s="19">
        <v>12.987029610941732</v>
      </c>
      <c r="AB243" s="19">
        <v>5.3639298350878448</v>
      </c>
      <c r="AC243" s="19">
        <v>-0.19600054042334136</v>
      </c>
      <c r="AD243" s="19">
        <v>3.3397493396185354</v>
      </c>
      <c r="AE243" s="19">
        <v>-2.1254412536061693</v>
      </c>
      <c r="AF243" s="19">
        <v>1.7172554767170141</v>
      </c>
      <c r="AG243" s="19">
        <v>7.5603582921090151E-2</v>
      </c>
      <c r="AH243" s="19">
        <v>1.9414340958207248</v>
      </c>
      <c r="AI243" s="19">
        <v>11.976681946832258</v>
      </c>
      <c r="AJ243" s="19">
        <v>-0.84885820405193613</v>
      </c>
      <c r="AK243" s="19">
        <v>5.3182937344808465</v>
      </c>
      <c r="AL243" s="19">
        <v>2.0919842875934762</v>
      </c>
      <c r="AM243" s="19">
        <v>2.0230176754755433</v>
      </c>
      <c r="AN243" s="19">
        <v>3.0240868316425491</v>
      </c>
      <c r="AO243" s="19">
        <v>6.5488661406238151</v>
      </c>
      <c r="AP243" s="19">
        <v>3.8521070506167803</v>
      </c>
      <c r="AQ243" s="19">
        <v>6.6716346949505123</v>
      </c>
      <c r="AR243" s="19">
        <v>4.5489562691517875</v>
      </c>
      <c r="AS243" s="19">
        <v>6.1970733089133887</v>
      </c>
      <c r="AT243" s="19">
        <v>2.8022193494249308</v>
      </c>
      <c r="AU243" s="19">
        <v>3.2017822299627881</v>
      </c>
      <c r="AV243" s="19">
        <v>2.1756204498829561</v>
      </c>
      <c r="AW243" s="19">
        <v>7.704845659689056</v>
      </c>
      <c r="AX243" s="19">
        <v>4.4815022806125313</v>
      </c>
      <c r="AY243" s="19">
        <v>5.1863142368200528</v>
      </c>
      <c r="AZ243" s="19">
        <v>6.1427158104227573</v>
      </c>
      <c r="BA243" s="19">
        <v>3.6895475306004926</v>
      </c>
      <c r="BB243" s="19">
        <v>2.5848937013288378</v>
      </c>
      <c r="BC243" s="19">
        <v>5.2715811251892575</v>
      </c>
      <c r="BD243" s="19">
        <v>-1.1759642844441487</v>
      </c>
      <c r="BE243" s="19">
        <v>3.6636717868602204</v>
      </c>
      <c r="BF243" s="19">
        <v>0.39513462993360804</v>
      </c>
      <c r="BG243" s="19">
        <v>2.823288568313771</v>
      </c>
      <c r="BH243" s="19">
        <v>0.71241129382879365</v>
      </c>
      <c r="BI243" s="19">
        <v>5.3084743012847184</v>
      </c>
      <c r="BJ243" s="19">
        <v>3.1379157816026577</v>
      </c>
      <c r="BK243" s="19">
        <v>1.6863523323420395</v>
      </c>
      <c r="BL243" s="19">
        <v>1.0151177600101704</v>
      </c>
      <c r="BM243" s="19">
        <v>-2.8506599587557417</v>
      </c>
      <c r="BN243" s="19">
        <v>4.5451193733359503</v>
      </c>
    </row>
    <row r="244" spans="1:66" x14ac:dyDescent="0.2">
      <c r="A244" s="19" t="s">
        <v>767</v>
      </c>
      <c r="B244" s="19" t="s">
        <v>1102</v>
      </c>
      <c r="C244" s="19" t="s">
        <v>863</v>
      </c>
      <c r="D244" s="19" t="s">
        <v>864</v>
      </c>
      <c r="AA244" s="19">
        <v>4.7412654099247931</v>
      </c>
      <c r="AB244" s="19">
        <v>1.9824027135356204</v>
      </c>
      <c r="AC244" s="19">
        <v>1.7383919600440834</v>
      </c>
      <c r="AD244" s="19">
        <v>6.5584634601298717</v>
      </c>
      <c r="AE244" s="19">
        <v>2.1186608644567571</v>
      </c>
      <c r="AF244" s="19">
        <v>2.9856377872262527</v>
      </c>
      <c r="AG244" s="19">
        <v>-1.8818720489880292</v>
      </c>
      <c r="AH244" s="19">
        <v>0.38990681035964769</v>
      </c>
      <c r="AI244" s="19">
        <v>-2.0440914352122377</v>
      </c>
      <c r="AJ244" s="19">
        <v>6.4149475744726061</v>
      </c>
      <c r="AK244" s="19">
        <v>0.25197566413316963</v>
      </c>
      <c r="AL244" s="19">
        <v>3.7380553828981959</v>
      </c>
      <c r="AM244" s="19">
        <v>4.952521321065035</v>
      </c>
      <c r="AN244" s="19">
        <v>7.3785358261085463</v>
      </c>
      <c r="AO244" s="19">
        <v>1.8055312169568793</v>
      </c>
      <c r="AP244" s="19">
        <v>1.2234496173778524</v>
      </c>
      <c r="AQ244" s="19">
        <v>2.4587591030060878</v>
      </c>
      <c r="AR244" s="19">
        <v>3.7108809670907306</v>
      </c>
      <c r="AS244" s="19">
        <v>0.87599006300844451</v>
      </c>
      <c r="AT244" s="19">
        <v>3.7489256929814161</v>
      </c>
      <c r="AU244" s="19">
        <v>4.8480128143897332</v>
      </c>
      <c r="AV244" s="19">
        <v>2.3080454937043129</v>
      </c>
      <c r="AW244" s="19">
        <v>-2.4107006092002337</v>
      </c>
      <c r="AX244" s="19">
        <v>8.1033893733064133E-2</v>
      </c>
      <c r="AY244" s="19">
        <v>-0.14863532289669479</v>
      </c>
      <c r="AZ244" s="19">
        <v>0.2710952910968274</v>
      </c>
      <c r="BA244" s="19">
        <v>4.7501696558175865</v>
      </c>
      <c r="BB244" s="19">
        <v>-5.1991090371118815</v>
      </c>
      <c r="BC244" s="19">
        <v>0.80349018252383075</v>
      </c>
      <c r="BD244" s="19">
        <v>6.8182761444729465</v>
      </c>
      <c r="BE244" s="19">
        <v>0.82310271796481516</v>
      </c>
      <c r="BF244" s="19">
        <v>0.31230790929470231</v>
      </c>
      <c r="BG244" s="19">
        <v>2.0187004603920542</v>
      </c>
      <c r="BH244" s="19">
        <v>1.1718882558960075</v>
      </c>
      <c r="BI244" s="19">
        <v>6.5710005010744794</v>
      </c>
      <c r="BJ244" s="19">
        <v>3.322432544388306</v>
      </c>
      <c r="BK244" s="19">
        <v>0.24122796027505444</v>
      </c>
      <c r="BL244" s="19">
        <v>0.7064834338604129</v>
      </c>
      <c r="BM244" s="19">
        <v>0.48864532331383259</v>
      </c>
      <c r="BN244" s="19">
        <v>-2.6675061752312672</v>
      </c>
    </row>
    <row r="245" spans="1:66" x14ac:dyDescent="0.2">
      <c r="A245" s="19" t="s">
        <v>768</v>
      </c>
      <c r="B245" s="19" t="s">
        <v>1103</v>
      </c>
      <c r="C245" s="19" t="s">
        <v>863</v>
      </c>
      <c r="D245" s="19" t="s">
        <v>864</v>
      </c>
      <c r="F245" s="19">
        <v>4.1952173746789612</v>
      </c>
      <c r="G245" s="19">
        <v>3.3968626667445108</v>
      </c>
      <c r="H245" s="19">
        <v>5.2563252983202915</v>
      </c>
      <c r="I245" s="19">
        <v>7.7610030649156272</v>
      </c>
      <c r="J245" s="19">
        <v>-0.65865865430509984</v>
      </c>
      <c r="K245" s="19">
        <v>1.1886624114611095</v>
      </c>
      <c r="L245" s="19">
        <v>6.1180177954611707</v>
      </c>
      <c r="M245" s="19">
        <v>4.5695292254895463</v>
      </c>
      <c r="N245" s="19">
        <v>5.7808256726617344</v>
      </c>
      <c r="O245" s="19">
        <v>5.8384256410589899</v>
      </c>
      <c r="P245" s="19">
        <v>0.61774644626450481</v>
      </c>
      <c r="Q245" s="19">
        <v>-1.7960122783831736</v>
      </c>
      <c r="R245" s="19">
        <v>3.8412646636617183</v>
      </c>
      <c r="S245" s="19">
        <v>2.4610122891678401</v>
      </c>
      <c r="T245" s="19">
        <v>6.9319865989779146</v>
      </c>
      <c r="U245" s="19">
        <v>2.5701907364969401</v>
      </c>
      <c r="V245" s="19">
        <v>6.2533966750494443</v>
      </c>
      <c r="W245" s="19">
        <v>6.1108641775699368</v>
      </c>
      <c r="X245" s="19">
        <v>-2.626451479508404</v>
      </c>
      <c r="Y245" s="19">
        <v>6.4585547154327685</v>
      </c>
      <c r="Z245" s="19">
        <v>6.4165370205919317</v>
      </c>
      <c r="AA245" s="19">
        <v>3.8205172342991034</v>
      </c>
      <c r="AB245" s="19">
        <v>6.6589024073922474</v>
      </c>
      <c r="AC245" s="19">
        <v>4.217410175941751</v>
      </c>
      <c r="AD245" s="19">
        <v>5.43055781899659</v>
      </c>
      <c r="AE245" s="19">
        <v>4.8171606192777006</v>
      </c>
      <c r="AF245" s="19">
        <v>4.2248906245383182</v>
      </c>
      <c r="AG245" s="19">
        <v>8.3806634317260489</v>
      </c>
      <c r="AH245" s="19">
        <v>5.3845423463969411</v>
      </c>
      <c r="AI245" s="19">
        <v>5.3958595502217719</v>
      </c>
      <c r="AJ245" s="19">
        <v>2.0593555031126414</v>
      </c>
      <c r="AK245" s="19">
        <v>5.7725321526935289</v>
      </c>
      <c r="AL245" s="19">
        <v>4.3290270165478688</v>
      </c>
      <c r="AM245" s="19">
        <v>5.9529101718917161</v>
      </c>
      <c r="AN245" s="19">
        <v>6.8450630848941216</v>
      </c>
      <c r="AO245" s="19">
        <v>6.7390085067989673</v>
      </c>
      <c r="AP245" s="19">
        <v>3.7377324964478476</v>
      </c>
      <c r="AQ245" s="19">
        <v>5.4907811049591686</v>
      </c>
      <c r="AR245" s="19">
        <v>7.5718965111856846</v>
      </c>
      <c r="AS245" s="19">
        <v>4.1103065644315251</v>
      </c>
      <c r="AT245" s="19">
        <v>4.4360976587886256</v>
      </c>
      <c r="AU245" s="19">
        <v>3.6023935133985958</v>
      </c>
      <c r="AV245" s="19">
        <v>7.2519295180730268</v>
      </c>
      <c r="AW245" s="19">
        <v>7.5073883752495192</v>
      </c>
      <c r="AX245" s="19">
        <v>7.5175505903672928</v>
      </c>
      <c r="AY245" s="19">
        <v>7.625924614176995</v>
      </c>
      <c r="AZ245" s="19">
        <v>7.2330297304960709</v>
      </c>
      <c r="BA245" s="19">
        <v>3.2641022702088947</v>
      </c>
      <c r="BB245" s="19">
        <v>6.9282488718791484</v>
      </c>
      <c r="BC245" s="19">
        <v>7.4687736588261231</v>
      </c>
      <c r="BD245" s="19">
        <v>5.1102441269134999</v>
      </c>
      <c r="BE245" s="19">
        <v>5.4679784636059878</v>
      </c>
      <c r="BF245" s="19">
        <v>6.0337854633858683</v>
      </c>
      <c r="BG245" s="19">
        <v>6.9386211920120076</v>
      </c>
      <c r="BH245" s="19">
        <v>7.3360719196774511</v>
      </c>
      <c r="BI245" s="19">
        <v>7.6822405823338045</v>
      </c>
      <c r="BJ245" s="19">
        <v>6.5270092439526195</v>
      </c>
      <c r="BK245" s="19">
        <v>6.334238352958792</v>
      </c>
      <c r="BL245" s="19">
        <v>3.8353719730894227</v>
      </c>
      <c r="BM245" s="19">
        <v>-5.2273739799017562</v>
      </c>
      <c r="BN245" s="19">
        <v>7.9643621733324892</v>
      </c>
    </row>
    <row r="246" spans="1:66" x14ac:dyDescent="0.2">
      <c r="A246" s="19" t="s">
        <v>769</v>
      </c>
      <c r="B246" s="19" t="s">
        <v>1104</v>
      </c>
      <c r="C246" s="19" t="s">
        <v>863</v>
      </c>
      <c r="D246" s="19" t="s">
        <v>864</v>
      </c>
      <c r="F246" s="19">
        <v>0.95760071895627163</v>
      </c>
      <c r="G246" s="19">
        <v>6.0584531871119793</v>
      </c>
      <c r="H246" s="19">
        <v>6.1120893570780055</v>
      </c>
      <c r="I246" s="19">
        <v>4.9496786490658593</v>
      </c>
      <c r="J246" s="19">
        <v>4.7504138346329938</v>
      </c>
      <c r="K246" s="19">
        <v>1.3319510295702202</v>
      </c>
      <c r="L246" s="19">
        <v>-1.2468696410127649</v>
      </c>
      <c r="M246" s="19">
        <v>2.9810601607952236</v>
      </c>
      <c r="N246" s="19">
        <v>9.3786545852227619</v>
      </c>
      <c r="O246" s="19">
        <v>10.287669903445646</v>
      </c>
      <c r="P246" s="19">
        <v>7.8372170724451991</v>
      </c>
      <c r="Q246" s="19">
        <v>2.6147020928535056</v>
      </c>
      <c r="R246" s="19">
        <v>4.3419822566489188</v>
      </c>
      <c r="S246" s="19">
        <v>7.9221974767215215</v>
      </c>
      <c r="T246" s="19">
        <v>-0.13065043199226523</v>
      </c>
      <c r="U246" s="19">
        <v>5.5202227689530758</v>
      </c>
      <c r="V246" s="19">
        <v>2.9093036621603829</v>
      </c>
      <c r="W246" s="19">
        <v>-0.54173955762327353</v>
      </c>
      <c r="X246" s="19">
        <v>3.9668113735202439</v>
      </c>
      <c r="Y246" s="19">
        <v>3.7723263081416576</v>
      </c>
      <c r="Z246" s="19">
        <v>-0.75831167523219278</v>
      </c>
      <c r="AA246" s="19">
        <v>-1.0917360962788791</v>
      </c>
      <c r="AB246" s="19">
        <v>-2.5284450265705942</v>
      </c>
      <c r="AC246" s="19">
        <v>2.0688361970792499</v>
      </c>
      <c r="AD246" s="19">
        <v>1.8209898980181265</v>
      </c>
      <c r="AE246" s="19">
        <v>1.946078293357445</v>
      </c>
      <c r="AF246" s="19">
        <v>3.1513470343263066</v>
      </c>
      <c r="AG246" s="19">
        <v>4.3415773170144973</v>
      </c>
      <c r="AH246" s="19">
        <v>2.6664135885116025</v>
      </c>
      <c r="AI246" s="19">
        <v>2.4799212429636981</v>
      </c>
      <c r="AJ246" s="19">
        <v>0.50858740310087569</v>
      </c>
      <c r="AK246" s="19">
        <v>-0.11168685241777609</v>
      </c>
      <c r="AL246" s="19">
        <v>-0.7048518254845817</v>
      </c>
      <c r="AM246" s="19">
        <v>1.0785896752691428</v>
      </c>
      <c r="AN246" s="19">
        <v>3.345448013479114</v>
      </c>
      <c r="AO246" s="19">
        <v>5.1157240749463426</v>
      </c>
      <c r="AP246" s="19">
        <v>4.351480154970929</v>
      </c>
      <c r="AQ246" s="19">
        <v>2.4936391254075261</v>
      </c>
      <c r="AR246" s="19">
        <v>2.1630620961493321</v>
      </c>
      <c r="AS246" s="19">
        <v>3.5069414153019238</v>
      </c>
      <c r="AT246" s="19">
        <v>4.2712948904771082</v>
      </c>
      <c r="AU246" s="19">
        <v>6.3098867161565977</v>
      </c>
      <c r="AV246" s="19">
        <v>4.1001692808302721</v>
      </c>
      <c r="AW246" s="19">
        <v>6.5584525806154943</v>
      </c>
      <c r="AX246" s="19">
        <v>6.0050794732634074</v>
      </c>
      <c r="AY246" s="19">
        <v>6.0615274866785853</v>
      </c>
      <c r="AZ246" s="19">
        <v>6.1360414509417751</v>
      </c>
      <c r="BA246" s="19">
        <v>5.1301766166250076</v>
      </c>
      <c r="BB246" s="19">
        <v>2.9917819703280486</v>
      </c>
      <c r="BC246" s="19">
        <v>5.9559317242775052</v>
      </c>
      <c r="BD246" s="19">
        <v>4.1991759131881281</v>
      </c>
      <c r="BE246" s="19">
        <v>2.7118516682225646</v>
      </c>
      <c r="BF246" s="19">
        <v>5.0635183598479756</v>
      </c>
      <c r="BG246" s="19">
        <v>4.8623967350746256</v>
      </c>
      <c r="BH246" s="19">
        <v>2.8714227159006356</v>
      </c>
      <c r="BI246" s="19">
        <v>1.2671421371829297</v>
      </c>
      <c r="BJ246" s="19">
        <v>2.4382600070736373</v>
      </c>
      <c r="BK246" s="19">
        <v>2.7057064525996424</v>
      </c>
      <c r="BL246" s="19">
        <v>2.5776397337378398</v>
      </c>
      <c r="BM246" s="19">
        <v>-1.9976215020097783</v>
      </c>
      <c r="BN246" s="19">
        <v>4.1436767375323313</v>
      </c>
    </row>
    <row r="247" spans="1:66" x14ac:dyDescent="0.2">
      <c r="A247" s="19" t="s">
        <v>770</v>
      </c>
      <c r="B247" s="19" t="s">
        <v>1105</v>
      </c>
      <c r="C247" s="19" t="s">
        <v>863</v>
      </c>
      <c r="D247" s="19" t="s">
        <v>864</v>
      </c>
      <c r="F247" s="19">
        <v>14.037070864503036</v>
      </c>
      <c r="G247" s="19">
        <v>2.7424631464336215</v>
      </c>
      <c r="H247" s="19">
        <v>5.6045972464346505</v>
      </c>
      <c r="I247" s="19">
        <v>7.6304997721024819</v>
      </c>
      <c r="J247" s="19">
        <v>0.69385028119455683</v>
      </c>
      <c r="K247" s="19">
        <v>4.0568215606766813</v>
      </c>
      <c r="L247" s="19">
        <v>2.0425177148052143</v>
      </c>
      <c r="M247" s="19">
        <v>5.2151416149003467</v>
      </c>
      <c r="N247" s="19">
        <v>2.7306846100350697</v>
      </c>
      <c r="O247" s="19">
        <v>3.5336356779722422</v>
      </c>
      <c r="P247" s="19">
        <v>1.040335827819618</v>
      </c>
      <c r="Q247" s="19">
        <v>5.7803468191393534</v>
      </c>
      <c r="R247" s="19">
        <v>1.6564207664204531</v>
      </c>
      <c r="S247" s="19">
        <v>3.8076040085693705</v>
      </c>
      <c r="T247" s="19">
        <v>1.477965371235527</v>
      </c>
      <c r="U247" s="19">
        <v>6.4051453786650541</v>
      </c>
      <c r="V247" s="19">
        <v>9.1217903876579669</v>
      </c>
      <c r="W247" s="19">
        <v>10.01648049790127</v>
      </c>
      <c r="X247" s="19">
        <v>3.599367509756064</v>
      </c>
      <c r="Y247" s="19">
        <v>10.390810137282998</v>
      </c>
      <c r="Z247" s="19">
        <v>4.5772085584299589</v>
      </c>
      <c r="AA247" s="19">
        <v>3.7993180714448442</v>
      </c>
      <c r="AB247" s="19">
        <v>-10.300328484294198</v>
      </c>
      <c r="AC247" s="19">
        <v>-5.7509061700585136</v>
      </c>
      <c r="AD247" s="19">
        <v>-4.1194195543723993</v>
      </c>
      <c r="AE247" s="19">
        <v>-3.2791630479926681</v>
      </c>
      <c r="AF247" s="19">
        <v>-4.5617785381139413</v>
      </c>
      <c r="AG247" s="19">
        <v>-3.9197240505039446</v>
      </c>
      <c r="AH247" s="19">
        <v>-0.82991421223169937</v>
      </c>
      <c r="AI247" s="19">
        <v>1.5091678429517685</v>
      </c>
      <c r="AJ247" s="19">
        <v>3.112407865755884</v>
      </c>
      <c r="AK247" s="19">
        <v>10.092979512968995</v>
      </c>
      <c r="AL247" s="19">
        <v>-0.66911476645933021</v>
      </c>
      <c r="AM247" s="19">
        <v>3.5671806058195159</v>
      </c>
      <c r="AN247" s="19">
        <v>3.8099131436476483</v>
      </c>
      <c r="AO247" s="19">
        <v>7.134477464808711</v>
      </c>
      <c r="AP247" s="19">
        <v>7.5228546262751763</v>
      </c>
      <c r="AQ247" s="19">
        <v>8.1245639965458025</v>
      </c>
      <c r="AR247" s="19">
        <v>8.0248176435006258</v>
      </c>
      <c r="AS247" s="19">
        <v>6.9013595907280347</v>
      </c>
      <c r="AT247" s="19">
        <v>4.1685239818542357</v>
      </c>
      <c r="AU247" s="19">
        <v>7.9367096871533249</v>
      </c>
      <c r="AV247" s="19">
        <v>14.44098953897344</v>
      </c>
      <c r="AW247" s="19">
        <v>7.9500515106997227</v>
      </c>
      <c r="AX247" s="19">
        <v>6.2089378795417502</v>
      </c>
      <c r="AY247" s="19">
        <v>13.208058605173491</v>
      </c>
      <c r="AZ247" s="19">
        <v>4.7542097009272197</v>
      </c>
      <c r="BA247" s="19">
        <v>3.3917370780738736</v>
      </c>
      <c r="BB247" s="19">
        <v>-4.3917292474613987</v>
      </c>
      <c r="BC247" s="19">
        <v>3.3232247102737063</v>
      </c>
      <c r="BD247" s="19">
        <v>-0.29435440904376264</v>
      </c>
      <c r="BE247" s="19">
        <v>6.6101197282902859</v>
      </c>
      <c r="BF247" s="19">
        <v>3.8438013234197541</v>
      </c>
      <c r="BG247" s="19">
        <v>3.3229444081872543</v>
      </c>
      <c r="BH247" s="19">
        <v>-0.75562196239398816</v>
      </c>
      <c r="BI247" s="19">
        <v>-6.7644391908088295</v>
      </c>
      <c r="BJ247" s="19">
        <v>-4.706998899219613</v>
      </c>
      <c r="BK247" s="19">
        <v>-0.87096784594248788</v>
      </c>
      <c r="BL247" s="19">
        <v>0.11039404653769225</v>
      </c>
      <c r="BM247" s="19">
        <v>-7.6783311605235127</v>
      </c>
      <c r="BN247" s="19">
        <v>-1.0265401622321804</v>
      </c>
    </row>
    <row r="248" spans="1:66" x14ac:dyDescent="0.2">
      <c r="A248" s="19" t="s">
        <v>771</v>
      </c>
      <c r="B248" s="19" t="s">
        <v>1106</v>
      </c>
      <c r="C248" s="19" t="s">
        <v>863</v>
      </c>
      <c r="D248" s="19" t="s">
        <v>864</v>
      </c>
      <c r="K248" s="19">
        <v>3.4548678937449608</v>
      </c>
      <c r="L248" s="19">
        <v>0.16195247133987323</v>
      </c>
      <c r="M248" s="19">
        <v>10.40972858617306</v>
      </c>
      <c r="N248" s="19">
        <v>4.7478154036322451</v>
      </c>
      <c r="O248" s="19">
        <v>4.669631772670499</v>
      </c>
      <c r="P248" s="19">
        <v>10.560197480686284</v>
      </c>
      <c r="Q248" s="19">
        <v>17.74271826103319</v>
      </c>
      <c r="R248" s="19">
        <v>-0.65464350226631041</v>
      </c>
      <c r="S248" s="19">
        <v>8.0747823343126015</v>
      </c>
      <c r="T248" s="19">
        <v>7.1560999091236255</v>
      </c>
      <c r="U248" s="19">
        <v>7.8768526527242813</v>
      </c>
      <c r="V248" s="19">
        <v>3.4110958495494685</v>
      </c>
      <c r="W248" s="19">
        <v>6.4404735329312501</v>
      </c>
      <c r="X248" s="19">
        <v>6.5675211764401666</v>
      </c>
      <c r="Y248" s="19">
        <v>7.4187395949798542</v>
      </c>
      <c r="Z248" s="19">
        <v>5.5140728290394208</v>
      </c>
      <c r="AA248" s="19">
        <v>-0.49373760402227163</v>
      </c>
      <c r="AB248" s="19">
        <v>4.6819173852731097</v>
      </c>
      <c r="AC248" s="19">
        <v>5.7488432625296895</v>
      </c>
      <c r="AD248" s="19">
        <v>5.648573236598196</v>
      </c>
      <c r="AE248" s="19">
        <v>-1.446988414179728</v>
      </c>
      <c r="AF248" s="19">
        <v>6.7013710957768922</v>
      </c>
      <c r="AG248" s="19">
        <v>7.2159077396420912E-2</v>
      </c>
      <c r="AH248" s="19">
        <v>1.7466991282435202</v>
      </c>
      <c r="AI248" s="19">
        <v>7.9498194366546073</v>
      </c>
      <c r="AJ248" s="19">
        <v>3.9045453031319823</v>
      </c>
      <c r="AK248" s="19">
        <v>7.8057288772239701</v>
      </c>
      <c r="AL248" s="19">
        <v>2.1898288614582384</v>
      </c>
      <c r="AM248" s="19">
        <v>3.178411322094405</v>
      </c>
      <c r="AN248" s="19">
        <v>2.3516698508654059</v>
      </c>
      <c r="AO248" s="19">
        <v>7.146080967820609</v>
      </c>
      <c r="AP248" s="19">
        <v>5.4409435010746705</v>
      </c>
      <c r="AQ248" s="19">
        <v>4.7837624782566479</v>
      </c>
      <c r="AR248" s="19">
        <v>6.0546344789815834</v>
      </c>
      <c r="AS248" s="19">
        <v>4.7099729138049042</v>
      </c>
      <c r="AT248" s="19">
        <v>3.79627166202512</v>
      </c>
      <c r="AU248" s="19">
        <v>1.3225571482894622</v>
      </c>
      <c r="AV248" s="19">
        <v>4.7023995328524109</v>
      </c>
      <c r="AW248" s="19">
        <v>6.2357907222264686</v>
      </c>
      <c r="AX248" s="19">
        <v>3.4865455430439027</v>
      </c>
      <c r="AY248" s="19">
        <v>5.2440998324691606</v>
      </c>
      <c r="AZ248" s="19">
        <v>6.7095209745355362</v>
      </c>
      <c r="BA248" s="19">
        <v>4.2377814750281857</v>
      </c>
      <c r="BB248" s="19">
        <v>3.043450123715516</v>
      </c>
      <c r="BC248" s="19">
        <v>2.9711327506651202</v>
      </c>
      <c r="BD248" s="19">
        <v>-2.046633895356436</v>
      </c>
      <c r="BE248" s="19">
        <v>4.216677115356319</v>
      </c>
      <c r="BF248" s="19">
        <v>2.4299309644642904</v>
      </c>
      <c r="BG248" s="19">
        <v>3.0903280307077523</v>
      </c>
      <c r="BH248" s="19">
        <v>0.96749690525210497</v>
      </c>
      <c r="BI248" s="19">
        <v>1.1180151889712988</v>
      </c>
      <c r="BJ248" s="19">
        <v>2.2443450873290232</v>
      </c>
      <c r="BK248" s="19">
        <v>2.5903666365085627</v>
      </c>
      <c r="BL248" s="19">
        <v>1.5034278575103173</v>
      </c>
      <c r="BM248" s="19">
        <v>-8.6211354868071339</v>
      </c>
      <c r="BN248" s="19">
        <v>4.3227763565979274</v>
      </c>
    </row>
    <row r="249" spans="1:66" x14ac:dyDescent="0.2">
      <c r="A249" s="19" t="s">
        <v>772</v>
      </c>
      <c r="B249" s="19" t="s">
        <v>1107</v>
      </c>
      <c r="C249" s="19" t="s">
        <v>863</v>
      </c>
      <c r="D249" s="19" t="s">
        <v>864</v>
      </c>
      <c r="F249" s="19">
        <v>1.1560693853969894</v>
      </c>
      <c r="G249" s="19">
        <v>5.5714285818048381</v>
      </c>
      <c r="H249" s="19">
        <v>9.0663055524087497</v>
      </c>
      <c r="I249" s="19">
        <v>5.4590567983809706</v>
      </c>
      <c r="J249" s="19">
        <v>2.8235295434383687</v>
      </c>
      <c r="K249" s="19">
        <v>11.212815035351383</v>
      </c>
      <c r="L249" s="19">
        <v>4.732510243937412</v>
      </c>
      <c r="M249" s="19">
        <v>6.777996010381159</v>
      </c>
      <c r="N249" s="19">
        <v>4.0811456208947021</v>
      </c>
      <c r="O249" s="19">
        <v>3.2335089729325972</v>
      </c>
      <c r="P249" s="19">
        <v>5.5666945005878858</v>
      </c>
      <c r="Q249" s="19">
        <v>7.4257883256424293</v>
      </c>
      <c r="R249" s="19">
        <v>3.2623345184051118</v>
      </c>
      <c r="S249" s="19">
        <v>5.5944744026933648</v>
      </c>
      <c r="T249" s="19">
        <v>7.1741126897710643</v>
      </c>
      <c r="U249" s="19">
        <v>10.461179556323842</v>
      </c>
      <c r="V249" s="19">
        <v>3.4066698044915569</v>
      </c>
      <c r="W249" s="19">
        <v>1.5029330112232913</v>
      </c>
      <c r="X249" s="19">
        <v>-0.62411357022288882</v>
      </c>
      <c r="Y249" s="19">
        <v>-2.4473504258015595</v>
      </c>
      <c r="Z249" s="19">
        <v>4.8566487665203937</v>
      </c>
      <c r="AA249" s="19">
        <v>3.563227812183456</v>
      </c>
      <c r="AB249" s="19">
        <v>4.97108077727097</v>
      </c>
      <c r="AC249" s="19">
        <v>6.7120157120600794</v>
      </c>
      <c r="AD249" s="19">
        <v>4.2413357163994476</v>
      </c>
      <c r="AE249" s="19">
        <v>7.0120311105439868</v>
      </c>
      <c r="AF249" s="19">
        <v>9.4855388424673066</v>
      </c>
      <c r="AG249" s="19">
        <v>2.3207367939483987</v>
      </c>
      <c r="AH249" s="19">
        <v>0.29024406877960018</v>
      </c>
      <c r="AI249" s="19">
        <v>9.2661466714932317</v>
      </c>
      <c r="AJ249" s="19">
        <v>0.72027903561004791</v>
      </c>
      <c r="AK249" s="19">
        <v>5.0356349389680304</v>
      </c>
      <c r="AL249" s="19">
        <v>7.6512652030150861</v>
      </c>
      <c r="AM249" s="19">
        <v>-4.6681473639483784</v>
      </c>
      <c r="AN249" s="19">
        <v>7.8782668761899117</v>
      </c>
      <c r="AO249" s="19">
        <v>7.3796644737568613</v>
      </c>
      <c r="AP249" s="19">
        <v>7.5776636440760825</v>
      </c>
      <c r="AQ249" s="19">
        <v>2.4041502568693716</v>
      </c>
      <c r="AR249" s="19">
        <v>-3.2631684059710437</v>
      </c>
      <c r="AS249" s="19">
        <v>6.9332397045590426</v>
      </c>
      <c r="AT249" s="19">
        <v>-5.7500065546425674</v>
      </c>
      <c r="AU249" s="19">
        <v>6.4477220468159402</v>
      </c>
      <c r="AV249" s="19">
        <v>5.7632060665471414</v>
      </c>
      <c r="AW249" s="19">
        <v>9.7959363892028222</v>
      </c>
      <c r="AX249" s="19">
        <v>8.992304936265171</v>
      </c>
      <c r="AY249" s="19">
        <v>6.9479880857199277</v>
      </c>
      <c r="AZ249" s="19">
        <v>5.0435079315710425</v>
      </c>
      <c r="BA249" s="19">
        <v>0.81502457300770459</v>
      </c>
      <c r="BB249" s="19">
        <v>-4.8231539530176946</v>
      </c>
      <c r="BC249" s="19">
        <v>8.427104322761906</v>
      </c>
      <c r="BD249" s="19">
        <v>11.200110583350352</v>
      </c>
      <c r="BE249" s="19">
        <v>4.7884927110800817</v>
      </c>
      <c r="BF249" s="19">
        <v>8.4858169965302608</v>
      </c>
      <c r="BG249" s="19">
        <v>4.9397151613657968</v>
      </c>
      <c r="BH249" s="19">
        <v>6.0844869044366305</v>
      </c>
      <c r="BI249" s="19">
        <v>3.323084208457459</v>
      </c>
      <c r="BJ249" s="19">
        <v>7.5019974891749115</v>
      </c>
      <c r="BK249" s="19">
        <v>2.9798852581302242</v>
      </c>
      <c r="BL249" s="19">
        <v>0.78361019838455093</v>
      </c>
      <c r="BM249" s="19">
        <v>1.940032245490201</v>
      </c>
      <c r="BN249" s="19">
        <v>11.353496408077163</v>
      </c>
    </row>
    <row r="250" spans="1:66" x14ac:dyDescent="0.2">
      <c r="A250" s="19" t="s">
        <v>773</v>
      </c>
      <c r="B250" s="19" t="s">
        <v>1108</v>
      </c>
      <c r="C250" s="19" t="s">
        <v>863</v>
      </c>
      <c r="D250" s="19" t="s">
        <v>864</v>
      </c>
      <c r="AJ250" s="19">
        <v>3.6091649849598042</v>
      </c>
      <c r="AK250" s="19">
        <v>2.7888665836729274</v>
      </c>
      <c r="AL250" s="19">
        <v>4.1106910143993645</v>
      </c>
      <c r="AM250" s="19">
        <v>10.283487010422718</v>
      </c>
      <c r="AN250" s="19">
        <v>-5.0044373170579917</v>
      </c>
      <c r="AO250" s="19">
        <v>-5.9613611685891215</v>
      </c>
      <c r="AP250" s="19">
        <v>10.003224316575682</v>
      </c>
      <c r="AQ250" s="19">
        <v>15.501219975917351</v>
      </c>
      <c r="AR250" s="19">
        <v>-1.5637913710266957</v>
      </c>
      <c r="AS250" s="19">
        <v>-0.97059981396256489</v>
      </c>
      <c r="AT250" s="19">
        <v>0</v>
      </c>
      <c r="AU250" s="19">
        <v>9.5238095238095326</v>
      </c>
      <c r="AV250" s="19">
        <v>-4.3478260869565162</v>
      </c>
      <c r="AW250" s="19">
        <v>-2.2727272727272663</v>
      </c>
      <c r="AX250" s="19">
        <v>-4.6511627906976685</v>
      </c>
      <c r="AY250" s="19">
        <v>2.4390243902439011</v>
      </c>
      <c r="AZ250" s="19">
        <v>7.1428571428571388</v>
      </c>
      <c r="BA250" s="19">
        <v>6.6666666666666714</v>
      </c>
      <c r="BB250" s="19">
        <v>-6.25</v>
      </c>
      <c r="BC250" s="19">
        <v>-2.2222222222222285</v>
      </c>
      <c r="BD250" s="19">
        <v>6.818181818181813</v>
      </c>
      <c r="BE250" s="19">
        <v>-2.1276595744680833</v>
      </c>
      <c r="BF250" s="19">
        <v>4.3478260869565162</v>
      </c>
      <c r="BG250" s="19">
        <v>0</v>
      </c>
      <c r="BH250" s="19">
        <v>10.416666666666671</v>
      </c>
      <c r="BI250" s="19">
        <v>5.6603773584905639</v>
      </c>
      <c r="BJ250" s="19">
        <v>1.7857142857142776</v>
      </c>
      <c r="BK250" s="19">
        <v>1.7543859649122879</v>
      </c>
      <c r="BL250" s="19">
        <v>13.793103448275872</v>
      </c>
      <c r="BM250" s="19">
        <v>1.5151515151515156</v>
      </c>
      <c r="BN250" s="19">
        <v>2.985074626865682</v>
      </c>
    </row>
    <row r="251" spans="1:66" x14ac:dyDescent="0.2">
      <c r="A251" s="19" t="s">
        <v>774</v>
      </c>
      <c r="B251" s="19" t="s">
        <v>1109</v>
      </c>
      <c r="C251" s="19" t="s">
        <v>863</v>
      </c>
      <c r="D251" s="19" t="s">
        <v>864</v>
      </c>
      <c r="AH251" s="19">
        <v>3.7644434090616983</v>
      </c>
      <c r="AI251" s="19">
        <v>7.0450716420538555</v>
      </c>
      <c r="AJ251" s="19">
        <v>2.071988211922033</v>
      </c>
      <c r="AK251" s="19">
        <v>0.58432213408326561</v>
      </c>
      <c r="AL251" s="19">
        <v>1.2058008083940308</v>
      </c>
      <c r="AM251" s="19">
        <v>1.567661765625644</v>
      </c>
      <c r="AN251" s="19">
        <v>3.5699118684430005</v>
      </c>
      <c r="AO251" s="19">
        <v>4.544366801874375</v>
      </c>
      <c r="AP251" s="19">
        <v>3.5252781913522426</v>
      </c>
      <c r="AQ251" s="19">
        <v>3.7085115960772299</v>
      </c>
      <c r="AR251" s="19">
        <v>4.8638637551705131</v>
      </c>
      <c r="AS251" s="19">
        <v>4.5207846348832135</v>
      </c>
      <c r="AT251" s="19">
        <v>6.0708082884781618</v>
      </c>
      <c r="AU251" s="19">
        <v>7.0931949835368613</v>
      </c>
      <c r="AV251" s="19">
        <v>6.6727898290831433</v>
      </c>
      <c r="AW251" s="19">
        <v>7.5038146604771612</v>
      </c>
      <c r="AX251" s="19">
        <v>7.4763192578229223</v>
      </c>
      <c r="AY251" s="19">
        <v>6.5322213903017001</v>
      </c>
      <c r="AZ251" s="19">
        <v>6.7685352018066283</v>
      </c>
      <c r="BA251" s="19">
        <v>5.6864168597641935</v>
      </c>
      <c r="BB251" s="19">
        <v>5.2691052479185316</v>
      </c>
      <c r="BC251" s="19">
        <v>6.336523427474944</v>
      </c>
      <c r="BD251" s="19">
        <v>7.6721554349938401</v>
      </c>
      <c r="BE251" s="19">
        <v>4.500153559821257</v>
      </c>
      <c r="BF251" s="19">
        <v>6.781585600653159</v>
      </c>
      <c r="BG251" s="19">
        <v>6.7324618683248332</v>
      </c>
      <c r="BH251" s="19">
        <v>6.1606287740668222</v>
      </c>
      <c r="BI251" s="19">
        <v>6.8671161964455081</v>
      </c>
      <c r="BJ251" s="19">
        <v>6.7856801140519849</v>
      </c>
      <c r="BK251" s="19">
        <v>5.4449676008757137</v>
      </c>
      <c r="BL251" s="19">
        <v>5.7999999770991479</v>
      </c>
      <c r="BM251" s="19">
        <v>1.9963435062770145</v>
      </c>
      <c r="BN251" s="19">
        <v>4.2790845417621313</v>
      </c>
    </row>
    <row r="252" spans="1:66" x14ac:dyDescent="0.2">
      <c r="A252" s="19" t="s">
        <v>775</v>
      </c>
      <c r="B252" s="19" t="s">
        <v>1110</v>
      </c>
      <c r="C252" s="19" t="s">
        <v>863</v>
      </c>
      <c r="D252" s="19" t="s">
        <v>864</v>
      </c>
      <c r="AB252" s="19">
        <v>5.7445577130793737</v>
      </c>
      <c r="AC252" s="19">
        <v>-0.34467668015847153</v>
      </c>
      <c r="AD252" s="19">
        <v>-3.3063800067749298</v>
      </c>
      <c r="AE252" s="19">
        <v>0.39008694306272673</v>
      </c>
      <c r="AF252" s="19">
        <v>3.9619027894613197</v>
      </c>
      <c r="AG252" s="19">
        <v>8.2670735457780467</v>
      </c>
      <c r="AH252" s="19">
        <v>6.3619412439543765</v>
      </c>
      <c r="AI252" s="19">
        <v>6.474140152555961</v>
      </c>
      <c r="AJ252" s="19">
        <v>5.5540954960718381</v>
      </c>
      <c r="AK252" s="19">
        <v>3.4183568913604319</v>
      </c>
      <c r="AL252" s="19">
        <v>8.3262925204893321</v>
      </c>
      <c r="AM252" s="19">
        <v>6.4036357430931474</v>
      </c>
      <c r="AN252" s="19">
        <v>11.523243808615419</v>
      </c>
      <c r="AO252" s="19">
        <v>9.0721145816977469</v>
      </c>
      <c r="AP252" s="19">
        <v>5.1000018634161108</v>
      </c>
      <c r="AQ252" s="19">
        <v>4.9052654842222267</v>
      </c>
      <c r="AR252" s="19">
        <v>8.0539483764069644</v>
      </c>
      <c r="AS252" s="19">
        <v>3.1419073385019516</v>
      </c>
      <c r="AT252" s="19">
        <v>5.1836611262765899</v>
      </c>
      <c r="AU252" s="19">
        <v>8.7326857638775834</v>
      </c>
      <c r="AV252" s="19">
        <v>6.4732586714496279</v>
      </c>
      <c r="AW252" s="19">
        <v>6.8072333442984956</v>
      </c>
      <c r="AX252" s="19">
        <v>6.3325651162187171</v>
      </c>
      <c r="AY252" s="19">
        <v>10.78474438629722</v>
      </c>
      <c r="AZ252" s="19">
        <v>8.4124259654527549</v>
      </c>
      <c r="BA252" s="19">
        <v>8.7087519013307428</v>
      </c>
      <c r="BB252" s="19">
        <v>6.801517347989531</v>
      </c>
      <c r="BC252" s="19">
        <v>5.6376116380526469</v>
      </c>
      <c r="BD252" s="19">
        <v>9.3916554928106706</v>
      </c>
      <c r="BE252" s="19">
        <v>3.8374556059156788</v>
      </c>
      <c r="BF252" s="19">
        <v>3.5869058263320142</v>
      </c>
      <c r="BG252" s="19">
        <v>5.1063073243846446</v>
      </c>
      <c r="BH252" s="19">
        <v>5.1878598624609822</v>
      </c>
      <c r="BI252" s="19">
        <v>4.7810002914633287</v>
      </c>
      <c r="BJ252" s="19">
        <v>3.1314055178774254</v>
      </c>
      <c r="BK252" s="19">
        <v>6.3039237808841193</v>
      </c>
      <c r="BL252" s="19">
        <v>6.4387450336479901</v>
      </c>
      <c r="BM252" s="19">
        <v>2.9513064215940688</v>
      </c>
      <c r="BN252" s="19">
        <v>3.53658034070898</v>
      </c>
    </row>
    <row r="253" spans="1:66" x14ac:dyDescent="0.2">
      <c r="A253" s="19" t="s">
        <v>776</v>
      </c>
      <c r="B253" s="19" t="s">
        <v>1111</v>
      </c>
      <c r="C253" s="19" t="s">
        <v>863</v>
      </c>
      <c r="D253" s="19" t="s">
        <v>864</v>
      </c>
      <c r="AG253" s="19">
        <v>2.566463269603787</v>
      </c>
      <c r="AH253" s="19">
        <v>3.8731032116234445</v>
      </c>
      <c r="AI253" s="19">
        <v>-6.3452351283116286</v>
      </c>
      <c r="AJ253" s="19">
        <v>-8.699999999721598</v>
      </c>
      <c r="AK253" s="19">
        <v>-9.9000000020416792</v>
      </c>
      <c r="AL253" s="19">
        <v>-14.199999999364337</v>
      </c>
      <c r="AM253" s="19">
        <v>-22.899999999228271</v>
      </c>
      <c r="AN253" s="19">
        <v>-12.20000000073847</v>
      </c>
      <c r="AO253" s="19">
        <v>-10</v>
      </c>
      <c r="AP253" s="19">
        <v>-2.9999999984236467</v>
      </c>
      <c r="AQ253" s="19">
        <v>-1.9000000021416383</v>
      </c>
      <c r="AR253" s="19">
        <v>-0.20000000010649899</v>
      </c>
      <c r="AS253" s="19">
        <v>5.9000000002489941</v>
      </c>
      <c r="AT253" s="19">
        <v>8.8000000036722241</v>
      </c>
      <c r="AU253" s="19">
        <v>5.339647207190751</v>
      </c>
      <c r="AV253" s="19">
        <v>9.5166098643636445</v>
      </c>
      <c r="AW253" s="19">
        <v>11.795352528113611</v>
      </c>
      <c r="AX253" s="19">
        <v>3.0712303924520938</v>
      </c>
      <c r="AY253" s="19">
        <v>7.5714207632296677</v>
      </c>
      <c r="AZ253" s="19">
        <v>8.2158444516571478</v>
      </c>
      <c r="BA253" s="19">
        <v>2.2434915962828796</v>
      </c>
      <c r="BB253" s="19">
        <v>-15.136467910150159</v>
      </c>
      <c r="BC253" s="19">
        <v>4.0920043666808681</v>
      </c>
      <c r="BD253" s="19">
        <v>5.4452808104847605</v>
      </c>
      <c r="BE253" s="19">
        <v>0.15231496720065252</v>
      </c>
      <c r="BF253" s="19">
        <v>4.5439094492707E-2</v>
      </c>
      <c r="BG253" s="19">
        <v>-10.078894984095271</v>
      </c>
      <c r="BH253" s="19">
        <v>-9.772987212867605</v>
      </c>
      <c r="BI253" s="19">
        <v>2.4409819449206651</v>
      </c>
      <c r="BJ253" s="19">
        <v>2.35997228099491</v>
      </c>
      <c r="BK253" s="19">
        <v>3.4883623402265869</v>
      </c>
      <c r="BL253" s="19">
        <v>3.199503863541338</v>
      </c>
      <c r="BM253" s="19">
        <v>-3.7528040999494863</v>
      </c>
      <c r="BN253" s="19">
        <v>3.4000000000000057</v>
      </c>
    </row>
    <row r="254" spans="1:66" x14ac:dyDescent="0.2">
      <c r="A254" s="19" t="s">
        <v>777</v>
      </c>
      <c r="B254" s="19" t="s">
        <v>1112</v>
      </c>
      <c r="C254" s="19" t="s">
        <v>863</v>
      </c>
      <c r="D254" s="19" t="s">
        <v>864</v>
      </c>
      <c r="F254" s="19">
        <v>-0.20271515632323656</v>
      </c>
      <c r="G254" s="19">
        <v>3.3197949531522397</v>
      </c>
      <c r="H254" s="19">
        <v>3.8512075894961555</v>
      </c>
      <c r="I254" s="19">
        <v>8.7522207785768416</v>
      </c>
      <c r="J254" s="19">
        <v>7.2128133276484476</v>
      </c>
      <c r="K254" s="19">
        <v>6.1837769210587084</v>
      </c>
      <c r="L254" s="19">
        <v>3.2031874827692661</v>
      </c>
      <c r="M254" s="19">
        <v>5.5419872049629078</v>
      </c>
      <c r="N254" s="19">
        <v>7.8090775696635859</v>
      </c>
      <c r="O254" s="19">
        <v>8.3289319128816146</v>
      </c>
      <c r="P254" s="19">
        <v>6.7395698727295184</v>
      </c>
      <c r="Q254" s="19">
        <v>6.6281101968556726</v>
      </c>
      <c r="R254" s="19">
        <v>7.9863135611516469</v>
      </c>
      <c r="S254" s="19">
        <v>6.0803046641996161</v>
      </c>
      <c r="T254" s="19">
        <v>5.0171854009521297</v>
      </c>
      <c r="U254" s="19">
        <v>4.9988093690040785</v>
      </c>
      <c r="V254" s="19">
        <v>4.7841738495513937</v>
      </c>
      <c r="W254" s="19">
        <v>5.2009578089118804</v>
      </c>
      <c r="X254" s="19">
        <v>6.9334903889588588</v>
      </c>
      <c r="Y254" s="19">
        <v>6.5963553266206816</v>
      </c>
      <c r="Z254" s="19">
        <v>2.1869049333067778</v>
      </c>
      <c r="AA254" s="19">
        <v>2.0332186971523214</v>
      </c>
      <c r="AB254" s="19">
        <v>0.97740844254308001</v>
      </c>
      <c r="AC254" s="19">
        <v>6.2424525334109831</v>
      </c>
      <c r="AD254" s="19">
        <v>4.9831699528565707</v>
      </c>
      <c r="AE254" s="19">
        <v>4.859574589757031</v>
      </c>
      <c r="AF254" s="19">
        <v>5.569574312084896</v>
      </c>
      <c r="AG254" s="19">
        <v>3.8582437741989253</v>
      </c>
      <c r="AH254" s="19">
        <v>2.391561853068751</v>
      </c>
      <c r="AI254" s="19">
        <v>1.0194204704701662</v>
      </c>
      <c r="AJ254" s="19">
        <v>1.1112859727427491</v>
      </c>
      <c r="AK254" s="19">
        <v>1.1351230032956607</v>
      </c>
      <c r="AL254" s="19">
        <v>4.244618092211411</v>
      </c>
      <c r="AM254" s="19">
        <v>3.7583369141445928</v>
      </c>
      <c r="AN254" s="19">
        <v>3.5303248954511162</v>
      </c>
      <c r="AO254" s="19">
        <v>5.2739418665811257</v>
      </c>
      <c r="AP254" s="19">
        <v>5.8493234704905603</v>
      </c>
      <c r="AQ254" s="19">
        <v>3.0761554347747762</v>
      </c>
      <c r="AR254" s="19">
        <v>3.6699046443515329</v>
      </c>
      <c r="AS254" s="19">
        <v>6.4361069437311187</v>
      </c>
      <c r="AT254" s="19">
        <v>3.6148898861510901</v>
      </c>
      <c r="AU254" s="19">
        <v>4.7429815356424285</v>
      </c>
      <c r="AV254" s="19">
        <v>5.9914202740952334</v>
      </c>
      <c r="AW254" s="19">
        <v>8.1372730992565323</v>
      </c>
      <c r="AX254" s="19">
        <v>7.745600258776463</v>
      </c>
      <c r="AY254" s="19">
        <v>8.8956681485333746</v>
      </c>
      <c r="AZ254" s="19">
        <v>9.6451612874945454</v>
      </c>
      <c r="BA254" s="19">
        <v>6.4820655533235367</v>
      </c>
      <c r="BB254" s="19">
        <v>2.7071853176604037</v>
      </c>
      <c r="BC254" s="19">
        <v>8.4198688242556727</v>
      </c>
      <c r="BD254" s="19">
        <v>6.9222531952453608</v>
      </c>
      <c r="BE254" s="19">
        <v>5.9179713175629161</v>
      </c>
      <c r="BF254" s="19">
        <v>5.5757351751434072</v>
      </c>
      <c r="BG254" s="19">
        <v>4.7240061151630357</v>
      </c>
      <c r="BH254" s="19">
        <v>4.305385276843765</v>
      </c>
      <c r="BI254" s="19">
        <v>4.230169356227421</v>
      </c>
      <c r="BJ254" s="19">
        <v>5.231483154522067</v>
      </c>
      <c r="BK254" s="19">
        <v>4.9429011042330302</v>
      </c>
      <c r="BL254" s="19">
        <v>4.0919744132585976</v>
      </c>
      <c r="BM254" s="19">
        <v>-0.57850126074619368</v>
      </c>
      <c r="BN254" s="19">
        <v>7.4021227003216552</v>
      </c>
    </row>
    <row r="255" spans="1:66" x14ac:dyDescent="0.2">
      <c r="A255" s="19" t="s">
        <v>778</v>
      </c>
      <c r="B255" s="19" t="s">
        <v>1113</v>
      </c>
      <c r="C255" s="19" t="s">
        <v>863</v>
      </c>
      <c r="D255" s="19" t="s">
        <v>864</v>
      </c>
      <c r="F255" s="19">
        <v>2.4930379180568423</v>
      </c>
      <c r="G255" s="19">
        <v>-1.5745488500242146</v>
      </c>
      <c r="H255" s="19">
        <v>0.17045885573479325</v>
      </c>
      <c r="I255" s="19">
        <v>2.4405207789358343</v>
      </c>
      <c r="J255" s="19">
        <v>1.0456040543126051</v>
      </c>
      <c r="K255" s="19">
        <v>3.0628559349364224</v>
      </c>
      <c r="L255" s="19">
        <v>-3.6568341128165258</v>
      </c>
      <c r="M255" s="19">
        <v>1.8889117447274515</v>
      </c>
      <c r="N255" s="19">
        <v>5.8647406331107987</v>
      </c>
      <c r="O255" s="19">
        <v>2.3332133807452351</v>
      </c>
      <c r="P255" s="19">
        <v>-0.25171153103019606</v>
      </c>
      <c r="Q255" s="19">
        <v>-1.3195698616393088</v>
      </c>
      <c r="R255" s="19">
        <v>0.27519961741681698</v>
      </c>
      <c r="S255" s="19">
        <v>2.8953445983487285</v>
      </c>
      <c r="T255" s="19">
        <v>6.0969143129893126</v>
      </c>
      <c r="U255" s="19">
        <v>3.9354701753627523</v>
      </c>
      <c r="V255" s="19">
        <v>1.4554611784725466</v>
      </c>
      <c r="W255" s="19">
        <v>5.3739853476764807</v>
      </c>
      <c r="X255" s="19">
        <v>6.1991167323612046</v>
      </c>
      <c r="Y255" s="19">
        <v>5.8434009011346149</v>
      </c>
      <c r="Z255" s="19">
        <v>1.5595598293749475</v>
      </c>
      <c r="AA255" s="19">
        <v>-9.7578714608850419</v>
      </c>
      <c r="AB255" s="19">
        <v>-10.274399195032018</v>
      </c>
      <c r="AC255" s="19">
        <v>-1.1426174497519952</v>
      </c>
      <c r="AD255" s="19">
        <v>1.4665360288728095</v>
      </c>
      <c r="AE255" s="19">
        <v>8.8098082946938376</v>
      </c>
      <c r="AF255" s="19">
        <v>7.9931372051043752</v>
      </c>
      <c r="AG255" s="19">
        <v>1.48093746177193</v>
      </c>
      <c r="AH255" s="19">
        <v>1.1039010238152969</v>
      </c>
      <c r="AI255" s="19">
        <v>0.29734837868156205</v>
      </c>
      <c r="AJ255" s="19">
        <v>3.538808504513085</v>
      </c>
      <c r="AK255" s="19">
        <v>7.9315884139544295</v>
      </c>
      <c r="AL255" s="19">
        <v>2.6575461069854498</v>
      </c>
      <c r="AM255" s="19">
        <v>7.2813426441012723</v>
      </c>
      <c r="AN255" s="19">
        <v>-1.447598968944078</v>
      </c>
      <c r="AO255" s="19">
        <v>5.5779577638586773</v>
      </c>
      <c r="AP255" s="19">
        <v>8.5476832011159587</v>
      </c>
      <c r="AQ255" s="19">
        <v>4.518890096790912</v>
      </c>
      <c r="AR255" s="19">
        <v>-1.9392121536065758</v>
      </c>
      <c r="AS255" s="19">
        <v>-1.9299306377203465</v>
      </c>
      <c r="AT255" s="19">
        <v>-3.8441299493225074</v>
      </c>
      <c r="AU255" s="19">
        <v>-7.7320072059307421</v>
      </c>
      <c r="AV255" s="19">
        <v>0.80528391523932896</v>
      </c>
      <c r="AW255" s="19">
        <v>5.0041603342368575</v>
      </c>
      <c r="AX255" s="19">
        <v>7.4601321377591319</v>
      </c>
      <c r="AY255" s="19">
        <v>4.0985773641570233</v>
      </c>
      <c r="AZ255" s="19">
        <v>6.541510841689842</v>
      </c>
      <c r="BA255" s="19">
        <v>7.1761446678717817</v>
      </c>
      <c r="BB255" s="19">
        <v>4.2434941753021036</v>
      </c>
      <c r="BC255" s="19">
        <v>7.8034096656469245</v>
      </c>
      <c r="BD255" s="19">
        <v>5.1621330293569088</v>
      </c>
      <c r="BE255" s="19">
        <v>3.5381787065877006</v>
      </c>
      <c r="BF255" s="19">
        <v>4.6375386412851043</v>
      </c>
      <c r="BG255" s="19">
        <v>3.2387912174465612</v>
      </c>
      <c r="BH255" s="19">
        <v>0.37074126500149873</v>
      </c>
      <c r="BI255" s="19">
        <v>1.6897981642922844</v>
      </c>
      <c r="BJ255" s="19">
        <v>1.6277539732249409</v>
      </c>
      <c r="BK255" s="19">
        <v>0.47790718389906317</v>
      </c>
      <c r="BL255" s="19">
        <v>0.3504471530861224</v>
      </c>
      <c r="BM255" s="19">
        <v>-6.1214762799900058</v>
      </c>
      <c r="BN255" s="19">
        <v>4.3670093164499093</v>
      </c>
    </row>
    <row r="256" spans="1:66" x14ac:dyDescent="0.2">
      <c r="A256" s="19" t="s">
        <v>779</v>
      </c>
      <c r="B256" s="19" t="s">
        <v>1114</v>
      </c>
      <c r="C256" s="19" t="s">
        <v>863</v>
      </c>
      <c r="D256" s="19" t="s">
        <v>864</v>
      </c>
      <c r="F256" s="19">
        <v>2.2999999999996845</v>
      </c>
      <c r="G256" s="19">
        <v>6.1000000000001222</v>
      </c>
      <c r="H256" s="19">
        <v>4.3999999999999204</v>
      </c>
      <c r="I256" s="19">
        <v>5.8000000000002956</v>
      </c>
      <c r="J256" s="19">
        <v>6.3999999999997641</v>
      </c>
      <c r="K256" s="19">
        <v>6.5000000000002842</v>
      </c>
      <c r="L256" s="19">
        <v>2.5000000000000284</v>
      </c>
      <c r="M256" s="19">
        <v>4.799999999999585</v>
      </c>
      <c r="N256" s="19">
        <v>3.0999999999999943</v>
      </c>
      <c r="O256" s="19">
        <v>-0.28349126321482743</v>
      </c>
      <c r="P256" s="19">
        <v>3.2933516392178461</v>
      </c>
      <c r="Q256" s="19">
        <v>5.2589073570513278</v>
      </c>
      <c r="R256" s="19">
        <v>5.6457225561830029</v>
      </c>
      <c r="S256" s="19">
        <v>-0.5405516515831863</v>
      </c>
      <c r="T256" s="19">
        <v>-0.20545606501300995</v>
      </c>
      <c r="U256" s="19">
        <v>5.3881392872629448</v>
      </c>
      <c r="V256" s="19">
        <v>4.6241530648236733</v>
      </c>
      <c r="W256" s="19">
        <v>5.5353049583976883</v>
      </c>
      <c r="X256" s="19">
        <v>3.1661453077800275</v>
      </c>
      <c r="Y256" s="19">
        <v>-0.25674967387315917</v>
      </c>
      <c r="Z256" s="19">
        <v>2.5377193071482793</v>
      </c>
      <c r="AA256" s="19">
        <v>-1.8028874088510918</v>
      </c>
      <c r="AB256" s="19">
        <v>4.5839133553016893</v>
      </c>
      <c r="AC256" s="19">
        <v>7.2366331501862078</v>
      </c>
      <c r="AD256" s="19">
        <v>4.169656223377288</v>
      </c>
      <c r="AE256" s="19">
        <v>3.4626459710687953</v>
      </c>
      <c r="AF256" s="19">
        <v>3.4592519897330192</v>
      </c>
      <c r="AG256" s="19">
        <v>4.1770612914040015</v>
      </c>
      <c r="AH256" s="19">
        <v>3.6726481495078787</v>
      </c>
      <c r="AI256" s="19">
        <v>1.8859649566803256</v>
      </c>
      <c r="AJ256" s="19">
        <v>-0.10826479085554297</v>
      </c>
      <c r="AK256" s="19">
        <v>3.5224405274050241</v>
      </c>
      <c r="AL256" s="19">
        <v>2.7517810509664287</v>
      </c>
      <c r="AM256" s="19">
        <v>4.028793259919027</v>
      </c>
      <c r="AN256" s="19">
        <v>2.6842172720778592</v>
      </c>
      <c r="AO256" s="19">
        <v>3.7725654992141386</v>
      </c>
      <c r="AP256" s="19">
        <v>4.4471749452452514</v>
      </c>
      <c r="AQ256" s="19">
        <v>4.4813944315531558</v>
      </c>
      <c r="AR256" s="19">
        <v>4.7944990446750779</v>
      </c>
      <c r="AS256" s="19">
        <v>4.0771594794161814</v>
      </c>
      <c r="AT256" s="19">
        <v>0.95433872870837888</v>
      </c>
      <c r="AU256" s="19">
        <v>1.6959429227495662</v>
      </c>
      <c r="AV256" s="19">
        <v>2.7962091006717031</v>
      </c>
      <c r="AW256" s="19">
        <v>3.8525526006435058</v>
      </c>
      <c r="AX256" s="19">
        <v>3.4832203202525847</v>
      </c>
      <c r="AY256" s="19">
        <v>2.7828106258432683</v>
      </c>
      <c r="AZ256" s="19">
        <v>2.0105075516332818</v>
      </c>
      <c r="BA256" s="19">
        <v>0.1221884429746467</v>
      </c>
      <c r="BB256" s="19">
        <v>-2.5998883510855819</v>
      </c>
      <c r="BC256" s="19">
        <v>2.7088566941968111</v>
      </c>
      <c r="BD256" s="19">
        <v>1.5498949501704544</v>
      </c>
      <c r="BE256" s="19">
        <v>2.2806876031918506</v>
      </c>
      <c r="BF256" s="19">
        <v>1.8418753951868752</v>
      </c>
      <c r="BG256" s="19">
        <v>2.2877759325535862</v>
      </c>
      <c r="BH256" s="19">
        <v>2.7063695817639939</v>
      </c>
      <c r="BI256" s="19">
        <v>1.667472075961868</v>
      </c>
      <c r="BJ256" s="19">
        <v>2.2419212159774844</v>
      </c>
      <c r="BK256" s="19">
        <v>2.9453848312678019</v>
      </c>
      <c r="BL256" s="19">
        <v>2.2944390776931129</v>
      </c>
      <c r="BM256" s="19">
        <v>-2.767802511405776</v>
      </c>
      <c r="BN256" s="19">
        <v>5.9454847612217208</v>
      </c>
    </row>
    <row r="257" spans="1:66" x14ac:dyDescent="0.2">
      <c r="A257" s="19" t="s">
        <v>780</v>
      </c>
      <c r="B257" s="19" t="s">
        <v>1115</v>
      </c>
      <c r="C257" s="19" t="s">
        <v>863</v>
      </c>
      <c r="D257" s="19" t="s">
        <v>864</v>
      </c>
      <c r="AG257" s="19">
        <v>9.1385822751578871</v>
      </c>
      <c r="AH257" s="19">
        <v>3.0912939730977769</v>
      </c>
      <c r="AI257" s="19">
        <v>1.6000000058370176</v>
      </c>
      <c r="AJ257" s="19">
        <v>-0.49200000444254499</v>
      </c>
      <c r="AK257" s="19">
        <v>-11.199999997476269</v>
      </c>
      <c r="AL257" s="19">
        <v>-2.3000000054644687</v>
      </c>
      <c r="AM257" s="19">
        <v>-5.1999999922613682</v>
      </c>
      <c r="AN257" s="19">
        <v>-0.90000000604574382</v>
      </c>
      <c r="AO257" s="19">
        <v>1.7000000036593121</v>
      </c>
      <c r="AP257" s="19">
        <v>5.1999999971312718</v>
      </c>
      <c r="AQ257" s="19">
        <v>4.3000000001967891</v>
      </c>
      <c r="AR257" s="19">
        <v>4.3000000028554837</v>
      </c>
      <c r="AS257" s="19">
        <v>3.8349999993379811</v>
      </c>
      <c r="AT257" s="19">
        <v>4.1638382499786957</v>
      </c>
      <c r="AU257" s="19">
        <v>3.9734881923478866</v>
      </c>
      <c r="AV257" s="19">
        <v>4.2326273815340727</v>
      </c>
      <c r="AW257" s="19">
        <v>7.449000605146324</v>
      </c>
      <c r="AX257" s="19">
        <v>6.95000719671512</v>
      </c>
      <c r="AY257" s="19">
        <v>7.4514184757836119</v>
      </c>
      <c r="AZ257" s="19">
        <v>9.4730053048847083</v>
      </c>
      <c r="BA257" s="19">
        <v>9.0291610172199626</v>
      </c>
      <c r="BB257" s="19">
        <v>8.0509333282826105</v>
      </c>
      <c r="BC257" s="19">
        <v>7.5971679608549465</v>
      </c>
      <c r="BD257" s="19">
        <v>7.5251398942297669</v>
      </c>
      <c r="BE257" s="19">
        <v>7.1024448870631716</v>
      </c>
      <c r="BF257" s="19">
        <v>7.2965503696989913</v>
      </c>
      <c r="BG257" s="19">
        <v>6.8738384408163995</v>
      </c>
      <c r="BH257" s="19">
        <v>7.2187735082080309</v>
      </c>
      <c r="BI257" s="19">
        <v>5.932150799932927</v>
      </c>
      <c r="BJ257" s="19">
        <v>4.3952746334926331</v>
      </c>
      <c r="BK257" s="19">
        <v>5.3549968882164336</v>
      </c>
      <c r="BL257" s="19">
        <v>5.7096322218005469</v>
      </c>
      <c r="BM257" s="19">
        <v>1.886245258790197</v>
      </c>
      <c r="BN257" s="19">
        <v>7.4201102416275688</v>
      </c>
    </row>
    <row r="258" spans="1:66" x14ac:dyDescent="0.2">
      <c r="A258" s="19" t="s">
        <v>781</v>
      </c>
      <c r="B258" s="19" t="s">
        <v>1116</v>
      </c>
      <c r="C258" s="19" t="s">
        <v>863</v>
      </c>
      <c r="D258" s="19" t="s">
        <v>864</v>
      </c>
      <c r="F258" s="19">
        <v>4.5272832783310264</v>
      </c>
      <c r="G258" s="19">
        <v>3.694261800950585</v>
      </c>
      <c r="H258" s="19">
        <v>-6.2653385264846406</v>
      </c>
      <c r="I258" s="19">
        <v>3.6697255646114542</v>
      </c>
      <c r="J258" s="19">
        <v>0.88493506710317149</v>
      </c>
      <c r="K258" s="19">
        <v>0</v>
      </c>
      <c r="L258" s="19">
        <v>-9.5238134641396783</v>
      </c>
      <c r="M258" s="19">
        <v>6.5097058890779067</v>
      </c>
      <c r="N258" s="19">
        <v>2.8608449698002545</v>
      </c>
      <c r="O258" s="19">
        <v>10.745889553105229</v>
      </c>
      <c r="P258" s="19">
        <v>2.9680505843762859</v>
      </c>
      <c r="Q258" s="19">
        <v>25.831488942193758</v>
      </c>
      <c r="R258" s="19">
        <v>-11.101335049714081</v>
      </c>
      <c r="S258" s="19">
        <v>-8.8205915311867784</v>
      </c>
      <c r="T258" s="19">
        <v>-7.6087094348542337</v>
      </c>
      <c r="U258" s="19">
        <v>10.376820315912937</v>
      </c>
      <c r="V258" s="19">
        <v>13.22941109525442</v>
      </c>
      <c r="W258" s="19">
        <v>9.7774738935852099</v>
      </c>
      <c r="X258" s="19">
        <v>3.3822169375082467</v>
      </c>
      <c r="Y258" s="19">
        <v>2.442720219078069</v>
      </c>
      <c r="Z258" s="19">
        <v>4.6139040863971417</v>
      </c>
      <c r="AA258" s="19">
        <v>4.4768491703859326</v>
      </c>
      <c r="AB258" s="19">
        <v>2.1685961193543761</v>
      </c>
      <c r="AC258" s="19">
        <v>6.5863389722310899</v>
      </c>
      <c r="AD258" s="19">
        <v>6.1793462799646619</v>
      </c>
      <c r="AE258" s="19">
        <v>5.5997405307838051</v>
      </c>
      <c r="AF258" s="19">
        <v>0.43800494090939424</v>
      </c>
      <c r="AG258" s="19">
        <v>14.074694534189902</v>
      </c>
      <c r="AH258" s="19">
        <v>1.4056107880040116</v>
      </c>
      <c r="AI258" s="19">
        <v>4.149186828343062</v>
      </c>
      <c r="AJ258" s="19">
        <v>1.1355751883269818</v>
      </c>
      <c r="AK258" s="19">
        <v>6.3779406270829213</v>
      </c>
      <c r="AL258" s="19">
        <v>4.2507307739710285</v>
      </c>
      <c r="AM258" s="19">
        <v>-1.2476233644714796</v>
      </c>
      <c r="AN258" s="19">
        <v>7.7666502445524799</v>
      </c>
      <c r="AO258" s="19">
        <v>1.2879120031408888</v>
      </c>
      <c r="AP258" s="19">
        <v>3.5051508727062668</v>
      </c>
      <c r="AQ258" s="19">
        <v>4.0901949332585019</v>
      </c>
      <c r="AR258" s="19">
        <v>2.7103107128915553</v>
      </c>
      <c r="AS258" s="19">
        <v>1.6390319039446695</v>
      </c>
      <c r="AT258" s="19">
        <v>1.7482310202889835</v>
      </c>
      <c r="AU258" s="19">
        <v>5.342127074367184</v>
      </c>
      <c r="AV258" s="19">
        <v>6.6913366535279692</v>
      </c>
      <c r="AW258" s="19">
        <v>4.1146988044473716</v>
      </c>
      <c r="AX258" s="19">
        <v>2.4885573393813161</v>
      </c>
      <c r="AY258" s="19">
        <v>6.9969262675882504</v>
      </c>
      <c r="AZ258" s="19">
        <v>3.3229685982929027</v>
      </c>
      <c r="BA258" s="19">
        <v>0.40464080863888796</v>
      </c>
      <c r="BB258" s="19">
        <v>-1.3781936056056026</v>
      </c>
      <c r="BC258" s="19">
        <v>-4.4704679350780197</v>
      </c>
      <c r="BD258" s="19">
        <v>-0.60627665148327026</v>
      </c>
      <c r="BE258" s="19">
        <v>1.1691121837647813</v>
      </c>
      <c r="BF258" s="19">
        <v>2.4624841721544044</v>
      </c>
      <c r="BG258" s="19">
        <v>1.1457556951753389</v>
      </c>
      <c r="BH258" s="19">
        <v>2.7852239628648903</v>
      </c>
      <c r="BI258" s="19">
        <v>4.1495650633581675</v>
      </c>
      <c r="BJ258" s="19">
        <v>1.6693646541220346</v>
      </c>
      <c r="BK258" s="19">
        <v>3.0523429708285477</v>
      </c>
      <c r="BL258" s="19">
        <v>0.40401039315847243</v>
      </c>
      <c r="BM258" s="19">
        <v>-5.3126462302310387</v>
      </c>
      <c r="BN258" s="19">
        <v>1.3521142554816237</v>
      </c>
    </row>
    <row r="259" spans="1:66" x14ac:dyDescent="0.2">
      <c r="A259" s="19" t="s">
        <v>782</v>
      </c>
      <c r="B259" s="19" t="s">
        <v>1117</v>
      </c>
      <c r="C259" s="19" t="s">
        <v>863</v>
      </c>
      <c r="D259" s="19" t="s">
        <v>864</v>
      </c>
      <c r="F259" s="19">
        <v>3.1925194388935836</v>
      </c>
      <c r="G259" s="19">
        <v>8.5329337629071347</v>
      </c>
      <c r="H259" s="19">
        <v>3.9009511638181635</v>
      </c>
      <c r="I259" s="19">
        <v>11.129345293262546</v>
      </c>
      <c r="J259" s="19">
        <v>4.1628666647640244</v>
      </c>
      <c r="K259" s="19">
        <v>1.5102501110188626</v>
      </c>
      <c r="L259" s="19">
        <v>2.8338690309889643</v>
      </c>
      <c r="M259" s="19">
        <v>7.3372326582167489</v>
      </c>
      <c r="N259" s="19">
        <v>0.70603679615604165</v>
      </c>
      <c r="O259" s="19">
        <v>7.7119143812438153</v>
      </c>
      <c r="P259" s="19">
        <v>1.479291209989924</v>
      </c>
      <c r="Q259" s="19">
        <v>1.2828050361939631</v>
      </c>
      <c r="R259" s="19">
        <v>7.1099578949557696</v>
      </c>
      <c r="S259" s="19">
        <v>2.0693332016928423</v>
      </c>
      <c r="T259" s="19">
        <v>2.896257780071565</v>
      </c>
      <c r="U259" s="19">
        <v>7.7277398467983573</v>
      </c>
      <c r="V259" s="19">
        <v>6.2707835129883307</v>
      </c>
      <c r="W259" s="19">
        <v>2.3468963719124361</v>
      </c>
      <c r="X259" s="19">
        <v>0.76435514542563965</v>
      </c>
      <c r="Y259" s="19">
        <v>-4.4213223644177617</v>
      </c>
      <c r="Z259" s="19">
        <v>-0.36281090307269892</v>
      </c>
      <c r="AA259" s="19">
        <v>-2.0710060706990419</v>
      </c>
      <c r="AB259" s="19">
        <v>-3.7648171234142183</v>
      </c>
      <c r="AC259" s="19">
        <v>1.4421646334598108</v>
      </c>
      <c r="AD259" s="19">
        <v>0.19330016136507311</v>
      </c>
      <c r="AE259" s="19">
        <v>6.5103450282765891</v>
      </c>
      <c r="AF259" s="19">
        <v>3.5816499384792024</v>
      </c>
      <c r="AG259" s="19">
        <v>5.8213684197814217</v>
      </c>
      <c r="AH259" s="19">
        <v>-8.5698820132998463</v>
      </c>
      <c r="AI259" s="19">
        <v>6.4679408530580815</v>
      </c>
      <c r="AJ259" s="19">
        <v>9.7298879771459497</v>
      </c>
      <c r="AK259" s="19">
        <v>6.0604732624884861</v>
      </c>
      <c r="AL259" s="19">
        <v>0.2753881575618351</v>
      </c>
      <c r="AM259" s="19">
        <v>-2.3495079282346865</v>
      </c>
      <c r="AN259" s="19">
        <v>3.9516627239124062</v>
      </c>
      <c r="AO259" s="19">
        <v>-0.19783725666346186</v>
      </c>
      <c r="AP259" s="19">
        <v>6.3709314010188081</v>
      </c>
      <c r="AQ259" s="19">
        <v>0.29405516051951963</v>
      </c>
      <c r="AR259" s="19">
        <v>-5.9704581464099959</v>
      </c>
      <c r="AS259" s="19">
        <v>3.6869441668768275</v>
      </c>
      <c r="AT259" s="19">
        <v>3.3942361077907037</v>
      </c>
      <c r="AU259" s="19">
        <v>-8.8556473528677913</v>
      </c>
      <c r="AV259" s="19">
        <v>-7.75530004959883</v>
      </c>
      <c r="AW259" s="19">
        <v>18.286606689124454</v>
      </c>
      <c r="AX259" s="19">
        <v>10.317913804314841</v>
      </c>
      <c r="AY259" s="19">
        <v>9.8721491085103708</v>
      </c>
      <c r="AZ259" s="19">
        <v>8.7535788078585028</v>
      </c>
      <c r="BA259" s="19">
        <v>5.2778541239878223</v>
      </c>
      <c r="BB259" s="19">
        <v>-3.2023026574900229</v>
      </c>
      <c r="BC259" s="19">
        <v>-1.4887912507834784</v>
      </c>
      <c r="BD259" s="19">
        <v>4.1764253592392748</v>
      </c>
      <c r="BE259" s="19">
        <v>5.6259569750864102</v>
      </c>
      <c r="BF259" s="19">
        <v>1.3430940360747599</v>
      </c>
      <c r="BG259" s="19">
        <v>-3.8943864745066179</v>
      </c>
    </row>
    <row r="260" spans="1:66" x14ac:dyDescent="0.2">
      <c r="A260" s="19" t="s">
        <v>783</v>
      </c>
      <c r="B260" s="19" t="s">
        <v>1118</v>
      </c>
      <c r="C260" s="19" t="s">
        <v>863</v>
      </c>
      <c r="D260" s="19" t="s">
        <v>864</v>
      </c>
    </row>
    <row r="261" spans="1:66" x14ac:dyDescent="0.2">
      <c r="A261" s="19" t="s">
        <v>784</v>
      </c>
      <c r="B261" s="19" t="s">
        <v>1119</v>
      </c>
      <c r="C261" s="19" t="s">
        <v>863</v>
      </c>
      <c r="D261" s="19" t="s">
        <v>864</v>
      </c>
      <c r="AV261" s="19">
        <v>-0.39608088388575879</v>
      </c>
      <c r="AW261" s="19">
        <v>3.2858936793637668</v>
      </c>
      <c r="AX261" s="19">
        <v>3.4853090172238979</v>
      </c>
      <c r="AY261" s="19">
        <v>3.5049931466614339</v>
      </c>
      <c r="AZ261" s="19">
        <v>4.0105940219447689</v>
      </c>
      <c r="BA261" s="19">
        <v>1.2186249545289058</v>
      </c>
      <c r="BB261" s="19">
        <v>-6.5947888589398076</v>
      </c>
      <c r="BC261" s="19">
        <v>0.59638322431705149</v>
      </c>
      <c r="BD261" s="19">
        <v>-8.2042455536431476</v>
      </c>
      <c r="BE261" s="19">
        <v>-14.8125</v>
      </c>
      <c r="BF261" s="19">
        <v>-6.2851552946930838</v>
      </c>
      <c r="BG261" s="19">
        <v>-1.7745302713987456</v>
      </c>
      <c r="BH261" s="19">
        <v>-0.4250797024442079</v>
      </c>
      <c r="BI261" s="19">
        <v>1.6008537886873029</v>
      </c>
      <c r="BJ261" s="19">
        <v>-0.73529411764705799</v>
      </c>
      <c r="BK261" s="19">
        <v>1.904761904761898</v>
      </c>
      <c r="BL261" s="19">
        <v>2.7777777777777715</v>
      </c>
      <c r="BM261" s="19">
        <v>-2.1470068199040213</v>
      </c>
    </row>
    <row r="262" spans="1:66" x14ac:dyDescent="0.2">
      <c r="A262" s="19" t="s">
        <v>785</v>
      </c>
      <c r="B262" s="19" t="s">
        <v>1120</v>
      </c>
      <c r="C262" s="19" t="s">
        <v>863</v>
      </c>
      <c r="D262" s="19" t="s">
        <v>864</v>
      </c>
      <c r="AD262" s="19">
        <v>3.8058556681094728</v>
      </c>
      <c r="AE262" s="19">
        <v>2.7892915747944329</v>
      </c>
      <c r="AF262" s="19">
        <v>3.5834696313071959</v>
      </c>
      <c r="AG262" s="19">
        <v>5.1350116715780842</v>
      </c>
      <c r="AH262" s="19">
        <v>7.3645128939581923</v>
      </c>
      <c r="AI262" s="19">
        <v>5.1009181390836886</v>
      </c>
      <c r="AJ262" s="19">
        <v>5.9608439326056555</v>
      </c>
      <c r="AK262" s="19">
        <v>8.6460474595532872</v>
      </c>
      <c r="AL262" s="19">
        <v>8.0727306571225483</v>
      </c>
      <c r="AM262" s="19">
        <v>8.8389809523975913</v>
      </c>
      <c r="AN262" s="19">
        <v>9.5404801749024273</v>
      </c>
      <c r="AO262" s="19">
        <v>9.3400174959870128</v>
      </c>
      <c r="AP262" s="19">
        <v>8.15208414330084</v>
      </c>
      <c r="AQ262" s="19">
        <v>5.7644554639467742</v>
      </c>
      <c r="AR262" s="19">
        <v>4.773586880570619</v>
      </c>
      <c r="AS262" s="19">
        <v>6.7873164082251805</v>
      </c>
      <c r="AT262" s="19">
        <v>6.1928933118104794</v>
      </c>
      <c r="AU262" s="19">
        <v>6.3208209877134323</v>
      </c>
      <c r="AV262" s="19">
        <v>6.8990634917379907</v>
      </c>
      <c r="AW262" s="19">
        <v>7.5364106118252892</v>
      </c>
      <c r="AX262" s="19">
        <v>7.5472477272239473</v>
      </c>
      <c r="AY262" s="19">
        <v>6.9779548118340102</v>
      </c>
      <c r="AZ262" s="19">
        <v>7.1295044839644106</v>
      </c>
      <c r="BA262" s="19">
        <v>5.6617712080230262</v>
      </c>
      <c r="BB262" s="19">
        <v>5.3978975427693854</v>
      </c>
      <c r="BC262" s="19">
        <v>6.4232382171731928</v>
      </c>
      <c r="BD262" s="19">
        <v>6.4131776893785428</v>
      </c>
      <c r="BE262" s="19">
        <v>5.5045456198033094</v>
      </c>
      <c r="BF262" s="19">
        <v>5.553500244795103</v>
      </c>
      <c r="BG262" s="19">
        <v>6.4222466560102589</v>
      </c>
      <c r="BH262" s="19">
        <v>6.9871667237754878</v>
      </c>
      <c r="BI262" s="19">
        <v>6.6900092133089402</v>
      </c>
      <c r="BJ262" s="19">
        <v>6.9401877821904918</v>
      </c>
      <c r="BK262" s="19">
        <v>7.4649912574460018</v>
      </c>
      <c r="BL262" s="19">
        <v>7.3592809998546045</v>
      </c>
      <c r="BM262" s="19">
        <v>2.8654119461210428</v>
      </c>
      <c r="BN262" s="19">
        <v>2.5615511423249444</v>
      </c>
    </row>
    <row r="263" spans="1:66" x14ac:dyDescent="0.2">
      <c r="A263" s="19" t="s">
        <v>786</v>
      </c>
      <c r="B263" s="19" t="s">
        <v>1121</v>
      </c>
      <c r="C263" s="19" t="s">
        <v>863</v>
      </c>
      <c r="D263" s="19" t="s">
        <v>864</v>
      </c>
      <c r="Y263" s="19">
        <v>-11.39980670776967</v>
      </c>
      <c r="Z263" s="19">
        <v>4.3779566769026417</v>
      </c>
      <c r="AA263" s="19">
        <v>1.9798831153341467</v>
      </c>
      <c r="AB263" s="19">
        <v>3.0096292542201013</v>
      </c>
      <c r="AC263" s="19">
        <v>9.5749914846913668</v>
      </c>
      <c r="AD263" s="19">
        <v>1.0016233205540033</v>
      </c>
      <c r="AE263" s="19">
        <v>-0.15046335875251771</v>
      </c>
      <c r="AF263" s="19">
        <v>-2.8939347237919151</v>
      </c>
      <c r="AG263" s="19">
        <v>-1.692882838400223</v>
      </c>
      <c r="AH263" s="19">
        <v>1.5318935208437949</v>
      </c>
      <c r="AI263" s="19">
        <v>11.695699798593679</v>
      </c>
      <c r="AJ263" s="19">
        <v>3.1476384802758588</v>
      </c>
      <c r="AK263" s="19">
        <v>2.5854137275347995</v>
      </c>
      <c r="AL263" s="19">
        <v>0.73544799545577177</v>
      </c>
      <c r="AM263" s="19">
        <v>9.0814660928921143</v>
      </c>
      <c r="AN263" s="19">
        <v>1.003945041490951</v>
      </c>
      <c r="AO263" s="19">
        <v>2.327335416442196</v>
      </c>
      <c r="AP263" s="19">
        <v>4.9068126776876824</v>
      </c>
      <c r="AQ263" s="19">
        <v>1.1768543611362077</v>
      </c>
      <c r="AR263" s="19">
        <v>0.33729322189431343</v>
      </c>
      <c r="AS263" s="19">
        <v>5.924809056529142</v>
      </c>
      <c r="AT263" s="19">
        <v>-3.3975824893825575</v>
      </c>
      <c r="AU263" s="19">
        <v>-5.1983187593603475</v>
      </c>
      <c r="AV263" s="19">
        <v>4.2883351169545847</v>
      </c>
      <c r="AW263" s="19">
        <v>3.987392802169623</v>
      </c>
      <c r="AX263" s="19">
        <v>5.3053264725922702</v>
      </c>
      <c r="AY263" s="19">
        <v>8.4606974720542638</v>
      </c>
      <c r="AZ263" s="19">
        <v>2.8758922877537998</v>
      </c>
      <c r="BA263" s="19">
        <v>5.6009918214721353</v>
      </c>
      <c r="BB263" s="19">
        <v>3.037303540996021</v>
      </c>
      <c r="BC263" s="19">
        <v>1.2588672032932635</v>
      </c>
      <c r="BD263" s="19">
        <v>3.1398029002341161</v>
      </c>
      <c r="BE263" s="19">
        <v>1.0100476869204158</v>
      </c>
      <c r="BF263" s="19">
        <v>0.46339041513509471</v>
      </c>
      <c r="BG263" s="19">
        <v>3.1368672943869313</v>
      </c>
      <c r="BH263" s="19">
        <v>0.36652207538921289</v>
      </c>
      <c r="BI263" s="19">
        <v>4.6887563655856326</v>
      </c>
      <c r="BJ263" s="19">
        <v>6.3173053844307674</v>
      </c>
      <c r="BK263" s="19">
        <v>2.9002302725644569</v>
      </c>
      <c r="BL263" s="19">
        <v>3.241187655404417</v>
      </c>
      <c r="BM263" s="19">
        <v>-5.3962542147168051</v>
      </c>
      <c r="BN263" s="19">
        <v>0.44925648052473832</v>
      </c>
    </row>
    <row r="264" spans="1:66" x14ac:dyDescent="0.2">
      <c r="A264" s="19" t="s">
        <v>787</v>
      </c>
      <c r="B264" s="19" t="s">
        <v>1122</v>
      </c>
      <c r="C264" s="19" t="s">
        <v>863</v>
      </c>
      <c r="D264" s="19" t="s">
        <v>864</v>
      </c>
      <c r="F264" s="19">
        <v>3.7899787489740646</v>
      </c>
      <c r="G264" s="19">
        <v>5.3160374522345393</v>
      </c>
      <c r="H264" s="19">
        <v>5.1853961427205775</v>
      </c>
      <c r="I264" s="19">
        <v>6.5582845542259776</v>
      </c>
      <c r="J264" s="19">
        <v>5.5491305479206403</v>
      </c>
      <c r="K264" s="19">
        <v>5.7126332405136111</v>
      </c>
      <c r="L264" s="19">
        <v>4.1525815135106967</v>
      </c>
      <c r="M264" s="19">
        <v>5.9422857292783675</v>
      </c>
      <c r="N264" s="19">
        <v>5.8149005514883925</v>
      </c>
      <c r="O264" s="19">
        <v>3.9685580966834664</v>
      </c>
      <c r="P264" s="19">
        <v>4.276266213428471</v>
      </c>
      <c r="Q264" s="19">
        <v>5.6160724020169113</v>
      </c>
      <c r="R264" s="19">
        <v>6.4074335139088419</v>
      </c>
      <c r="S264" s="19">
        <v>1.7953937195196232</v>
      </c>
      <c r="T264" s="19">
        <v>0.63387186561799069</v>
      </c>
      <c r="U264" s="19">
        <v>5.3031947970359425</v>
      </c>
      <c r="V264" s="19">
        <v>4.0994786381362189</v>
      </c>
      <c r="W264" s="19">
        <v>4.1370543205419921</v>
      </c>
      <c r="X264" s="19">
        <v>4.1758075836978179</v>
      </c>
      <c r="Y264" s="19">
        <v>1.8771683118519604</v>
      </c>
      <c r="Z264" s="19">
        <v>1.9321436603070907</v>
      </c>
      <c r="AA264" s="19">
        <v>0.39371003326974119</v>
      </c>
      <c r="AB264" s="19">
        <v>2.6491133195102918</v>
      </c>
      <c r="AC264" s="19">
        <v>4.6744922345120017</v>
      </c>
      <c r="AD264" s="19">
        <v>3.6986066838912421</v>
      </c>
      <c r="AE264" s="19">
        <v>3.4428663814238547</v>
      </c>
      <c r="AF264" s="19">
        <v>3.7321767399856469</v>
      </c>
      <c r="AG264" s="19">
        <v>4.638280031305726</v>
      </c>
      <c r="AH264" s="19">
        <v>3.7542297666276454</v>
      </c>
      <c r="AI264" s="19">
        <v>2.8659377306359772</v>
      </c>
      <c r="AJ264" s="19">
        <v>1.4598049277956022</v>
      </c>
      <c r="AK264" s="19">
        <v>2.0697661827706355</v>
      </c>
      <c r="AL264" s="19">
        <v>1.8081610850504006</v>
      </c>
      <c r="AM264" s="19">
        <v>3.3053883355167955</v>
      </c>
      <c r="AN264" s="19">
        <v>3.0920632376473662</v>
      </c>
      <c r="AO264" s="19">
        <v>3.593206788477346</v>
      </c>
      <c r="AP264" s="19">
        <v>3.8777349000991279</v>
      </c>
      <c r="AQ264" s="19">
        <v>2.8191753660965873</v>
      </c>
      <c r="AR264" s="19">
        <v>3.5528398703006161</v>
      </c>
      <c r="AS264" s="19">
        <v>4.5149566697502195</v>
      </c>
      <c r="AT264" s="19">
        <v>2.0092032057255125</v>
      </c>
      <c r="AU264" s="19">
        <v>2.3048276718123049</v>
      </c>
      <c r="AV264" s="19">
        <v>3.1096265356164849</v>
      </c>
      <c r="AW264" s="19">
        <v>4.4712406748179205</v>
      </c>
      <c r="AX264" s="19">
        <v>4.0045971439801349</v>
      </c>
      <c r="AY264" s="19">
        <v>4.420425400108968</v>
      </c>
      <c r="AZ264" s="19">
        <v>4.3819007711501996</v>
      </c>
      <c r="BA264" s="19">
        <v>2.0691757706454439</v>
      </c>
      <c r="BB264" s="19">
        <v>-1.3414481452581839</v>
      </c>
      <c r="BC264" s="19">
        <v>4.5408382874965696</v>
      </c>
      <c r="BD264" s="19">
        <v>3.3103236837364278</v>
      </c>
      <c r="BE264" s="19">
        <v>2.7091792480409111</v>
      </c>
      <c r="BF264" s="19">
        <v>2.8078540640440082</v>
      </c>
      <c r="BG264" s="19">
        <v>3.0900928652627329</v>
      </c>
      <c r="BH264" s="19">
        <v>3.0785683322626483</v>
      </c>
      <c r="BI264" s="19">
        <v>2.8019584094209051</v>
      </c>
      <c r="BJ264" s="19">
        <v>3.3849642871971497</v>
      </c>
      <c r="BK264" s="19">
        <v>3.2855374519945997</v>
      </c>
      <c r="BL264" s="19">
        <v>2.5912902578259462</v>
      </c>
      <c r="BM264" s="19">
        <v>-3.1154040630626412</v>
      </c>
      <c r="BN264" s="19">
        <v>5.8697792827252897</v>
      </c>
    </row>
    <row r="265" spans="1:66" x14ac:dyDescent="0.2">
      <c r="A265" s="19" t="s">
        <v>788</v>
      </c>
      <c r="B265" s="19" t="s">
        <v>1123</v>
      </c>
      <c r="C265" s="19" t="s">
        <v>863</v>
      </c>
      <c r="D265" s="19" t="s">
        <v>864</v>
      </c>
      <c r="AB265" s="19">
        <v>0.43103597567682073</v>
      </c>
      <c r="AC265" s="19">
        <v>1.2875580884613527</v>
      </c>
      <c r="AD265" s="19">
        <v>3.9194963602891875</v>
      </c>
      <c r="AE265" s="19">
        <v>5.504578341318151</v>
      </c>
      <c r="AF265" s="19">
        <v>0.48309603354834962</v>
      </c>
      <c r="AG265" s="19">
        <v>-1.4422997223475136</v>
      </c>
      <c r="AH265" s="19">
        <v>3.7073137000617038</v>
      </c>
      <c r="AI265" s="19">
        <v>-4.4214509455624835</v>
      </c>
      <c r="AJ265" s="19">
        <v>-2.3000123568196074</v>
      </c>
      <c r="AK265" s="19">
        <v>-0.1999871450703381</v>
      </c>
      <c r="AL265" s="19">
        <v>4.0999910101388934</v>
      </c>
      <c r="AM265" s="19">
        <v>-2.5421004809094825</v>
      </c>
      <c r="AN265" s="19">
        <v>6.6736431464967012</v>
      </c>
      <c r="AO265" s="19">
        <v>7.1789688178318727</v>
      </c>
      <c r="AP265" s="19">
        <v>0.64342500432313443</v>
      </c>
      <c r="AQ265" s="19">
        <v>2.1948897178647826</v>
      </c>
      <c r="AR265" s="19">
        <v>2.1854343739738766</v>
      </c>
      <c r="AS265" s="19">
        <v>5.093044692444181</v>
      </c>
      <c r="AT265" s="19">
        <v>7.390129061729894</v>
      </c>
      <c r="AU265" s="19">
        <v>5.6519591989034836</v>
      </c>
      <c r="AV265" s="19">
        <v>5.2126289263414947</v>
      </c>
      <c r="AW265" s="19">
        <v>3.0872602379674987</v>
      </c>
      <c r="AX265" s="19">
        <v>6.6392036130073393</v>
      </c>
      <c r="AY265" s="19">
        <v>2.132127146773513</v>
      </c>
      <c r="AZ265" s="19">
        <v>0.48598255001725477</v>
      </c>
      <c r="BA265" s="19">
        <v>3.5561046739500028</v>
      </c>
      <c r="BB265" s="19">
        <v>-0.54167760183459279</v>
      </c>
      <c r="BC265" s="19">
        <v>6.1247199226124991</v>
      </c>
      <c r="BD265" s="19">
        <v>3.8490779466039555</v>
      </c>
      <c r="BE265" s="19">
        <v>-3.7321302089026602</v>
      </c>
      <c r="BF265" s="19">
        <v>0.10729327648893161</v>
      </c>
      <c r="BG265" s="19">
        <v>0.65992376878286052</v>
      </c>
      <c r="BH265" s="19">
        <v>3.8503618166493965</v>
      </c>
      <c r="BI265" s="19">
        <v>7.9838628784712995</v>
      </c>
      <c r="BJ265" s="19">
        <v>1.4062823997130067</v>
      </c>
      <c r="BK265" s="19">
        <v>-0.60964710338014072</v>
      </c>
      <c r="BL265" s="19">
        <v>4.4518589168869056</v>
      </c>
      <c r="BM265" s="19">
        <v>-3.108444010531386</v>
      </c>
      <c r="BN265" s="19">
        <v>-7.0845879974740456</v>
      </c>
    </row>
    <row r="266" spans="1:66" x14ac:dyDescent="0.2">
      <c r="A266" s="19" t="s">
        <v>789</v>
      </c>
      <c r="B266" s="19" t="s">
        <v>1124</v>
      </c>
      <c r="C266" s="19" t="s">
        <v>863</v>
      </c>
      <c r="D266" s="19" t="s">
        <v>864</v>
      </c>
      <c r="BB266" s="19">
        <v>5.0348838293995328</v>
      </c>
      <c r="BC266" s="19">
        <v>4.9399240468787582</v>
      </c>
      <c r="BD266" s="19">
        <v>6.3198862227007595</v>
      </c>
      <c r="BE266" s="19">
        <v>1.7121951741946475</v>
      </c>
      <c r="BF266" s="19">
        <v>5.3409081746341514</v>
      </c>
      <c r="BG266" s="19">
        <v>3.3488043110687897</v>
      </c>
      <c r="BH266" s="19">
        <v>5.9162704435136106</v>
      </c>
      <c r="BI266" s="19">
        <v>5.5717565072744861</v>
      </c>
      <c r="BJ266" s="19">
        <v>4.8256904268714038</v>
      </c>
      <c r="BK266" s="19">
        <v>3.4066310083784543</v>
      </c>
      <c r="BL266" s="19">
        <v>4.7568306194579009</v>
      </c>
      <c r="BM266" s="19">
        <v>-5.3402753022979113</v>
      </c>
      <c r="BN266" s="19">
        <v>10.745611606637098</v>
      </c>
    </row>
    <row r="267" spans="1:66" x14ac:dyDescent="0.2">
      <c r="A267" s="19" t="s">
        <v>790</v>
      </c>
      <c r="B267" s="19" t="s">
        <v>1125</v>
      </c>
      <c r="C267" s="19" t="s">
        <v>863</v>
      </c>
      <c r="D267" s="19" t="s">
        <v>864</v>
      </c>
      <c r="AJ267" s="19">
        <v>6.2934938622540244</v>
      </c>
      <c r="AK267" s="19">
        <v>8.2075981372268672</v>
      </c>
      <c r="AL267" s="19">
        <v>4.001966381266314</v>
      </c>
      <c r="AM267" s="19">
        <v>6.721949122316957</v>
      </c>
      <c r="AN267" s="19">
        <v>5.6693713222843343</v>
      </c>
      <c r="AO267" s="19">
        <v>4.6349673166895116</v>
      </c>
      <c r="AP267" s="19">
        <v>5.2311120404037865</v>
      </c>
      <c r="AQ267" s="19">
        <v>6.0066945987187665</v>
      </c>
      <c r="AR267" s="19">
        <v>3.7755304961263363</v>
      </c>
      <c r="AS267" s="19">
        <v>6.1819155928913005</v>
      </c>
      <c r="AT267" s="19">
        <v>3.8036458718812725</v>
      </c>
      <c r="AU267" s="19">
        <v>3.9352315052777982</v>
      </c>
      <c r="AV267" s="19">
        <v>3.7473981848911109</v>
      </c>
      <c r="AW267" s="19">
        <v>3.9726964011830006</v>
      </c>
      <c r="AX267" s="19">
        <v>5.5917480756326796</v>
      </c>
      <c r="AY267" s="19">
        <v>3.1704093592236404</v>
      </c>
      <c r="AZ267" s="19">
        <v>3.338427956050964</v>
      </c>
      <c r="BA267" s="19">
        <v>3.6475694701263279</v>
      </c>
      <c r="BB267" s="19">
        <v>3.8662295158774214</v>
      </c>
      <c r="BC267" s="19">
        <v>7.7023070396186455</v>
      </c>
      <c r="BD267" s="19">
        <v>-12.714896895411698</v>
      </c>
      <c r="BE267" s="19">
        <v>2.3929902093532007</v>
      </c>
      <c r="BF267" s="19">
        <v>4.8235190665053267</v>
      </c>
      <c r="BG267" s="19">
        <v>-0.18869023245090943</v>
      </c>
      <c r="BH267" s="19">
        <v>-27.994546253687517</v>
      </c>
      <c r="BI267" s="19">
        <v>-9.375123817616938</v>
      </c>
      <c r="BJ267" s="19">
        <v>-5.0717956388386654</v>
      </c>
      <c r="BK267" s="19">
        <v>0.75244758757912678</v>
      </c>
    </row>
    <row r="268" spans="1:66" x14ac:dyDescent="0.2">
      <c r="A268" s="19" t="s">
        <v>791</v>
      </c>
      <c r="B268" s="19" t="s">
        <v>1126</v>
      </c>
      <c r="C268" s="19" t="s">
        <v>863</v>
      </c>
      <c r="D268" s="19" t="s">
        <v>864</v>
      </c>
      <c r="F268" s="19">
        <v>3.8447341417408865</v>
      </c>
      <c r="G268" s="19">
        <v>6.1779308504274582</v>
      </c>
      <c r="H268" s="19">
        <v>7.3737092487722293</v>
      </c>
      <c r="I268" s="19">
        <v>7.9396086448067678</v>
      </c>
      <c r="J268" s="19">
        <v>6.1227980960144208</v>
      </c>
      <c r="K268" s="19">
        <v>4.4383860894688922</v>
      </c>
      <c r="L268" s="19">
        <v>7.196523065141065</v>
      </c>
      <c r="M268" s="19">
        <v>4.1533729829334618</v>
      </c>
      <c r="N268" s="19">
        <v>4.715902867222411</v>
      </c>
      <c r="O268" s="19">
        <v>5.2486614311829243</v>
      </c>
      <c r="P268" s="19">
        <v>4.2789344029698242</v>
      </c>
      <c r="Q268" s="19">
        <v>1.6548297088469894</v>
      </c>
      <c r="R268" s="19">
        <v>4.5719447463727079</v>
      </c>
      <c r="S268" s="19">
        <v>6.1111221037218826</v>
      </c>
      <c r="T268" s="19">
        <v>1.6954337793109886</v>
      </c>
      <c r="U268" s="19">
        <v>2.2498603291933392</v>
      </c>
      <c r="V268" s="19">
        <v>-9.3979116125581186E-2</v>
      </c>
      <c r="W268" s="19">
        <v>3.0144797791292319</v>
      </c>
      <c r="X268" s="19">
        <v>3.7905192640578207</v>
      </c>
      <c r="Y268" s="19">
        <v>6.62058342724157</v>
      </c>
      <c r="Z268" s="19">
        <v>5.360791059640448</v>
      </c>
      <c r="AA268" s="19">
        <v>-0.3834191083754348</v>
      </c>
      <c r="AB268" s="19">
        <v>-1.8465577459506335</v>
      </c>
      <c r="AC268" s="19">
        <v>5.0991516300147737</v>
      </c>
      <c r="AD268" s="19">
        <v>-1.2115408824038667</v>
      </c>
      <c r="AE268" s="19">
        <v>1.7849240165219271E-2</v>
      </c>
      <c r="AF268" s="19">
        <v>2.1007290205367468</v>
      </c>
      <c r="AG268" s="19">
        <v>4.2001096483818685</v>
      </c>
      <c r="AH268" s="19">
        <v>2.3947951153840563</v>
      </c>
      <c r="AI268" s="19">
        <v>-0.3177604265403744</v>
      </c>
      <c r="AJ268" s="19">
        <v>-1.0182449675445042</v>
      </c>
      <c r="AK268" s="19">
        <v>-2.1370328450052085</v>
      </c>
      <c r="AL268" s="19">
        <v>1.233557938647408</v>
      </c>
      <c r="AM268" s="19">
        <v>3.2000000029717199</v>
      </c>
      <c r="AN268" s="19">
        <v>3.1000000005441137</v>
      </c>
      <c r="AO268" s="19">
        <v>4.2999999972679177</v>
      </c>
      <c r="AP268" s="19">
        <v>2.6000000014634708</v>
      </c>
      <c r="AQ268" s="19">
        <v>0.50000000034143</v>
      </c>
      <c r="AR268" s="19">
        <v>2.3999999974633823</v>
      </c>
      <c r="AS268" s="19">
        <v>4.2000000006782585</v>
      </c>
      <c r="AT268" s="19">
        <v>2.7000000001910394</v>
      </c>
      <c r="AU268" s="19">
        <v>3.7003744040666788</v>
      </c>
      <c r="AV268" s="19">
        <v>2.94907546754213</v>
      </c>
      <c r="AW268" s="19">
        <v>4.5545599072177367</v>
      </c>
      <c r="AX268" s="19">
        <v>5.2770519729546663</v>
      </c>
      <c r="AY268" s="19">
        <v>5.6038064589588856</v>
      </c>
      <c r="AZ268" s="19">
        <v>5.3604740539416156</v>
      </c>
      <c r="BA268" s="19">
        <v>3.1910438863287993</v>
      </c>
      <c r="BB268" s="19">
        <v>-1.5380891352558308</v>
      </c>
      <c r="BC268" s="19">
        <v>3.0397328812795621</v>
      </c>
      <c r="BD268" s="19">
        <v>3.1685562785881842</v>
      </c>
      <c r="BE268" s="19">
        <v>2.396232384657452</v>
      </c>
      <c r="BF268" s="19">
        <v>2.4854680082658831</v>
      </c>
      <c r="BG268" s="19">
        <v>1.4138264522379274</v>
      </c>
      <c r="BH268" s="19">
        <v>1.3218622367822945</v>
      </c>
      <c r="BI268" s="19">
        <v>0.66455230785811636</v>
      </c>
      <c r="BJ268" s="19">
        <v>1.1579469518173511</v>
      </c>
      <c r="BK268" s="19">
        <v>1.5223293874313981</v>
      </c>
      <c r="BL268" s="19">
        <v>0.30345323451508932</v>
      </c>
      <c r="BM268" s="19">
        <v>-6.3424711482827831</v>
      </c>
      <c r="BN268" s="19">
        <v>4.913096681880404</v>
      </c>
    </row>
    <row r="269" spans="1:66" x14ac:dyDescent="0.2">
      <c r="A269" s="19" t="s">
        <v>792</v>
      </c>
      <c r="B269" s="19" t="s">
        <v>1127</v>
      </c>
      <c r="C269" s="19" t="s">
        <v>863</v>
      </c>
      <c r="D269" s="19" t="s">
        <v>864</v>
      </c>
      <c r="F269" s="19">
        <v>1.3613819914748859</v>
      </c>
      <c r="G269" s="19">
        <v>-2.4908394745487072</v>
      </c>
      <c r="H269" s="19">
        <v>3.2723928927252359</v>
      </c>
      <c r="I269" s="19">
        <v>12.214048017932271</v>
      </c>
      <c r="J269" s="19">
        <v>16.647455963212579</v>
      </c>
      <c r="K269" s="19">
        <v>-5.5703098086046623</v>
      </c>
      <c r="L269" s="19">
        <v>7.919696511998751</v>
      </c>
      <c r="M269" s="19">
        <v>1.2483299822279719</v>
      </c>
      <c r="N269" s="19">
        <v>-0.43691582308821353</v>
      </c>
      <c r="O269" s="19">
        <v>4.7971129031889603</v>
      </c>
      <c r="P269" s="19">
        <v>-8.6039550867440084E-2</v>
      </c>
      <c r="Q269" s="19">
        <v>9.2088651423127885</v>
      </c>
      <c r="R269" s="19">
        <v>-0.96204875642632715</v>
      </c>
      <c r="S269" s="19">
        <v>6.4281585489209618</v>
      </c>
      <c r="T269" s="19">
        <v>-2.2693289241895229</v>
      </c>
      <c r="U269" s="19">
        <v>6.2209752670717506</v>
      </c>
      <c r="V269" s="19">
        <v>-4.564236174365405</v>
      </c>
      <c r="W269" s="19">
        <v>0.55376384424840808</v>
      </c>
      <c r="X269" s="19">
        <v>-3.0239310312180265</v>
      </c>
      <c r="Y269" s="19">
        <v>3.0356223506610576</v>
      </c>
      <c r="Z269" s="19">
        <v>6.1679574065058915</v>
      </c>
      <c r="AA269" s="19">
        <v>-2.8127826286889075</v>
      </c>
      <c r="AB269" s="19">
        <v>-1.9666892976213433</v>
      </c>
      <c r="AC269" s="19">
        <v>-0.33683489925601862</v>
      </c>
      <c r="AD269" s="19">
        <v>1.6153103675931106</v>
      </c>
      <c r="AE269" s="19">
        <v>0.72389395592391281</v>
      </c>
      <c r="AF269" s="19">
        <v>2.6756617134113299</v>
      </c>
      <c r="AG269" s="19">
        <v>6.280749008976926</v>
      </c>
      <c r="AH269" s="19">
        <v>-1.023501788698681</v>
      </c>
      <c r="AI269" s="19">
        <v>-0.48107202778166425</v>
      </c>
      <c r="AJ269" s="19">
        <v>-3.6133383882329895E-2</v>
      </c>
      <c r="AK269" s="19">
        <v>-1.7309221735256557</v>
      </c>
      <c r="AL269" s="19">
        <v>6.7972740490711772</v>
      </c>
      <c r="AM269" s="19">
        <v>-8.6254419523127694</v>
      </c>
      <c r="AN269" s="19">
        <v>2.8976688934169772</v>
      </c>
      <c r="AO269" s="19">
        <v>6.218546488942934</v>
      </c>
      <c r="AP269" s="19">
        <v>3.8140074971835531</v>
      </c>
      <c r="AQ269" s="19">
        <v>-0.38574614579034971</v>
      </c>
      <c r="AR269" s="19">
        <v>4.650189746374096</v>
      </c>
      <c r="AS269" s="19">
        <v>3.8973229434189562</v>
      </c>
      <c r="AT269" s="19">
        <v>5.3168682741841877</v>
      </c>
      <c r="AU269" s="19">
        <v>4.5060142803260419</v>
      </c>
      <c r="AV269" s="19">
        <v>6.9449739822122325</v>
      </c>
      <c r="AW269" s="19">
        <v>7.032395115152184</v>
      </c>
      <c r="AX269" s="19">
        <v>7.2355990065554323</v>
      </c>
      <c r="AY269" s="19">
        <v>7.9036944448007915</v>
      </c>
      <c r="AZ269" s="19">
        <v>8.3524362444740632</v>
      </c>
      <c r="BA269" s="19">
        <v>7.7738958154236286</v>
      </c>
      <c r="BB269" s="19">
        <v>9.2203484058663037</v>
      </c>
      <c r="BC269" s="19">
        <v>10.298223324121267</v>
      </c>
      <c r="BD269" s="19">
        <v>5.564602336707523</v>
      </c>
      <c r="BE269" s="19">
        <v>7.5975932105319117</v>
      </c>
      <c r="BF269" s="19">
        <v>5.057231739797345</v>
      </c>
      <c r="BG269" s="19">
        <v>4.6979923625298596</v>
      </c>
      <c r="BH269" s="19">
        <v>2.9203751121796131</v>
      </c>
      <c r="BI269" s="19">
        <v>3.7766791462673126</v>
      </c>
      <c r="BJ269" s="19">
        <v>3.5043360955868224</v>
      </c>
      <c r="BK269" s="19">
        <v>4.0344938966716484</v>
      </c>
      <c r="BL269" s="19">
        <v>1.4413060260378501</v>
      </c>
      <c r="BM269" s="19">
        <v>-2.7850550654516724</v>
      </c>
      <c r="BN269" s="19">
        <v>4.5987340387843858</v>
      </c>
    </row>
    <row r="270" spans="1:66" x14ac:dyDescent="0.2">
      <c r="A270" s="19" t="s">
        <v>793</v>
      </c>
      <c r="B270" s="19" t="s">
        <v>1128</v>
      </c>
      <c r="C270" s="19" t="s">
        <v>863</v>
      </c>
      <c r="D270" s="19" t="s">
        <v>864</v>
      </c>
      <c r="F270" s="19">
        <v>6.3161572678227742</v>
      </c>
      <c r="G270" s="19">
        <v>1.4344708878062846</v>
      </c>
      <c r="H270" s="19">
        <v>6.2443445079049837</v>
      </c>
      <c r="I270" s="19">
        <v>-1.1061718594435774</v>
      </c>
      <c r="J270" s="19">
        <v>4.91057058723419</v>
      </c>
      <c r="K270" s="19">
        <v>1.5231300267618479</v>
      </c>
      <c r="L270" s="19">
        <v>8.3670089288249301</v>
      </c>
      <c r="M270" s="19">
        <v>1.9701349693312267</v>
      </c>
      <c r="N270" s="19">
        <v>12.428235836086742</v>
      </c>
      <c r="O270" s="19">
        <v>22.565150838617882</v>
      </c>
      <c r="P270" s="19">
        <v>8.9175866423527168</v>
      </c>
      <c r="Q270" s="19">
        <v>8.3297747273866349</v>
      </c>
      <c r="R270" s="19">
        <v>2.6047146971927191</v>
      </c>
      <c r="S270" s="19">
        <v>6.6251536176150267</v>
      </c>
      <c r="T270" s="19">
        <v>-1.9312232386643586</v>
      </c>
      <c r="U270" s="19">
        <v>0.46483890518531723</v>
      </c>
      <c r="V270" s="19">
        <v>-6.8607031933501332</v>
      </c>
      <c r="W270" s="19">
        <v>-2.7069224845759834</v>
      </c>
      <c r="X270" s="19">
        <v>3.2970353989752397</v>
      </c>
      <c r="Y270" s="19">
        <v>14.420683908672061</v>
      </c>
      <c r="Z270" s="19">
        <v>12.525424852158224</v>
      </c>
      <c r="AA270" s="19">
        <v>2.6342971467197884</v>
      </c>
      <c r="AB270" s="19">
        <v>1.585305461878292</v>
      </c>
      <c r="AC270" s="19">
        <v>-1.9073601098144763</v>
      </c>
      <c r="AD270" s="19">
        <v>6.9443877676094559</v>
      </c>
      <c r="AE270" s="19">
        <v>2.0990291250721356</v>
      </c>
      <c r="AF270" s="19">
        <v>1.1507372031593945</v>
      </c>
      <c r="AG270" s="19">
        <v>7.5523745101544648</v>
      </c>
      <c r="AH270" s="19">
        <v>5.1997664442376959</v>
      </c>
      <c r="AI270" s="19">
        <v>6.9885529325352422</v>
      </c>
      <c r="AJ270" s="19">
        <v>5.5317823739553518</v>
      </c>
      <c r="AK270" s="19">
        <v>-9.0155700749896397</v>
      </c>
      <c r="AL270" s="19">
        <v>1.0514586472234839</v>
      </c>
      <c r="AM270" s="19">
        <v>9.235198825207533</v>
      </c>
      <c r="AN270" s="19">
        <v>0.15802568718044085</v>
      </c>
      <c r="AO270" s="19">
        <v>10.360696766262606</v>
      </c>
      <c r="AP270" s="19">
        <v>2.6805941787162908</v>
      </c>
      <c r="AQ270" s="19">
        <v>2.8852117961966286</v>
      </c>
      <c r="AR270" s="19">
        <v>-0.81782103304510656</v>
      </c>
      <c r="AS270" s="19">
        <v>-3.0591897491863449</v>
      </c>
      <c r="AT270" s="19">
        <v>1.4396153957673619</v>
      </c>
      <c r="AU270" s="19">
        <v>-8.8940236314130914</v>
      </c>
      <c r="AV270" s="19">
        <v>-16.995074727662242</v>
      </c>
      <c r="AW270" s="19">
        <v>-5.807538022739493</v>
      </c>
      <c r="AX270" s="19">
        <v>-5.7110837065035298</v>
      </c>
      <c r="AY270" s="19">
        <v>-3.4614951878137816</v>
      </c>
      <c r="AZ270" s="19">
        <v>-3.6533268353550596</v>
      </c>
      <c r="BA270" s="19">
        <v>-17.668946330105427</v>
      </c>
      <c r="BB270" s="19">
        <v>12.019559974842281</v>
      </c>
      <c r="BC270" s="19">
        <v>21.452060918497054</v>
      </c>
      <c r="BD270" s="19">
        <v>14.620207255198665</v>
      </c>
      <c r="BE270" s="19">
        <v>15.744877080337645</v>
      </c>
      <c r="BF270" s="19">
        <v>3.1967308868620989</v>
      </c>
      <c r="BG270" s="19">
        <v>1.4845426216219266</v>
      </c>
      <c r="BH270" s="19">
        <v>2.0236499959287073</v>
      </c>
      <c r="BI270" s="19">
        <v>0.90095539630850396</v>
      </c>
      <c r="BJ270" s="19">
        <v>4.0802639033305326</v>
      </c>
      <c r="BK270" s="19">
        <v>5.0098667833022148</v>
      </c>
      <c r="BL270" s="19">
        <v>-6.3324464070335154</v>
      </c>
      <c r="BM270" s="19">
        <v>-7.8169506468136518</v>
      </c>
      <c r="BN270" s="19">
        <v>8.4680168975953052</v>
      </c>
    </row>
  </sheetData>
  <pageMargins left="0.7" right="0.7" top="0.75" bottom="0.75" header="0.3" footer="0.3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8B62-14A8-1746-A623-241072A69A9B}">
  <dimension ref="A1:B267"/>
  <sheetViews>
    <sheetView topLeftCell="A116" workbookViewId="0">
      <selection activeCell="C15" sqref="C15"/>
    </sheetView>
  </sheetViews>
  <sheetFormatPr baseColWidth="10" defaultRowHeight="16" x14ac:dyDescent="0.2"/>
  <sheetData>
    <row r="1" spans="1:2" x14ac:dyDescent="0.2">
      <c r="A1" s="23" t="s">
        <v>528</v>
      </c>
      <c r="B1" s="23" t="s">
        <v>798</v>
      </c>
    </row>
    <row r="2" spans="1:2" x14ac:dyDescent="0.2">
      <c r="A2" s="23" t="s">
        <v>529</v>
      </c>
      <c r="B2" s="23" t="s">
        <v>862</v>
      </c>
    </row>
    <row r="3" spans="1:2" x14ac:dyDescent="0.2">
      <c r="A3" s="23" t="s">
        <v>530</v>
      </c>
      <c r="B3" s="23" t="s">
        <v>865</v>
      </c>
    </row>
    <row r="4" spans="1:2" x14ac:dyDescent="0.2">
      <c r="A4" s="23" t="s">
        <v>531</v>
      </c>
      <c r="B4" s="23" t="s">
        <v>866</v>
      </c>
    </row>
    <row r="5" spans="1:2" x14ac:dyDescent="0.2">
      <c r="A5" s="23" t="s">
        <v>532</v>
      </c>
      <c r="B5" s="23" t="s">
        <v>867</v>
      </c>
    </row>
    <row r="6" spans="1:2" x14ac:dyDescent="0.2">
      <c r="A6" s="23" t="s">
        <v>533</v>
      </c>
      <c r="B6" s="23" t="s">
        <v>868</v>
      </c>
    </row>
    <row r="7" spans="1:2" x14ac:dyDescent="0.2">
      <c r="A7" s="23" t="s">
        <v>534</v>
      </c>
      <c r="B7" s="23" t="s">
        <v>869</v>
      </c>
    </row>
    <row r="8" spans="1:2" x14ac:dyDescent="0.2">
      <c r="A8" s="23" t="s">
        <v>535</v>
      </c>
      <c r="B8" s="23" t="s">
        <v>870</v>
      </c>
    </row>
    <row r="9" spans="1:2" x14ac:dyDescent="0.2">
      <c r="A9" s="23" t="s">
        <v>536</v>
      </c>
      <c r="B9" s="23" t="s">
        <v>871</v>
      </c>
    </row>
    <row r="10" spans="1:2" x14ac:dyDescent="0.2">
      <c r="A10" s="23" t="s">
        <v>537</v>
      </c>
      <c r="B10" s="23" t="s">
        <v>872</v>
      </c>
    </row>
    <row r="11" spans="1:2" x14ac:dyDescent="0.2">
      <c r="A11" s="23" t="s">
        <v>538</v>
      </c>
      <c r="B11" s="23" t="s">
        <v>873</v>
      </c>
    </row>
    <row r="12" spans="1:2" x14ac:dyDescent="0.2">
      <c r="A12" s="23" t="s">
        <v>539</v>
      </c>
      <c r="B12" s="23" t="s">
        <v>874</v>
      </c>
    </row>
    <row r="13" spans="1:2" x14ac:dyDescent="0.2">
      <c r="A13" s="23" t="s">
        <v>540</v>
      </c>
      <c r="B13" s="23" t="s">
        <v>875</v>
      </c>
    </row>
    <row r="14" spans="1:2" x14ac:dyDescent="0.2">
      <c r="A14" s="23" t="s">
        <v>541</v>
      </c>
      <c r="B14" s="23" t="s">
        <v>876</v>
      </c>
    </row>
    <row r="15" spans="1:2" x14ac:dyDescent="0.2">
      <c r="A15" s="23" t="s">
        <v>542</v>
      </c>
      <c r="B15" s="23" t="s">
        <v>877</v>
      </c>
    </row>
    <row r="16" spans="1:2" x14ac:dyDescent="0.2">
      <c r="A16" s="23" t="s">
        <v>543</v>
      </c>
      <c r="B16" s="23" t="s">
        <v>878</v>
      </c>
    </row>
    <row r="17" spans="1:2" x14ac:dyDescent="0.2">
      <c r="A17" s="23" t="s">
        <v>544</v>
      </c>
      <c r="B17" s="23" t="s">
        <v>879</v>
      </c>
    </row>
    <row r="18" spans="1:2" x14ac:dyDescent="0.2">
      <c r="A18" s="23" t="s">
        <v>545</v>
      </c>
      <c r="B18" s="23" t="s">
        <v>880</v>
      </c>
    </row>
    <row r="19" spans="1:2" x14ac:dyDescent="0.2">
      <c r="A19" s="23" t="s">
        <v>546</v>
      </c>
      <c r="B19" s="23" t="s">
        <v>881</v>
      </c>
    </row>
    <row r="20" spans="1:2" x14ac:dyDescent="0.2">
      <c r="A20" s="23" t="s">
        <v>547</v>
      </c>
      <c r="B20" s="23" t="s">
        <v>882</v>
      </c>
    </row>
    <row r="21" spans="1:2" x14ac:dyDescent="0.2">
      <c r="A21" s="23" t="s">
        <v>548</v>
      </c>
      <c r="B21" s="23" t="s">
        <v>883</v>
      </c>
    </row>
    <row r="22" spans="1:2" x14ac:dyDescent="0.2">
      <c r="A22" s="23" t="s">
        <v>549</v>
      </c>
      <c r="B22" s="23" t="s">
        <v>884</v>
      </c>
    </row>
    <row r="23" spans="1:2" x14ac:dyDescent="0.2">
      <c r="A23" s="23" t="s">
        <v>550</v>
      </c>
      <c r="B23" s="23" t="s">
        <v>885</v>
      </c>
    </row>
    <row r="24" spans="1:2" x14ac:dyDescent="0.2">
      <c r="A24" s="23" t="s">
        <v>551</v>
      </c>
      <c r="B24" s="23" t="s">
        <v>886</v>
      </c>
    </row>
    <row r="25" spans="1:2" x14ac:dyDescent="0.2">
      <c r="A25" s="23" t="s">
        <v>552</v>
      </c>
      <c r="B25" s="23" t="s">
        <v>887</v>
      </c>
    </row>
    <row r="26" spans="1:2" x14ac:dyDescent="0.2">
      <c r="A26" s="23" t="s">
        <v>553</v>
      </c>
      <c r="B26" s="23" t="s">
        <v>888</v>
      </c>
    </row>
    <row r="27" spans="1:2" x14ac:dyDescent="0.2">
      <c r="A27" s="23" t="s">
        <v>554</v>
      </c>
      <c r="B27" s="23" t="s">
        <v>889</v>
      </c>
    </row>
    <row r="28" spans="1:2" x14ac:dyDescent="0.2">
      <c r="A28" s="23" t="s">
        <v>555</v>
      </c>
      <c r="B28" s="23" t="s">
        <v>890</v>
      </c>
    </row>
    <row r="29" spans="1:2" x14ac:dyDescent="0.2">
      <c r="A29" s="23" t="s">
        <v>556</v>
      </c>
      <c r="B29" s="23" t="s">
        <v>891</v>
      </c>
    </row>
    <row r="30" spans="1:2" x14ac:dyDescent="0.2">
      <c r="A30" s="23" t="s">
        <v>557</v>
      </c>
      <c r="B30" s="23" t="s">
        <v>892</v>
      </c>
    </row>
    <row r="31" spans="1:2" x14ac:dyDescent="0.2">
      <c r="A31" s="23" t="s">
        <v>558</v>
      </c>
      <c r="B31" s="23" t="s">
        <v>893</v>
      </c>
    </row>
    <row r="32" spans="1:2" x14ac:dyDescent="0.2">
      <c r="A32" s="23" t="s">
        <v>559</v>
      </c>
      <c r="B32" s="23" t="s">
        <v>894</v>
      </c>
    </row>
    <row r="33" spans="1:2" x14ac:dyDescent="0.2">
      <c r="A33" s="23" t="s">
        <v>560</v>
      </c>
      <c r="B33" s="23" t="s">
        <v>895</v>
      </c>
    </row>
    <row r="34" spans="1:2" x14ac:dyDescent="0.2">
      <c r="A34" s="23" t="s">
        <v>561</v>
      </c>
      <c r="B34" s="23" t="s">
        <v>896</v>
      </c>
    </row>
    <row r="35" spans="1:2" x14ac:dyDescent="0.2">
      <c r="A35" s="23" t="s">
        <v>562</v>
      </c>
      <c r="B35" s="23" t="s">
        <v>897</v>
      </c>
    </row>
    <row r="36" spans="1:2" x14ac:dyDescent="0.2">
      <c r="A36" s="23" t="s">
        <v>563</v>
      </c>
      <c r="B36" s="23" t="s">
        <v>898</v>
      </c>
    </row>
    <row r="37" spans="1:2" x14ac:dyDescent="0.2">
      <c r="A37" s="23" t="s">
        <v>564</v>
      </c>
      <c r="B37" s="23" t="s">
        <v>899</v>
      </c>
    </row>
    <row r="38" spans="1:2" x14ac:dyDescent="0.2">
      <c r="A38" s="23" t="s">
        <v>565</v>
      </c>
      <c r="B38" s="23" t="s">
        <v>900</v>
      </c>
    </row>
    <row r="39" spans="1:2" x14ac:dyDescent="0.2">
      <c r="A39" s="23" t="s">
        <v>566</v>
      </c>
      <c r="B39" s="23" t="s">
        <v>901</v>
      </c>
    </row>
    <row r="40" spans="1:2" x14ac:dyDescent="0.2">
      <c r="A40" s="23" t="s">
        <v>567</v>
      </c>
      <c r="B40" s="23" t="s">
        <v>902</v>
      </c>
    </row>
    <row r="41" spans="1:2" x14ac:dyDescent="0.2">
      <c r="A41" s="23" t="s">
        <v>568</v>
      </c>
      <c r="B41" s="23" t="s">
        <v>903</v>
      </c>
    </row>
    <row r="42" spans="1:2" x14ac:dyDescent="0.2">
      <c r="A42" s="23" t="s">
        <v>569</v>
      </c>
      <c r="B42" s="23" t="s">
        <v>904</v>
      </c>
    </row>
    <row r="43" spans="1:2" x14ac:dyDescent="0.2">
      <c r="A43" s="23" t="s">
        <v>570</v>
      </c>
      <c r="B43" s="23" t="s">
        <v>905</v>
      </c>
    </row>
    <row r="44" spans="1:2" x14ac:dyDescent="0.2">
      <c r="A44" s="23" t="s">
        <v>571</v>
      </c>
      <c r="B44" s="23" t="s">
        <v>906</v>
      </c>
    </row>
    <row r="45" spans="1:2" x14ac:dyDescent="0.2">
      <c r="A45" s="23" t="s">
        <v>572</v>
      </c>
      <c r="B45" s="23" t="s">
        <v>907</v>
      </c>
    </row>
    <row r="46" spans="1:2" x14ac:dyDescent="0.2">
      <c r="A46" s="23" t="s">
        <v>573</v>
      </c>
      <c r="B46" s="23" t="s">
        <v>908</v>
      </c>
    </row>
    <row r="47" spans="1:2" x14ac:dyDescent="0.2">
      <c r="A47" s="23" t="s">
        <v>574</v>
      </c>
      <c r="B47" s="23" t="s">
        <v>909</v>
      </c>
    </row>
    <row r="48" spans="1:2" x14ac:dyDescent="0.2">
      <c r="A48" s="23" t="s">
        <v>575</v>
      </c>
      <c r="B48" s="23" t="s">
        <v>910</v>
      </c>
    </row>
    <row r="49" spans="1:2" x14ac:dyDescent="0.2">
      <c r="A49" s="23" t="s">
        <v>576</v>
      </c>
      <c r="B49" s="23" t="s">
        <v>911</v>
      </c>
    </row>
    <row r="50" spans="1:2" x14ac:dyDescent="0.2">
      <c r="A50" s="23" t="s">
        <v>577</v>
      </c>
      <c r="B50" s="23" t="s">
        <v>912</v>
      </c>
    </row>
    <row r="51" spans="1:2" x14ac:dyDescent="0.2">
      <c r="A51" s="23" t="s">
        <v>578</v>
      </c>
      <c r="B51" s="23" t="s">
        <v>913</v>
      </c>
    </row>
    <row r="52" spans="1:2" x14ac:dyDescent="0.2">
      <c r="A52" s="23" t="s">
        <v>579</v>
      </c>
      <c r="B52" s="23" t="s">
        <v>914</v>
      </c>
    </row>
    <row r="53" spans="1:2" x14ac:dyDescent="0.2">
      <c r="A53" s="23" t="s">
        <v>580</v>
      </c>
      <c r="B53" s="23" t="s">
        <v>915</v>
      </c>
    </row>
    <row r="54" spans="1:2" x14ac:dyDescent="0.2">
      <c r="A54" s="23" t="s">
        <v>581</v>
      </c>
      <c r="B54" s="23" t="s">
        <v>916</v>
      </c>
    </row>
    <row r="55" spans="1:2" x14ac:dyDescent="0.2">
      <c r="A55" s="23" t="s">
        <v>582</v>
      </c>
      <c r="B55" s="23" t="s">
        <v>917</v>
      </c>
    </row>
    <row r="56" spans="1:2" x14ac:dyDescent="0.2">
      <c r="A56" s="23" t="s">
        <v>583</v>
      </c>
      <c r="B56" s="23" t="s">
        <v>918</v>
      </c>
    </row>
    <row r="57" spans="1:2" x14ac:dyDescent="0.2">
      <c r="A57" s="23" t="s">
        <v>584</v>
      </c>
      <c r="B57" s="23" t="s">
        <v>919</v>
      </c>
    </row>
    <row r="58" spans="1:2" x14ac:dyDescent="0.2">
      <c r="A58" s="23" t="s">
        <v>585</v>
      </c>
      <c r="B58" s="23" t="s">
        <v>920</v>
      </c>
    </row>
    <row r="59" spans="1:2" x14ac:dyDescent="0.2">
      <c r="A59" s="23" t="s">
        <v>586</v>
      </c>
      <c r="B59" s="23" t="s">
        <v>921</v>
      </c>
    </row>
    <row r="60" spans="1:2" x14ac:dyDescent="0.2">
      <c r="A60" s="23" t="s">
        <v>587</v>
      </c>
      <c r="B60" s="23" t="s">
        <v>922</v>
      </c>
    </row>
    <row r="61" spans="1:2" x14ac:dyDescent="0.2">
      <c r="A61" s="23" t="s">
        <v>588</v>
      </c>
      <c r="B61" s="23" t="s">
        <v>923</v>
      </c>
    </row>
    <row r="62" spans="1:2" x14ac:dyDescent="0.2">
      <c r="A62" s="23" t="s">
        <v>589</v>
      </c>
      <c r="B62" s="23" t="s">
        <v>924</v>
      </c>
    </row>
    <row r="63" spans="1:2" x14ac:dyDescent="0.2">
      <c r="A63" s="23" t="s">
        <v>590</v>
      </c>
      <c r="B63" s="23" t="s">
        <v>925</v>
      </c>
    </row>
    <row r="64" spans="1:2" x14ac:dyDescent="0.2">
      <c r="A64" s="23" t="s">
        <v>591</v>
      </c>
      <c r="B64" s="23" t="s">
        <v>926</v>
      </c>
    </row>
    <row r="65" spans="1:2" x14ac:dyDescent="0.2">
      <c r="A65" s="23" t="s">
        <v>592</v>
      </c>
      <c r="B65" s="23" t="s">
        <v>927</v>
      </c>
    </row>
    <row r="66" spans="1:2" x14ac:dyDescent="0.2">
      <c r="A66" s="23" t="s">
        <v>593</v>
      </c>
      <c r="B66" s="23" t="s">
        <v>928</v>
      </c>
    </row>
    <row r="67" spans="1:2" x14ac:dyDescent="0.2">
      <c r="A67" s="23" t="s">
        <v>594</v>
      </c>
      <c r="B67" s="23" t="s">
        <v>929</v>
      </c>
    </row>
    <row r="68" spans="1:2" x14ac:dyDescent="0.2">
      <c r="A68" s="23" t="s">
        <v>595</v>
      </c>
      <c r="B68" s="23" t="s">
        <v>930</v>
      </c>
    </row>
    <row r="69" spans="1:2" x14ac:dyDescent="0.2">
      <c r="A69" s="23" t="s">
        <v>596</v>
      </c>
      <c r="B69" s="23" t="s">
        <v>931</v>
      </c>
    </row>
    <row r="70" spans="1:2" x14ac:dyDescent="0.2">
      <c r="A70" s="23" t="s">
        <v>597</v>
      </c>
      <c r="B70" s="23" t="s">
        <v>932</v>
      </c>
    </row>
    <row r="71" spans="1:2" x14ac:dyDescent="0.2">
      <c r="A71" s="23" t="s">
        <v>598</v>
      </c>
      <c r="B71" s="23" t="s">
        <v>933</v>
      </c>
    </row>
    <row r="72" spans="1:2" x14ac:dyDescent="0.2">
      <c r="A72" s="23" t="s">
        <v>599</v>
      </c>
      <c r="B72" s="23" t="s">
        <v>934</v>
      </c>
    </row>
    <row r="73" spans="1:2" x14ac:dyDescent="0.2">
      <c r="A73" s="23" t="s">
        <v>600</v>
      </c>
      <c r="B73" s="23" t="s">
        <v>935</v>
      </c>
    </row>
    <row r="74" spans="1:2" x14ac:dyDescent="0.2">
      <c r="A74" s="23" t="s">
        <v>601</v>
      </c>
      <c r="B74" s="23" t="s">
        <v>936</v>
      </c>
    </row>
    <row r="75" spans="1:2" x14ac:dyDescent="0.2">
      <c r="A75" s="23" t="s">
        <v>602</v>
      </c>
      <c r="B75" s="23" t="s">
        <v>937</v>
      </c>
    </row>
    <row r="76" spans="1:2" x14ac:dyDescent="0.2">
      <c r="A76" s="23" t="s">
        <v>603</v>
      </c>
      <c r="B76" s="23" t="s">
        <v>938</v>
      </c>
    </row>
    <row r="77" spans="1:2" x14ac:dyDescent="0.2">
      <c r="A77" s="23" t="s">
        <v>604</v>
      </c>
      <c r="B77" s="23" t="s">
        <v>939</v>
      </c>
    </row>
    <row r="78" spans="1:2" x14ac:dyDescent="0.2">
      <c r="A78" s="23" t="s">
        <v>605</v>
      </c>
      <c r="B78" s="23" t="s">
        <v>940</v>
      </c>
    </row>
    <row r="79" spans="1:2" x14ac:dyDescent="0.2">
      <c r="A79" s="23" t="s">
        <v>606</v>
      </c>
      <c r="B79" s="23" t="s">
        <v>941</v>
      </c>
    </row>
    <row r="80" spans="1:2" x14ac:dyDescent="0.2">
      <c r="A80" s="23" t="s">
        <v>607</v>
      </c>
      <c r="B80" s="23" t="s">
        <v>942</v>
      </c>
    </row>
    <row r="81" spans="1:2" x14ac:dyDescent="0.2">
      <c r="A81" s="23" t="s">
        <v>608</v>
      </c>
      <c r="B81" s="23" t="s">
        <v>943</v>
      </c>
    </row>
    <row r="82" spans="1:2" x14ac:dyDescent="0.2">
      <c r="A82" s="23" t="s">
        <v>609</v>
      </c>
      <c r="B82" s="23" t="s">
        <v>944</v>
      </c>
    </row>
    <row r="83" spans="1:2" x14ac:dyDescent="0.2">
      <c r="A83" s="23" t="s">
        <v>610</v>
      </c>
      <c r="B83" s="23" t="s">
        <v>945</v>
      </c>
    </row>
    <row r="84" spans="1:2" x14ac:dyDescent="0.2">
      <c r="A84" s="23" t="s">
        <v>611</v>
      </c>
      <c r="B84" s="23" t="s">
        <v>946</v>
      </c>
    </row>
    <row r="85" spans="1:2" x14ac:dyDescent="0.2">
      <c r="A85" s="23" t="s">
        <v>612</v>
      </c>
      <c r="B85" s="23" t="s">
        <v>947</v>
      </c>
    </row>
    <row r="86" spans="1:2" x14ac:dyDescent="0.2">
      <c r="A86" s="23" t="s">
        <v>613</v>
      </c>
      <c r="B86" s="23" t="s">
        <v>948</v>
      </c>
    </row>
    <row r="87" spans="1:2" x14ac:dyDescent="0.2">
      <c r="A87" s="23" t="s">
        <v>614</v>
      </c>
      <c r="B87" s="23" t="s">
        <v>949</v>
      </c>
    </row>
    <row r="88" spans="1:2" x14ac:dyDescent="0.2">
      <c r="A88" s="23" t="s">
        <v>615</v>
      </c>
      <c r="B88" s="23" t="s">
        <v>950</v>
      </c>
    </row>
    <row r="89" spans="1:2" x14ac:dyDescent="0.2">
      <c r="A89" s="23" t="s">
        <v>616</v>
      </c>
      <c r="B89" s="23" t="s">
        <v>951</v>
      </c>
    </row>
    <row r="90" spans="1:2" x14ac:dyDescent="0.2">
      <c r="A90" s="23" t="s">
        <v>617</v>
      </c>
      <c r="B90" s="23" t="s">
        <v>952</v>
      </c>
    </row>
    <row r="91" spans="1:2" x14ac:dyDescent="0.2">
      <c r="A91" s="23" t="s">
        <v>618</v>
      </c>
      <c r="B91" s="23" t="s">
        <v>953</v>
      </c>
    </row>
    <row r="92" spans="1:2" x14ac:dyDescent="0.2">
      <c r="A92" s="23" t="s">
        <v>619</v>
      </c>
      <c r="B92" s="23" t="s">
        <v>954</v>
      </c>
    </row>
    <row r="93" spans="1:2" x14ac:dyDescent="0.2">
      <c r="A93" s="23" t="s">
        <v>620</v>
      </c>
      <c r="B93" s="23" t="s">
        <v>955</v>
      </c>
    </row>
    <row r="94" spans="1:2" x14ac:dyDescent="0.2">
      <c r="A94" s="23" t="s">
        <v>621</v>
      </c>
      <c r="B94" s="23" t="s">
        <v>956</v>
      </c>
    </row>
    <row r="95" spans="1:2" x14ac:dyDescent="0.2">
      <c r="A95" s="23" t="s">
        <v>622</v>
      </c>
      <c r="B95" s="23" t="s">
        <v>957</v>
      </c>
    </row>
    <row r="96" spans="1:2" x14ac:dyDescent="0.2">
      <c r="A96" s="23" t="s">
        <v>623</v>
      </c>
      <c r="B96" s="23" t="s">
        <v>958</v>
      </c>
    </row>
    <row r="97" spans="1:2" x14ac:dyDescent="0.2">
      <c r="A97" s="23" t="s">
        <v>624</v>
      </c>
      <c r="B97" s="23" t="s">
        <v>959</v>
      </c>
    </row>
    <row r="98" spans="1:2" x14ac:dyDescent="0.2">
      <c r="A98" s="23" t="s">
        <v>625</v>
      </c>
      <c r="B98" s="23" t="s">
        <v>960</v>
      </c>
    </row>
    <row r="99" spans="1:2" x14ac:dyDescent="0.2">
      <c r="A99" s="23" t="s">
        <v>626</v>
      </c>
      <c r="B99" s="23" t="s">
        <v>961</v>
      </c>
    </row>
    <row r="100" spans="1:2" x14ac:dyDescent="0.2">
      <c r="A100" s="23" t="s">
        <v>627</v>
      </c>
      <c r="B100" s="23" t="s">
        <v>962</v>
      </c>
    </row>
    <row r="101" spans="1:2" x14ac:dyDescent="0.2">
      <c r="A101" s="23" t="s">
        <v>628</v>
      </c>
      <c r="B101" s="23" t="s">
        <v>963</v>
      </c>
    </row>
    <row r="102" spans="1:2" x14ac:dyDescent="0.2">
      <c r="A102" s="23" t="s">
        <v>629</v>
      </c>
      <c r="B102" s="23" t="s">
        <v>964</v>
      </c>
    </row>
    <row r="103" spans="1:2" x14ac:dyDescent="0.2">
      <c r="A103" s="23" t="s">
        <v>630</v>
      </c>
      <c r="B103" s="23" t="s">
        <v>965</v>
      </c>
    </row>
    <row r="104" spans="1:2" x14ac:dyDescent="0.2">
      <c r="A104" s="23" t="s">
        <v>631</v>
      </c>
      <c r="B104" s="23" t="s">
        <v>966</v>
      </c>
    </row>
    <row r="105" spans="1:2" x14ac:dyDescent="0.2">
      <c r="A105" s="23" t="s">
        <v>632</v>
      </c>
      <c r="B105" s="23" t="s">
        <v>967</v>
      </c>
    </row>
    <row r="106" spans="1:2" x14ac:dyDescent="0.2">
      <c r="A106" s="23" t="s">
        <v>633</v>
      </c>
      <c r="B106" s="23" t="s">
        <v>968</v>
      </c>
    </row>
    <row r="107" spans="1:2" x14ac:dyDescent="0.2">
      <c r="A107" s="23" t="s">
        <v>634</v>
      </c>
      <c r="B107" s="23" t="s">
        <v>969</v>
      </c>
    </row>
    <row r="108" spans="1:2" x14ac:dyDescent="0.2">
      <c r="A108" s="23" t="s">
        <v>635</v>
      </c>
      <c r="B108" s="23" t="s">
        <v>970</v>
      </c>
    </row>
    <row r="109" spans="1:2" x14ac:dyDescent="0.2">
      <c r="A109" s="23" t="s">
        <v>636</v>
      </c>
      <c r="B109" s="23" t="s">
        <v>971</v>
      </c>
    </row>
    <row r="110" spans="1:2" x14ac:dyDescent="0.2">
      <c r="A110" s="23" t="s">
        <v>637</v>
      </c>
      <c r="B110" s="23" t="s">
        <v>972</v>
      </c>
    </row>
    <row r="111" spans="1:2" x14ac:dyDescent="0.2">
      <c r="A111" s="23" t="s">
        <v>524</v>
      </c>
      <c r="B111" s="23" t="s">
        <v>525</v>
      </c>
    </row>
    <row r="112" spans="1:2" x14ac:dyDescent="0.2">
      <c r="A112" s="23" t="s">
        <v>638</v>
      </c>
      <c r="B112" s="23" t="s">
        <v>973</v>
      </c>
    </row>
    <row r="113" spans="1:2" x14ac:dyDescent="0.2">
      <c r="A113" s="23" t="s">
        <v>639</v>
      </c>
      <c r="B113" s="23" t="s">
        <v>974</v>
      </c>
    </row>
    <row r="114" spans="1:2" x14ac:dyDescent="0.2">
      <c r="A114" s="23" t="s">
        <v>640</v>
      </c>
      <c r="B114" s="23" t="s">
        <v>975</v>
      </c>
    </row>
    <row r="115" spans="1:2" x14ac:dyDescent="0.2">
      <c r="A115" s="23" t="s">
        <v>641</v>
      </c>
      <c r="B115" s="23" t="s">
        <v>976</v>
      </c>
    </row>
    <row r="116" spans="1:2" x14ac:dyDescent="0.2">
      <c r="A116" s="23" t="s">
        <v>642</v>
      </c>
      <c r="B116" s="23" t="s">
        <v>977</v>
      </c>
    </row>
    <row r="117" spans="1:2" x14ac:dyDescent="0.2">
      <c r="A117" s="23" t="s">
        <v>643</v>
      </c>
      <c r="B117" s="23" t="s">
        <v>978</v>
      </c>
    </row>
    <row r="118" spans="1:2" x14ac:dyDescent="0.2">
      <c r="A118" s="23" t="s">
        <v>644</v>
      </c>
      <c r="B118" s="23" t="s">
        <v>979</v>
      </c>
    </row>
    <row r="119" spans="1:2" x14ac:dyDescent="0.2">
      <c r="A119" s="23" t="s">
        <v>645</v>
      </c>
      <c r="B119" s="23" t="s">
        <v>980</v>
      </c>
    </row>
    <row r="120" spans="1:2" x14ac:dyDescent="0.2">
      <c r="A120" s="23" t="s">
        <v>646</v>
      </c>
      <c r="B120" s="23" t="s">
        <v>981</v>
      </c>
    </row>
    <row r="121" spans="1:2" x14ac:dyDescent="0.2">
      <c r="A121" s="23" t="s">
        <v>647</v>
      </c>
      <c r="B121" s="23" t="s">
        <v>982</v>
      </c>
    </row>
    <row r="122" spans="1:2" x14ac:dyDescent="0.2">
      <c r="A122" s="23" t="s">
        <v>648</v>
      </c>
      <c r="B122" s="23" t="s">
        <v>983</v>
      </c>
    </row>
    <row r="123" spans="1:2" x14ac:dyDescent="0.2">
      <c r="A123" s="23" t="s">
        <v>649</v>
      </c>
      <c r="B123" s="23" t="s">
        <v>984</v>
      </c>
    </row>
    <row r="124" spans="1:2" x14ac:dyDescent="0.2">
      <c r="A124" s="23" t="s">
        <v>650</v>
      </c>
      <c r="B124" s="23" t="s">
        <v>985</v>
      </c>
    </row>
    <row r="125" spans="1:2" x14ac:dyDescent="0.2">
      <c r="A125" s="23" t="s">
        <v>651</v>
      </c>
      <c r="B125" s="23" t="s">
        <v>986</v>
      </c>
    </row>
    <row r="126" spans="1:2" x14ac:dyDescent="0.2">
      <c r="A126" s="23" t="s">
        <v>652</v>
      </c>
      <c r="B126" s="23" t="s">
        <v>987</v>
      </c>
    </row>
    <row r="127" spans="1:2" x14ac:dyDescent="0.2">
      <c r="A127" s="23" t="s">
        <v>653</v>
      </c>
      <c r="B127" s="23" t="s">
        <v>988</v>
      </c>
    </row>
    <row r="128" spans="1:2" x14ac:dyDescent="0.2">
      <c r="A128" s="23" t="s">
        <v>654</v>
      </c>
      <c r="B128" s="23" t="s">
        <v>989</v>
      </c>
    </row>
    <row r="129" spans="1:2" x14ac:dyDescent="0.2">
      <c r="A129" s="23" t="s">
        <v>655</v>
      </c>
      <c r="B129" s="23" t="s">
        <v>990</v>
      </c>
    </row>
    <row r="130" spans="1:2" x14ac:dyDescent="0.2">
      <c r="A130" s="23" t="s">
        <v>656</v>
      </c>
      <c r="B130" s="23" t="s">
        <v>991</v>
      </c>
    </row>
    <row r="131" spans="1:2" x14ac:dyDescent="0.2">
      <c r="A131" s="23" t="s">
        <v>657</v>
      </c>
      <c r="B131" s="23" t="s">
        <v>992</v>
      </c>
    </row>
    <row r="132" spans="1:2" x14ac:dyDescent="0.2">
      <c r="A132" s="23" t="s">
        <v>658</v>
      </c>
      <c r="B132" s="23" t="s">
        <v>993</v>
      </c>
    </row>
    <row r="133" spans="1:2" x14ac:dyDescent="0.2">
      <c r="A133" s="23" t="s">
        <v>659</v>
      </c>
      <c r="B133" s="23" t="s">
        <v>994</v>
      </c>
    </row>
    <row r="134" spans="1:2" x14ac:dyDescent="0.2">
      <c r="A134" s="23" t="s">
        <v>660</v>
      </c>
      <c r="B134" s="23" t="s">
        <v>995</v>
      </c>
    </row>
    <row r="135" spans="1:2" x14ac:dyDescent="0.2">
      <c r="A135" s="23" t="s">
        <v>661</v>
      </c>
      <c r="B135" s="23" t="s">
        <v>996</v>
      </c>
    </row>
    <row r="136" spans="1:2" x14ac:dyDescent="0.2">
      <c r="A136" s="23" t="s">
        <v>662</v>
      </c>
      <c r="B136" s="23" t="s">
        <v>997</v>
      </c>
    </row>
    <row r="137" spans="1:2" x14ac:dyDescent="0.2">
      <c r="A137" s="23" t="s">
        <v>663</v>
      </c>
      <c r="B137" s="23" t="s">
        <v>998</v>
      </c>
    </row>
    <row r="138" spans="1:2" x14ac:dyDescent="0.2">
      <c r="A138" s="23" t="s">
        <v>664</v>
      </c>
      <c r="B138" s="23" t="s">
        <v>999</v>
      </c>
    </row>
    <row r="139" spans="1:2" x14ac:dyDescent="0.2">
      <c r="A139" s="23" t="s">
        <v>665</v>
      </c>
      <c r="B139" s="23" t="s">
        <v>1000</v>
      </c>
    </row>
    <row r="140" spans="1:2" x14ac:dyDescent="0.2">
      <c r="A140" s="23" t="s">
        <v>666</v>
      </c>
      <c r="B140" s="23" t="s">
        <v>1001</v>
      </c>
    </row>
    <row r="141" spans="1:2" x14ac:dyDescent="0.2">
      <c r="A141" s="23" t="s">
        <v>667</v>
      </c>
      <c r="B141" s="23" t="s">
        <v>1002</v>
      </c>
    </row>
    <row r="142" spans="1:2" x14ac:dyDescent="0.2">
      <c r="A142" s="23" t="s">
        <v>668</v>
      </c>
      <c r="B142" s="23" t="s">
        <v>1003</v>
      </c>
    </row>
    <row r="143" spans="1:2" x14ac:dyDescent="0.2">
      <c r="A143" s="23" t="s">
        <v>669</v>
      </c>
      <c r="B143" s="23" t="s">
        <v>1004</v>
      </c>
    </row>
    <row r="144" spans="1:2" x14ac:dyDescent="0.2">
      <c r="A144" s="23" t="s">
        <v>670</v>
      </c>
      <c r="B144" s="23" t="s">
        <v>1005</v>
      </c>
    </row>
    <row r="145" spans="1:2" x14ac:dyDescent="0.2">
      <c r="A145" s="23" t="s">
        <v>671</v>
      </c>
      <c r="B145" s="23" t="s">
        <v>1006</v>
      </c>
    </row>
    <row r="146" spans="1:2" x14ac:dyDescent="0.2">
      <c r="A146" s="23" t="s">
        <v>672</v>
      </c>
      <c r="B146" s="23" t="s">
        <v>1007</v>
      </c>
    </row>
    <row r="147" spans="1:2" x14ac:dyDescent="0.2">
      <c r="A147" s="23" t="s">
        <v>673</v>
      </c>
      <c r="B147" s="23" t="s">
        <v>1008</v>
      </c>
    </row>
    <row r="148" spans="1:2" x14ac:dyDescent="0.2">
      <c r="A148" s="23" t="s">
        <v>674</v>
      </c>
      <c r="B148" s="23" t="s">
        <v>1009</v>
      </c>
    </row>
    <row r="149" spans="1:2" x14ac:dyDescent="0.2">
      <c r="A149" s="23" t="s">
        <v>675</v>
      </c>
      <c r="B149" s="23" t="s">
        <v>1010</v>
      </c>
    </row>
    <row r="150" spans="1:2" x14ac:dyDescent="0.2">
      <c r="A150" s="23" t="s">
        <v>676</v>
      </c>
      <c r="B150" s="23" t="s">
        <v>1011</v>
      </c>
    </row>
    <row r="151" spans="1:2" x14ac:dyDescent="0.2">
      <c r="A151" s="23" t="s">
        <v>677</v>
      </c>
      <c r="B151" s="23" t="s">
        <v>1012</v>
      </c>
    </row>
    <row r="152" spans="1:2" x14ac:dyDescent="0.2">
      <c r="A152" s="23" t="s">
        <v>678</v>
      </c>
      <c r="B152" s="23" t="s">
        <v>1013</v>
      </c>
    </row>
    <row r="153" spans="1:2" x14ac:dyDescent="0.2">
      <c r="A153" s="23" t="s">
        <v>679</v>
      </c>
      <c r="B153" s="23" t="s">
        <v>1014</v>
      </c>
    </row>
    <row r="154" spans="1:2" x14ac:dyDescent="0.2">
      <c r="A154" s="23" t="s">
        <v>680</v>
      </c>
      <c r="B154" s="23" t="s">
        <v>1015</v>
      </c>
    </row>
    <row r="155" spans="1:2" x14ac:dyDescent="0.2">
      <c r="A155" s="23" t="s">
        <v>681</v>
      </c>
      <c r="B155" s="23" t="s">
        <v>1016</v>
      </c>
    </row>
    <row r="156" spans="1:2" x14ac:dyDescent="0.2">
      <c r="A156" s="23" t="s">
        <v>682</v>
      </c>
      <c r="B156" s="23" t="s">
        <v>1017</v>
      </c>
    </row>
    <row r="157" spans="1:2" x14ac:dyDescent="0.2">
      <c r="A157" s="23" t="s">
        <v>683</v>
      </c>
      <c r="B157" s="23" t="s">
        <v>1018</v>
      </c>
    </row>
    <row r="158" spans="1:2" x14ac:dyDescent="0.2">
      <c r="A158" s="23" t="s">
        <v>684</v>
      </c>
      <c r="B158" s="23" t="s">
        <v>1019</v>
      </c>
    </row>
    <row r="159" spans="1:2" x14ac:dyDescent="0.2">
      <c r="A159" s="23" t="s">
        <v>685</v>
      </c>
      <c r="B159" s="23" t="s">
        <v>1020</v>
      </c>
    </row>
    <row r="160" spans="1:2" x14ac:dyDescent="0.2">
      <c r="A160" s="23" t="s">
        <v>686</v>
      </c>
      <c r="B160" s="23" t="s">
        <v>1021</v>
      </c>
    </row>
    <row r="161" spans="1:2" x14ac:dyDescent="0.2">
      <c r="A161" s="23" t="s">
        <v>687</v>
      </c>
      <c r="B161" s="23" t="s">
        <v>1022</v>
      </c>
    </row>
    <row r="162" spans="1:2" x14ac:dyDescent="0.2">
      <c r="A162" s="23" t="s">
        <v>688</v>
      </c>
      <c r="B162" s="23" t="s">
        <v>1023</v>
      </c>
    </row>
    <row r="163" spans="1:2" x14ac:dyDescent="0.2">
      <c r="A163" s="23" t="s">
        <v>689</v>
      </c>
      <c r="B163" s="23" t="s">
        <v>1024</v>
      </c>
    </row>
    <row r="164" spans="1:2" x14ac:dyDescent="0.2">
      <c r="A164" s="23" t="s">
        <v>690</v>
      </c>
      <c r="B164" s="23" t="s">
        <v>1025</v>
      </c>
    </row>
    <row r="165" spans="1:2" x14ac:dyDescent="0.2">
      <c r="A165" s="23" t="s">
        <v>691</v>
      </c>
      <c r="B165" s="23" t="s">
        <v>1026</v>
      </c>
    </row>
    <row r="166" spans="1:2" x14ac:dyDescent="0.2">
      <c r="A166" s="23" t="s">
        <v>692</v>
      </c>
      <c r="B166" s="23" t="s">
        <v>1027</v>
      </c>
    </row>
    <row r="167" spans="1:2" x14ac:dyDescent="0.2">
      <c r="A167" s="23" t="s">
        <v>693</v>
      </c>
      <c r="B167" s="23" t="s">
        <v>1028</v>
      </c>
    </row>
    <row r="168" spans="1:2" x14ac:dyDescent="0.2">
      <c r="A168" s="23" t="s">
        <v>694</v>
      </c>
      <c r="B168" s="23" t="s">
        <v>1029</v>
      </c>
    </row>
    <row r="169" spans="1:2" x14ac:dyDescent="0.2">
      <c r="A169" s="23" t="s">
        <v>695</v>
      </c>
      <c r="B169" s="23" t="s">
        <v>1030</v>
      </c>
    </row>
    <row r="170" spans="1:2" x14ac:dyDescent="0.2">
      <c r="A170" s="23" t="s">
        <v>696</v>
      </c>
      <c r="B170" s="23" t="s">
        <v>1031</v>
      </c>
    </row>
    <row r="171" spans="1:2" x14ac:dyDescent="0.2">
      <c r="A171" s="23" t="s">
        <v>697</v>
      </c>
      <c r="B171" s="23" t="s">
        <v>1032</v>
      </c>
    </row>
    <row r="172" spans="1:2" x14ac:dyDescent="0.2">
      <c r="A172" s="23" t="s">
        <v>698</v>
      </c>
      <c r="B172" s="23" t="s">
        <v>1033</v>
      </c>
    </row>
    <row r="173" spans="1:2" x14ac:dyDescent="0.2">
      <c r="A173" s="23" t="s">
        <v>699</v>
      </c>
      <c r="B173" s="23" t="s">
        <v>1034</v>
      </c>
    </row>
    <row r="174" spans="1:2" x14ac:dyDescent="0.2">
      <c r="A174" s="23" t="s">
        <v>700</v>
      </c>
      <c r="B174" s="23" t="s">
        <v>1035</v>
      </c>
    </row>
    <row r="175" spans="1:2" x14ac:dyDescent="0.2">
      <c r="A175" s="23" t="s">
        <v>701</v>
      </c>
      <c r="B175" s="23" t="s">
        <v>1036</v>
      </c>
    </row>
    <row r="176" spans="1:2" x14ac:dyDescent="0.2">
      <c r="A176" s="23" t="s">
        <v>702</v>
      </c>
      <c r="B176" s="23" t="s">
        <v>1037</v>
      </c>
    </row>
    <row r="177" spans="1:2" x14ac:dyDescent="0.2">
      <c r="A177" s="23" t="s">
        <v>703</v>
      </c>
      <c r="B177" s="23" t="s">
        <v>1038</v>
      </c>
    </row>
    <row r="178" spans="1:2" x14ac:dyDescent="0.2">
      <c r="A178" s="23" t="s">
        <v>704</v>
      </c>
      <c r="B178" s="23" t="s">
        <v>1039</v>
      </c>
    </row>
    <row r="179" spans="1:2" x14ac:dyDescent="0.2">
      <c r="A179" s="23" t="s">
        <v>705</v>
      </c>
      <c r="B179" s="23" t="s">
        <v>1040</v>
      </c>
    </row>
    <row r="180" spans="1:2" x14ac:dyDescent="0.2">
      <c r="A180" s="23" t="s">
        <v>706</v>
      </c>
      <c r="B180" s="23" t="s">
        <v>1041</v>
      </c>
    </row>
    <row r="181" spans="1:2" x14ac:dyDescent="0.2">
      <c r="A181" s="23" t="s">
        <v>707</v>
      </c>
      <c r="B181" s="23" t="s">
        <v>1042</v>
      </c>
    </row>
    <row r="182" spans="1:2" x14ac:dyDescent="0.2">
      <c r="A182" s="23" t="s">
        <v>708</v>
      </c>
      <c r="B182" s="23" t="s">
        <v>1043</v>
      </c>
    </row>
    <row r="183" spans="1:2" x14ac:dyDescent="0.2">
      <c r="A183" s="23" t="s">
        <v>709</v>
      </c>
      <c r="B183" s="23" t="s">
        <v>1044</v>
      </c>
    </row>
    <row r="184" spans="1:2" x14ac:dyDescent="0.2">
      <c r="A184" s="23" t="s">
        <v>710</v>
      </c>
      <c r="B184" s="23" t="s">
        <v>1045</v>
      </c>
    </row>
    <row r="185" spans="1:2" x14ac:dyDescent="0.2">
      <c r="A185" s="23" t="s">
        <v>711</v>
      </c>
      <c r="B185" s="23" t="s">
        <v>1046</v>
      </c>
    </row>
    <row r="186" spans="1:2" x14ac:dyDescent="0.2">
      <c r="A186" s="23" t="s">
        <v>712</v>
      </c>
      <c r="B186" s="23" t="s">
        <v>1047</v>
      </c>
    </row>
    <row r="187" spans="1:2" x14ac:dyDescent="0.2">
      <c r="A187" s="23" t="s">
        <v>713</v>
      </c>
      <c r="B187" s="23" t="s">
        <v>1048</v>
      </c>
    </row>
    <row r="188" spans="1:2" x14ac:dyDescent="0.2">
      <c r="A188" s="23" t="s">
        <v>714</v>
      </c>
      <c r="B188" s="23" t="s">
        <v>1049</v>
      </c>
    </row>
    <row r="189" spans="1:2" x14ac:dyDescent="0.2">
      <c r="A189" s="23" t="s">
        <v>715</v>
      </c>
      <c r="B189" s="23" t="s">
        <v>1050</v>
      </c>
    </row>
    <row r="190" spans="1:2" x14ac:dyDescent="0.2">
      <c r="A190" s="23" t="s">
        <v>716</v>
      </c>
      <c r="B190" s="23" t="s">
        <v>1051</v>
      </c>
    </row>
    <row r="191" spans="1:2" x14ac:dyDescent="0.2">
      <c r="A191" s="23" t="s">
        <v>717</v>
      </c>
      <c r="B191" s="23" t="s">
        <v>1052</v>
      </c>
    </row>
    <row r="192" spans="1:2" x14ac:dyDescent="0.2">
      <c r="A192" s="23" t="s">
        <v>718</v>
      </c>
      <c r="B192" s="23" t="s">
        <v>1053</v>
      </c>
    </row>
    <row r="193" spans="1:2" x14ac:dyDescent="0.2">
      <c r="A193" s="23" t="s">
        <v>719</v>
      </c>
      <c r="B193" s="23" t="s">
        <v>1054</v>
      </c>
    </row>
    <row r="194" spans="1:2" x14ac:dyDescent="0.2">
      <c r="A194" s="23" t="s">
        <v>720</v>
      </c>
      <c r="B194" s="23" t="s">
        <v>1055</v>
      </c>
    </row>
    <row r="195" spans="1:2" x14ac:dyDescent="0.2">
      <c r="A195" s="23" t="s">
        <v>721</v>
      </c>
      <c r="B195" s="23" t="s">
        <v>1056</v>
      </c>
    </row>
    <row r="196" spans="1:2" x14ac:dyDescent="0.2">
      <c r="A196" s="23" t="s">
        <v>722</v>
      </c>
      <c r="B196" s="23" t="s">
        <v>1057</v>
      </c>
    </row>
    <row r="197" spans="1:2" x14ac:dyDescent="0.2">
      <c r="A197" s="23" t="s">
        <v>723</v>
      </c>
      <c r="B197" s="23" t="s">
        <v>1058</v>
      </c>
    </row>
    <row r="198" spans="1:2" x14ac:dyDescent="0.2">
      <c r="A198" s="23" t="s">
        <v>724</v>
      </c>
      <c r="B198" s="23" t="s">
        <v>1059</v>
      </c>
    </row>
    <row r="199" spans="1:2" x14ac:dyDescent="0.2">
      <c r="A199" s="23" t="s">
        <v>725</v>
      </c>
      <c r="B199" s="23" t="s">
        <v>1060</v>
      </c>
    </row>
    <row r="200" spans="1:2" x14ac:dyDescent="0.2">
      <c r="A200" s="23" t="s">
        <v>726</v>
      </c>
      <c r="B200" s="23" t="s">
        <v>1061</v>
      </c>
    </row>
    <row r="201" spans="1:2" x14ac:dyDescent="0.2">
      <c r="A201" s="23" t="s">
        <v>727</v>
      </c>
      <c r="B201" s="23" t="s">
        <v>1062</v>
      </c>
    </row>
    <row r="202" spans="1:2" x14ac:dyDescent="0.2">
      <c r="A202" s="23" t="s">
        <v>728</v>
      </c>
      <c r="B202" s="23" t="s">
        <v>1063</v>
      </c>
    </row>
    <row r="203" spans="1:2" x14ac:dyDescent="0.2">
      <c r="A203" s="23" t="s">
        <v>729</v>
      </c>
      <c r="B203" s="23" t="s">
        <v>1064</v>
      </c>
    </row>
    <row r="204" spans="1:2" x14ac:dyDescent="0.2">
      <c r="A204" s="23" t="s">
        <v>730</v>
      </c>
      <c r="B204" s="23" t="s">
        <v>1065</v>
      </c>
    </row>
    <row r="205" spans="1:2" x14ac:dyDescent="0.2">
      <c r="A205" s="23" t="s">
        <v>731</v>
      </c>
      <c r="B205" s="23" t="s">
        <v>1066</v>
      </c>
    </row>
    <row r="206" spans="1:2" x14ac:dyDescent="0.2">
      <c r="A206" s="23" t="s">
        <v>732</v>
      </c>
      <c r="B206" s="23" t="s">
        <v>1067</v>
      </c>
    </row>
    <row r="207" spans="1:2" x14ac:dyDescent="0.2">
      <c r="A207" s="23" t="s">
        <v>733</v>
      </c>
      <c r="B207" s="23" t="s">
        <v>1068</v>
      </c>
    </row>
    <row r="208" spans="1:2" x14ac:dyDescent="0.2">
      <c r="A208" s="23" t="s">
        <v>734</v>
      </c>
      <c r="B208" s="23" t="s">
        <v>1069</v>
      </c>
    </row>
    <row r="209" spans="1:2" x14ac:dyDescent="0.2">
      <c r="A209" s="23" t="s">
        <v>735</v>
      </c>
      <c r="B209" s="23" t="s">
        <v>1070</v>
      </c>
    </row>
    <row r="210" spans="1:2" x14ac:dyDescent="0.2">
      <c r="A210" s="23" t="s">
        <v>736</v>
      </c>
      <c r="B210" s="23" t="s">
        <v>1071</v>
      </c>
    </row>
    <row r="211" spans="1:2" x14ac:dyDescent="0.2">
      <c r="A211" s="23" t="s">
        <v>737</v>
      </c>
      <c r="B211" s="23" t="s">
        <v>1072</v>
      </c>
    </row>
    <row r="212" spans="1:2" x14ac:dyDescent="0.2">
      <c r="A212" s="23" t="s">
        <v>738</v>
      </c>
      <c r="B212" s="23" t="s">
        <v>1073</v>
      </c>
    </row>
    <row r="213" spans="1:2" x14ac:dyDescent="0.2">
      <c r="A213" s="23" t="s">
        <v>739</v>
      </c>
      <c r="B213" s="23" t="s">
        <v>1074</v>
      </c>
    </row>
    <row r="214" spans="1:2" x14ac:dyDescent="0.2">
      <c r="A214" s="23" t="s">
        <v>740</v>
      </c>
      <c r="B214" s="23" t="s">
        <v>1075</v>
      </c>
    </row>
    <row r="215" spans="1:2" x14ac:dyDescent="0.2">
      <c r="A215" s="23" t="s">
        <v>741</v>
      </c>
      <c r="B215" s="23" t="s">
        <v>1076</v>
      </c>
    </row>
    <row r="216" spans="1:2" x14ac:dyDescent="0.2">
      <c r="A216" s="23" t="s">
        <v>742</v>
      </c>
      <c r="B216" s="23" t="s">
        <v>1077</v>
      </c>
    </row>
    <row r="217" spans="1:2" x14ac:dyDescent="0.2">
      <c r="A217" s="23" t="s">
        <v>743</v>
      </c>
      <c r="B217" s="23" t="s">
        <v>1078</v>
      </c>
    </row>
    <row r="218" spans="1:2" x14ac:dyDescent="0.2">
      <c r="A218" s="23" t="s">
        <v>744</v>
      </c>
      <c r="B218" s="23" t="s">
        <v>1079</v>
      </c>
    </row>
    <row r="219" spans="1:2" x14ac:dyDescent="0.2">
      <c r="A219" s="23" t="s">
        <v>745</v>
      </c>
      <c r="B219" s="23" t="s">
        <v>1080</v>
      </c>
    </row>
    <row r="220" spans="1:2" x14ac:dyDescent="0.2">
      <c r="A220" s="23" t="s">
        <v>746</v>
      </c>
      <c r="B220" s="23" t="s">
        <v>1081</v>
      </c>
    </row>
    <row r="221" spans="1:2" x14ac:dyDescent="0.2">
      <c r="A221" s="23" t="s">
        <v>747</v>
      </c>
      <c r="B221" s="23" t="s">
        <v>1082</v>
      </c>
    </row>
    <row r="222" spans="1:2" x14ac:dyDescent="0.2">
      <c r="A222" s="23" t="s">
        <v>748</v>
      </c>
      <c r="B222" s="23" t="s">
        <v>1083</v>
      </c>
    </row>
    <row r="223" spans="1:2" x14ac:dyDescent="0.2">
      <c r="A223" s="23" t="s">
        <v>749</v>
      </c>
      <c r="B223" s="23" t="s">
        <v>1084</v>
      </c>
    </row>
    <row r="224" spans="1:2" x14ac:dyDescent="0.2">
      <c r="A224" s="23" t="s">
        <v>750</v>
      </c>
      <c r="B224" s="23" t="s">
        <v>1085</v>
      </c>
    </row>
    <row r="225" spans="1:2" x14ac:dyDescent="0.2">
      <c r="A225" s="23" t="s">
        <v>751</v>
      </c>
      <c r="B225" s="23" t="s">
        <v>1086</v>
      </c>
    </row>
    <row r="226" spans="1:2" x14ac:dyDescent="0.2">
      <c r="A226" s="23" t="s">
        <v>752</v>
      </c>
      <c r="B226" s="23" t="s">
        <v>1087</v>
      </c>
    </row>
    <row r="227" spans="1:2" x14ac:dyDescent="0.2">
      <c r="A227" s="23" t="s">
        <v>753</v>
      </c>
      <c r="B227" s="23" t="s">
        <v>1088</v>
      </c>
    </row>
    <row r="228" spans="1:2" x14ac:dyDescent="0.2">
      <c r="A228" s="23" t="s">
        <v>754</v>
      </c>
      <c r="B228" s="23" t="s">
        <v>1089</v>
      </c>
    </row>
    <row r="229" spans="1:2" x14ac:dyDescent="0.2">
      <c r="A229" s="23" t="s">
        <v>755</v>
      </c>
      <c r="B229" s="23" t="s">
        <v>1090</v>
      </c>
    </row>
    <row r="230" spans="1:2" x14ac:dyDescent="0.2">
      <c r="A230" s="23" t="s">
        <v>756</v>
      </c>
      <c r="B230" s="23" t="s">
        <v>1091</v>
      </c>
    </row>
    <row r="231" spans="1:2" x14ac:dyDescent="0.2">
      <c r="A231" s="23" t="s">
        <v>757</v>
      </c>
      <c r="B231" s="23" t="s">
        <v>1092</v>
      </c>
    </row>
    <row r="232" spans="1:2" x14ac:dyDescent="0.2">
      <c r="A232" s="23" t="s">
        <v>758</v>
      </c>
      <c r="B232" s="23" t="s">
        <v>1093</v>
      </c>
    </row>
    <row r="233" spans="1:2" x14ac:dyDescent="0.2">
      <c r="A233" s="23" t="s">
        <v>759</v>
      </c>
      <c r="B233" s="23" t="s">
        <v>1094</v>
      </c>
    </row>
    <row r="234" spans="1:2" x14ac:dyDescent="0.2">
      <c r="A234" s="23" t="s">
        <v>760</v>
      </c>
      <c r="B234" s="23" t="s">
        <v>1095</v>
      </c>
    </row>
    <row r="235" spans="1:2" x14ac:dyDescent="0.2">
      <c r="A235" s="23" t="s">
        <v>761</v>
      </c>
      <c r="B235" s="23" t="s">
        <v>1096</v>
      </c>
    </row>
    <row r="236" spans="1:2" x14ac:dyDescent="0.2">
      <c r="A236" s="23" t="s">
        <v>762</v>
      </c>
      <c r="B236" s="23" t="s">
        <v>1097</v>
      </c>
    </row>
    <row r="237" spans="1:2" x14ac:dyDescent="0.2">
      <c r="A237" s="23" t="s">
        <v>763</v>
      </c>
      <c r="B237" s="23" t="s">
        <v>1098</v>
      </c>
    </row>
    <row r="238" spans="1:2" x14ac:dyDescent="0.2">
      <c r="A238" s="23" t="s">
        <v>764</v>
      </c>
      <c r="B238" s="23" t="s">
        <v>1099</v>
      </c>
    </row>
    <row r="239" spans="1:2" x14ac:dyDescent="0.2">
      <c r="A239" s="23" t="s">
        <v>765</v>
      </c>
      <c r="B239" s="23" t="s">
        <v>1100</v>
      </c>
    </row>
    <row r="240" spans="1:2" x14ac:dyDescent="0.2">
      <c r="A240" s="23" t="s">
        <v>766</v>
      </c>
      <c r="B240" s="23" t="s">
        <v>1101</v>
      </c>
    </row>
    <row r="241" spans="1:2" x14ac:dyDescent="0.2">
      <c r="A241" s="23" t="s">
        <v>767</v>
      </c>
      <c r="B241" s="23" t="s">
        <v>1102</v>
      </c>
    </row>
    <row r="242" spans="1:2" x14ac:dyDescent="0.2">
      <c r="A242" s="23" t="s">
        <v>768</v>
      </c>
      <c r="B242" s="23" t="s">
        <v>1103</v>
      </c>
    </row>
    <row r="243" spans="1:2" x14ac:dyDescent="0.2">
      <c r="A243" s="23" t="s">
        <v>769</v>
      </c>
      <c r="B243" s="23" t="s">
        <v>1104</v>
      </c>
    </row>
    <row r="244" spans="1:2" x14ac:dyDescent="0.2">
      <c r="A244" s="23" t="s">
        <v>770</v>
      </c>
      <c r="B244" s="23" t="s">
        <v>1105</v>
      </c>
    </row>
    <row r="245" spans="1:2" x14ac:dyDescent="0.2">
      <c r="A245" s="23" t="s">
        <v>771</v>
      </c>
      <c r="B245" s="23" t="s">
        <v>1106</v>
      </c>
    </row>
    <row r="246" spans="1:2" x14ac:dyDescent="0.2">
      <c r="A246" s="23" t="s">
        <v>772</v>
      </c>
      <c r="B246" s="23" t="s">
        <v>1107</v>
      </c>
    </row>
    <row r="247" spans="1:2" x14ac:dyDescent="0.2">
      <c r="A247" s="23" t="s">
        <v>773</v>
      </c>
      <c r="B247" s="23" t="s">
        <v>1108</v>
      </c>
    </row>
    <row r="248" spans="1:2" x14ac:dyDescent="0.2">
      <c r="A248" s="23" t="s">
        <v>774</v>
      </c>
      <c r="B248" s="23" t="s">
        <v>1109</v>
      </c>
    </row>
    <row r="249" spans="1:2" x14ac:dyDescent="0.2">
      <c r="A249" s="23" t="s">
        <v>775</v>
      </c>
      <c r="B249" s="23" t="s">
        <v>1110</v>
      </c>
    </row>
    <row r="250" spans="1:2" x14ac:dyDescent="0.2">
      <c r="A250" s="23" t="s">
        <v>776</v>
      </c>
      <c r="B250" s="23" t="s">
        <v>1111</v>
      </c>
    </row>
    <row r="251" spans="1:2" x14ac:dyDescent="0.2">
      <c r="A251" s="23" t="s">
        <v>777</v>
      </c>
      <c r="B251" s="23" t="s">
        <v>1112</v>
      </c>
    </row>
    <row r="252" spans="1:2" x14ac:dyDescent="0.2">
      <c r="A252" s="23" t="s">
        <v>778</v>
      </c>
      <c r="B252" s="23" t="s">
        <v>1113</v>
      </c>
    </row>
    <row r="253" spans="1:2" x14ac:dyDescent="0.2">
      <c r="A253" s="23" t="s">
        <v>779</v>
      </c>
      <c r="B253" s="23" t="s">
        <v>1114</v>
      </c>
    </row>
    <row r="254" spans="1:2" x14ac:dyDescent="0.2">
      <c r="A254" s="23" t="s">
        <v>780</v>
      </c>
      <c r="B254" s="23" t="s">
        <v>1115</v>
      </c>
    </row>
    <row r="255" spans="1:2" x14ac:dyDescent="0.2">
      <c r="A255" s="23" t="s">
        <v>781</v>
      </c>
      <c r="B255" s="23" t="s">
        <v>1116</v>
      </c>
    </row>
    <row r="256" spans="1:2" x14ac:dyDescent="0.2">
      <c r="A256" s="23" t="s">
        <v>782</v>
      </c>
      <c r="B256" s="23" t="s">
        <v>1117</v>
      </c>
    </row>
    <row r="257" spans="1:2" x14ac:dyDescent="0.2">
      <c r="A257" s="23" t="s">
        <v>783</v>
      </c>
      <c r="B257" s="23" t="s">
        <v>1118</v>
      </c>
    </row>
    <row r="258" spans="1:2" x14ac:dyDescent="0.2">
      <c r="A258" s="23" t="s">
        <v>784</v>
      </c>
      <c r="B258" s="23" t="s">
        <v>1119</v>
      </c>
    </row>
    <row r="259" spans="1:2" x14ac:dyDescent="0.2">
      <c r="A259" s="23" t="s">
        <v>785</v>
      </c>
      <c r="B259" s="23" t="s">
        <v>1120</v>
      </c>
    </row>
    <row r="260" spans="1:2" x14ac:dyDescent="0.2">
      <c r="A260" s="23" t="s">
        <v>786</v>
      </c>
      <c r="B260" s="23" t="s">
        <v>1121</v>
      </c>
    </row>
    <row r="261" spans="1:2" x14ac:dyDescent="0.2">
      <c r="A261" s="23" t="s">
        <v>787</v>
      </c>
      <c r="B261" s="23" t="s">
        <v>1122</v>
      </c>
    </row>
    <row r="262" spans="1:2" x14ac:dyDescent="0.2">
      <c r="A262" s="23" t="s">
        <v>788</v>
      </c>
      <c r="B262" s="23" t="s">
        <v>1123</v>
      </c>
    </row>
    <row r="263" spans="1:2" x14ac:dyDescent="0.2">
      <c r="A263" s="23" t="s">
        <v>789</v>
      </c>
      <c r="B263" s="23" t="s">
        <v>1124</v>
      </c>
    </row>
    <row r="264" spans="1:2" x14ac:dyDescent="0.2">
      <c r="A264" s="23" t="s">
        <v>790</v>
      </c>
      <c r="B264" s="23" t="s">
        <v>1125</v>
      </c>
    </row>
    <row r="265" spans="1:2" x14ac:dyDescent="0.2">
      <c r="A265" s="23" t="s">
        <v>791</v>
      </c>
      <c r="B265" s="23" t="s">
        <v>1126</v>
      </c>
    </row>
    <row r="266" spans="1:2" x14ac:dyDescent="0.2">
      <c r="A266" s="23" t="s">
        <v>792</v>
      </c>
      <c r="B266" s="23" t="s">
        <v>1127</v>
      </c>
    </row>
    <row r="267" spans="1:2" x14ac:dyDescent="0.2">
      <c r="A267" s="23" t="s">
        <v>793</v>
      </c>
      <c r="B267" s="23" t="s">
        <v>1128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48BF-FF47-E241-AB29-5AC858440954}">
  <dimension ref="A1:H265"/>
  <sheetViews>
    <sheetView topLeftCell="A222" workbookViewId="0">
      <selection activeCell="B186" sqref="B186"/>
    </sheetView>
  </sheetViews>
  <sheetFormatPr baseColWidth="10" defaultRowHeight="16" x14ac:dyDescent="0.2"/>
  <cols>
    <col min="1" max="1" width="44" bestFit="1" customWidth="1"/>
    <col min="2" max="2" width="11.5" bestFit="1" customWidth="1"/>
    <col min="4" max="5" width="19.1640625" bestFit="1" customWidth="1"/>
    <col min="6" max="6" width="19.1640625" customWidth="1"/>
  </cols>
  <sheetData>
    <row r="1" spans="1:8" x14ac:dyDescent="0.2">
      <c r="A1" s="16" t="s">
        <v>528</v>
      </c>
      <c r="B1" s="16" t="s">
        <v>794</v>
      </c>
      <c r="C1" t="s">
        <v>1129</v>
      </c>
      <c r="E1" s="16" t="s">
        <v>528</v>
      </c>
      <c r="F1" s="16" t="s">
        <v>1130</v>
      </c>
      <c r="G1" s="16" t="s">
        <v>1131</v>
      </c>
      <c r="H1" s="16"/>
    </row>
    <row r="2" spans="1:8" x14ac:dyDescent="0.2">
      <c r="A2" t="s">
        <v>677</v>
      </c>
      <c r="B2">
        <v>204190.16311503993</v>
      </c>
      <c r="C2" t="str">
        <f>VLOOKUP(A2,'country-code'!$A$1:$B$267,2,FALSE)</f>
        <v>MCO</v>
      </c>
      <c r="D2" t="str">
        <f>VLOOKUP(B2,$F$2:$H$5,3,TRUE)</f>
        <v>High income</v>
      </c>
      <c r="E2" s="21" t="s">
        <v>668</v>
      </c>
      <c r="F2" s="21">
        <v>1</v>
      </c>
      <c r="G2" s="21">
        <v>5102.6041838522242</v>
      </c>
      <c r="H2" s="21" t="s">
        <v>668</v>
      </c>
    </row>
    <row r="3" spans="1:8" x14ac:dyDescent="0.2">
      <c r="A3" t="s">
        <v>566</v>
      </c>
      <c r="B3">
        <v>87339.75975195464</v>
      </c>
      <c r="C3" t="str">
        <f>VLOOKUP(A3,'country-code'!$A$1:$B$267,2,FALSE)</f>
        <v>CHE</v>
      </c>
      <c r="D3" t="str">
        <f t="shared" ref="D3:D66" si="0">VLOOKUP(B3,$F$2:$H$5,3,TRUE)</f>
        <v>High income</v>
      </c>
      <c r="E3" s="21" t="s">
        <v>684</v>
      </c>
      <c r="F3" s="21">
        <v>5101</v>
      </c>
      <c r="G3" s="21">
        <v>5632</v>
      </c>
      <c r="H3" s="21" t="s">
        <v>684</v>
      </c>
    </row>
    <row r="4" spans="1:8" x14ac:dyDescent="0.2">
      <c r="A4" t="s">
        <v>639</v>
      </c>
      <c r="B4">
        <v>88966.672160480724</v>
      </c>
      <c r="C4" t="str">
        <f>VLOOKUP(A4,'country-code'!$A$1:$B$267,2,FALSE)</f>
        <v>IRL</v>
      </c>
      <c r="D4" t="str">
        <f t="shared" si="0"/>
        <v>High income</v>
      </c>
      <c r="E4" s="21" t="s">
        <v>777</v>
      </c>
      <c r="F4" s="21">
        <v>5631</v>
      </c>
      <c r="G4" s="21">
        <v>10050.317789971859</v>
      </c>
      <c r="H4" s="21" t="s">
        <v>777</v>
      </c>
    </row>
    <row r="5" spans="1:8" x14ac:dyDescent="0.2">
      <c r="A5" t="s">
        <v>556</v>
      </c>
      <c r="B5">
        <v>105187.78808623302</v>
      </c>
      <c r="C5" t="str">
        <f>VLOOKUP(A5,'country-code'!$A$1:$B$267,2,FALSE)</f>
        <v>BMU</v>
      </c>
      <c r="D5" t="str">
        <f>VLOOKUP(B5,$F$2:$H$5,3,TRUE)</f>
        <v>High income</v>
      </c>
      <c r="E5" s="21" t="s">
        <v>624</v>
      </c>
      <c r="F5" s="21">
        <v>10049</v>
      </c>
      <c r="G5" s="21">
        <v>42539.880693734449</v>
      </c>
      <c r="H5" s="21" t="s">
        <v>624</v>
      </c>
    </row>
    <row r="6" spans="1:8" x14ac:dyDescent="0.2">
      <c r="A6" t="s">
        <v>672</v>
      </c>
      <c r="B6">
        <v>107792.18900382599</v>
      </c>
      <c r="C6" t="str">
        <f>VLOOKUP(A6,'country-code'!$A$1:$B$267,2,FALSE)</f>
        <v>LUX</v>
      </c>
      <c r="D6" t="str">
        <f t="shared" si="0"/>
        <v>High income</v>
      </c>
    </row>
    <row r="7" spans="1:8" x14ac:dyDescent="0.2">
      <c r="A7" t="s">
        <v>705</v>
      </c>
      <c r="B7">
        <v>77512.896789360006</v>
      </c>
      <c r="C7" t="str">
        <f>VLOOKUP(A7,'country-code'!$A$1:$B$267,2,FALSE)</f>
        <v>NOR</v>
      </c>
      <c r="D7" t="str">
        <f t="shared" si="0"/>
        <v>High income</v>
      </c>
    </row>
    <row r="8" spans="1:8" x14ac:dyDescent="0.2">
      <c r="A8" t="s">
        <v>581</v>
      </c>
      <c r="B8">
        <v>76577.822242188005</v>
      </c>
      <c r="C8" t="str">
        <f>VLOOKUP(A8,'country-code'!$A$1:$B$267,2,FALSE)</f>
        <v>CYM</v>
      </c>
      <c r="D8" t="str">
        <f t="shared" si="0"/>
        <v>High income</v>
      </c>
    </row>
    <row r="9" spans="1:8" x14ac:dyDescent="0.2">
      <c r="A9" t="s">
        <v>736</v>
      </c>
      <c r="B9">
        <v>66176.387001069859</v>
      </c>
      <c r="C9" t="str">
        <f>VLOOKUP(A9,'country-code'!$A$1:$B$267,2,FALSE)</f>
        <v>SGP</v>
      </c>
      <c r="D9" t="str">
        <f t="shared" si="0"/>
        <v>High income</v>
      </c>
    </row>
    <row r="10" spans="1:8" x14ac:dyDescent="0.2">
      <c r="A10" t="s">
        <v>779</v>
      </c>
      <c r="B10">
        <v>61855.518629915729</v>
      </c>
      <c r="C10" t="str">
        <f>VLOOKUP(A10,'country-code'!$A$1:$B$267,2,FALSE)</f>
        <v>USA</v>
      </c>
      <c r="D10" t="str">
        <f t="shared" si="0"/>
        <v>High income</v>
      </c>
    </row>
    <row r="11" spans="1:8" x14ac:dyDescent="0.2">
      <c r="A11" t="s">
        <v>728</v>
      </c>
      <c r="B11">
        <v>61000.832557626723</v>
      </c>
      <c r="C11" t="str">
        <f>VLOOKUP(A11,'country-code'!$A$1:$B$267,2,FALSE)</f>
        <v>QAT</v>
      </c>
      <c r="D11" t="str">
        <f t="shared" si="0"/>
        <v>High income</v>
      </c>
    </row>
    <row r="12" spans="1:8" x14ac:dyDescent="0.2">
      <c r="A12" t="s">
        <v>698</v>
      </c>
      <c r="B12">
        <v>60011.743102851928</v>
      </c>
      <c r="C12" t="str">
        <f>VLOOKUP(A12,'country-code'!$A$1:$B$267,2,FALSE)</f>
        <v>NAC</v>
      </c>
      <c r="D12" t="str">
        <f t="shared" si="0"/>
        <v>High income</v>
      </c>
    </row>
    <row r="13" spans="1:8" x14ac:dyDescent="0.2">
      <c r="A13" t="s">
        <v>542</v>
      </c>
      <c r="B13">
        <v>59341.23774016575</v>
      </c>
      <c r="C13" t="str">
        <f>VLOOKUP(A13,'country-code'!$A$1:$B$267,2,FALSE)</f>
        <v>AUS</v>
      </c>
      <c r="D13" t="str">
        <f t="shared" si="0"/>
        <v>High income</v>
      </c>
    </row>
    <row r="14" spans="1:8" x14ac:dyDescent="0.2">
      <c r="A14" t="s">
        <v>587</v>
      </c>
      <c r="B14">
        <v>58359.583994563334</v>
      </c>
      <c r="C14" t="str">
        <f>VLOOKUP(A14,'country-code'!$A$1:$B$267,2,FALSE)</f>
        <v>DNK</v>
      </c>
      <c r="D14" t="str">
        <f t="shared" si="0"/>
        <v>High income</v>
      </c>
    </row>
    <row r="15" spans="1:8" x14ac:dyDescent="0.2">
      <c r="A15" t="s">
        <v>642</v>
      </c>
      <c r="B15">
        <v>54417.289052417807</v>
      </c>
      <c r="C15" t="str">
        <f>VLOOKUP(A15,'country-code'!$A$1:$B$267,2,FALSE)</f>
        <v>ISL</v>
      </c>
      <c r="D15" t="str">
        <f t="shared" si="0"/>
        <v>High income</v>
      </c>
    </row>
    <row r="16" spans="1:8" x14ac:dyDescent="0.2">
      <c r="A16" t="s">
        <v>751</v>
      </c>
      <c r="B16">
        <v>54262.43908389633</v>
      </c>
      <c r="C16" t="str">
        <f>VLOOKUP(A16,'country-code'!$A$1:$B$267,2,FALSE)</f>
        <v>SWE</v>
      </c>
      <c r="D16" t="str">
        <f t="shared" si="0"/>
        <v>High income</v>
      </c>
    </row>
    <row r="17" spans="1:4" x14ac:dyDescent="0.2">
      <c r="A17" t="s">
        <v>704</v>
      </c>
      <c r="B17">
        <v>48301.528960018972</v>
      </c>
      <c r="C17" t="str">
        <f>VLOOKUP(A17,'country-code'!$A$1:$B$267,2,FALSE)</f>
        <v>NLD</v>
      </c>
      <c r="D17" t="str">
        <f t="shared" si="0"/>
        <v>High income</v>
      </c>
    </row>
    <row r="18" spans="1:4" x14ac:dyDescent="0.2">
      <c r="A18" t="s">
        <v>604</v>
      </c>
      <c r="B18">
        <v>46297.24182042358</v>
      </c>
      <c r="C18" t="str">
        <f>VLOOKUP(A18,'country-code'!$A$1:$B$267,2,FALSE)</f>
        <v>FIN</v>
      </c>
      <c r="D18" t="str">
        <f t="shared" si="0"/>
        <v>High income</v>
      </c>
    </row>
    <row r="19" spans="1:4" x14ac:dyDescent="0.2">
      <c r="A19" t="s">
        <v>543</v>
      </c>
      <c r="B19">
        <v>45238.390714473258</v>
      </c>
      <c r="C19" t="str">
        <f>VLOOKUP(A19,'country-code'!$A$1:$B$267,2,FALSE)</f>
        <v>AUT</v>
      </c>
      <c r="D19" t="str">
        <f t="shared" si="0"/>
        <v>High income</v>
      </c>
    </row>
    <row r="20" spans="1:4" x14ac:dyDescent="0.2">
      <c r="A20" t="s">
        <v>610</v>
      </c>
      <c r="B20">
        <v>45101.536026387956</v>
      </c>
      <c r="C20" t="str">
        <f>VLOOKUP(A20,'country-code'!$A$1:$B$267,2,FALSE)</f>
        <v>GBR</v>
      </c>
      <c r="D20" t="str">
        <f t="shared" si="0"/>
        <v>High income</v>
      </c>
    </row>
    <row r="21" spans="1:4" x14ac:dyDescent="0.2">
      <c r="A21" t="s">
        <v>625</v>
      </c>
      <c r="B21">
        <v>44481.339759936323</v>
      </c>
      <c r="C21" t="str">
        <f>VLOOKUP(A21,'country-code'!$A$1:$B$267,2,FALSE)</f>
        <v>HKG</v>
      </c>
      <c r="D21" t="str">
        <f t="shared" si="0"/>
        <v>High income</v>
      </c>
    </row>
    <row r="22" spans="1:4" x14ac:dyDescent="0.2">
      <c r="A22" t="s">
        <v>564</v>
      </c>
      <c r="B22">
        <v>43936.308104825213</v>
      </c>
      <c r="C22" t="str">
        <f>VLOOKUP(A22,'country-code'!$A$1:$B$267,2,FALSE)</f>
        <v>CAN</v>
      </c>
      <c r="D22" t="str">
        <f t="shared" si="0"/>
        <v>High income</v>
      </c>
    </row>
    <row r="23" spans="1:4" x14ac:dyDescent="0.2">
      <c r="A23" s="21" t="s">
        <v>726</v>
      </c>
      <c r="B23" s="21">
        <v>43429.893376986081</v>
      </c>
      <c r="C23" t="str">
        <f>VLOOKUP(A23,'country-code'!$A$1:$B$267,2,FALSE)</f>
        <v>PST</v>
      </c>
      <c r="D23" t="str">
        <f t="shared" si="0"/>
        <v>High income</v>
      </c>
    </row>
    <row r="24" spans="1:4" x14ac:dyDescent="0.2">
      <c r="A24" t="s">
        <v>546</v>
      </c>
      <c r="B24">
        <v>42901.432059579689</v>
      </c>
      <c r="C24" t="str">
        <f>VLOOKUP(A24,'country-code'!$A$1:$B$267,2,FALSE)</f>
        <v>BEL</v>
      </c>
      <c r="D24" t="str">
        <f t="shared" si="0"/>
        <v>High income</v>
      </c>
    </row>
    <row r="25" spans="1:4" x14ac:dyDescent="0.2">
      <c r="A25" t="s">
        <v>584</v>
      </c>
      <c r="B25">
        <v>42726.485322007</v>
      </c>
      <c r="C25" t="str">
        <f>VLOOKUP(A25,'country-code'!$A$1:$B$267,2,FALSE)</f>
        <v>DEU</v>
      </c>
      <c r="D25" t="str">
        <f t="shared" si="0"/>
        <v>High income</v>
      </c>
    </row>
    <row r="26" spans="1:4" x14ac:dyDescent="0.2">
      <c r="A26" t="s">
        <v>537</v>
      </c>
      <c r="B26">
        <v>42535.966045038331</v>
      </c>
      <c r="C26" t="str">
        <f>VLOOKUP(A26,'country-code'!$A$1:$B$267,2,FALSE)</f>
        <v>ARE</v>
      </c>
      <c r="D26" t="str">
        <f t="shared" si="0"/>
        <v>High income</v>
      </c>
    </row>
    <row r="27" spans="1:4" x14ac:dyDescent="0.2">
      <c r="A27" t="s">
        <v>643</v>
      </c>
      <c r="B27">
        <v>40805.191757456894</v>
      </c>
      <c r="C27" t="str">
        <f>VLOOKUP(A27,'country-code'!$A$1:$B$267,2,FALSE)</f>
        <v>ISR</v>
      </c>
      <c r="D27" t="str">
        <f t="shared" si="0"/>
        <v>High income</v>
      </c>
    </row>
    <row r="28" spans="1:4" x14ac:dyDescent="0.2">
      <c r="A28" t="s">
        <v>674</v>
      </c>
      <c r="B28">
        <v>40601.016042449519</v>
      </c>
      <c r="C28" t="str">
        <f>VLOOKUP(A28,'country-code'!$A$1:$B$267,2,FALSE)</f>
        <v>MAC</v>
      </c>
      <c r="D28" t="str">
        <f t="shared" si="0"/>
        <v>High income</v>
      </c>
    </row>
    <row r="29" spans="1:4" x14ac:dyDescent="0.2">
      <c r="A29" t="s">
        <v>708</v>
      </c>
      <c r="B29">
        <v>40415.468005803705</v>
      </c>
      <c r="C29" t="str">
        <f>VLOOKUP(A29,'country-code'!$A$1:$B$267,2,FALSE)</f>
        <v>NZL</v>
      </c>
      <c r="D29" t="str">
        <f t="shared" si="0"/>
        <v>High income</v>
      </c>
    </row>
    <row r="30" spans="1:4" x14ac:dyDescent="0.2">
      <c r="A30" t="s">
        <v>606</v>
      </c>
      <c r="B30">
        <v>38045.902161300575</v>
      </c>
      <c r="C30" t="str">
        <f>VLOOKUP(A30,'country-code'!$A$1:$B$267,2,FALSE)</f>
        <v>FRA</v>
      </c>
      <c r="D30" t="str">
        <f t="shared" si="0"/>
        <v>High income</v>
      </c>
    </row>
    <row r="31" spans="1:4" x14ac:dyDescent="0.2">
      <c r="A31" t="s">
        <v>709</v>
      </c>
      <c r="B31">
        <v>37880.9535465023</v>
      </c>
      <c r="C31" t="str">
        <f>VLOOKUP(A31,'country-code'!$A$1:$B$267,2,FALSE)</f>
        <v>OED</v>
      </c>
      <c r="D31" t="str">
        <f t="shared" si="0"/>
        <v>High income</v>
      </c>
    </row>
    <row r="32" spans="1:4" x14ac:dyDescent="0.2">
      <c r="A32" t="s">
        <v>535</v>
      </c>
      <c r="B32">
        <v>36839.876218568184</v>
      </c>
      <c r="C32" t="str">
        <f>VLOOKUP(A32,'country-code'!$A$1:$B$267,2,FALSE)</f>
        <v>AND</v>
      </c>
      <c r="D32" t="str">
        <f t="shared" si="0"/>
        <v>High income</v>
      </c>
    </row>
    <row r="33" spans="1:4" x14ac:dyDescent="0.2">
      <c r="A33" t="s">
        <v>597</v>
      </c>
      <c r="B33">
        <v>36362.367080745527</v>
      </c>
      <c r="C33" t="str">
        <f>VLOOKUP(A33,'country-code'!$A$1:$B$267,2,FALSE)</f>
        <v>EMU</v>
      </c>
      <c r="D33" t="str">
        <f t="shared" si="0"/>
        <v>High income</v>
      </c>
    </row>
    <row r="34" spans="1:4" x14ac:dyDescent="0.2">
      <c r="A34" t="s">
        <v>647</v>
      </c>
      <c r="B34">
        <v>35291.013855508303</v>
      </c>
      <c r="C34" t="str">
        <f>VLOOKUP(A34,'country-code'!$A$1:$B$267,2,FALSE)</f>
        <v>JPN</v>
      </c>
      <c r="D34" t="str">
        <f t="shared" si="0"/>
        <v>High income</v>
      </c>
    </row>
    <row r="35" spans="1:4" x14ac:dyDescent="0.2">
      <c r="A35" t="s">
        <v>602</v>
      </c>
      <c r="B35">
        <v>32828.548843519173</v>
      </c>
      <c r="C35" t="str">
        <f>VLOOKUP(A35,'country-code'!$A$1:$B$267,2,FALSE)</f>
        <v>EUU</v>
      </c>
      <c r="D35" t="str">
        <f t="shared" si="0"/>
        <v>High income</v>
      </c>
    </row>
    <row r="36" spans="1:4" x14ac:dyDescent="0.2">
      <c r="A36" t="s">
        <v>654</v>
      </c>
      <c r="B36">
        <v>32730.650627882809</v>
      </c>
      <c r="C36" t="str">
        <f>VLOOKUP(A36,'country-code'!$A$1:$B$267,2,FALSE)</f>
        <v>KOR</v>
      </c>
      <c r="D36" t="str">
        <f t="shared" si="0"/>
        <v>High income</v>
      </c>
    </row>
    <row r="37" spans="1:4" x14ac:dyDescent="0.2">
      <c r="A37" t="s">
        <v>644</v>
      </c>
      <c r="B37">
        <v>31505.948922498865</v>
      </c>
      <c r="C37" t="str">
        <f>VLOOKUP(A37,'country-code'!$A$1:$B$267,2,FALSE)</f>
        <v>ITA</v>
      </c>
      <c r="D37" t="str">
        <f t="shared" si="0"/>
        <v>High income</v>
      </c>
    </row>
    <row r="38" spans="1:4" x14ac:dyDescent="0.2">
      <c r="A38" t="s">
        <v>622</v>
      </c>
      <c r="B38">
        <v>31325.396295976901</v>
      </c>
      <c r="C38" t="str">
        <f>VLOOKUP(A38,'country-code'!$A$1:$B$267,2,FALSE)</f>
        <v>GUM</v>
      </c>
      <c r="D38" t="str">
        <f t="shared" si="0"/>
        <v>High income</v>
      </c>
    </row>
    <row r="39" spans="1:4" x14ac:dyDescent="0.2">
      <c r="A39" t="s">
        <v>529</v>
      </c>
      <c r="B39">
        <v>30271.833474653587</v>
      </c>
      <c r="C39" t="str">
        <f>VLOOKUP(A39,'country-code'!$A$1:$B$267,2,FALSE)</f>
        <v>ABW</v>
      </c>
      <c r="D39" t="str">
        <f t="shared" si="0"/>
        <v>High income</v>
      </c>
    </row>
    <row r="40" spans="1:4" x14ac:dyDescent="0.2">
      <c r="A40" t="s">
        <v>560</v>
      </c>
      <c r="B40">
        <v>29673.403316260188</v>
      </c>
      <c r="C40" t="str">
        <f>VLOOKUP(A40,'country-code'!$A$1:$B$267,2,FALSE)</f>
        <v>BRN</v>
      </c>
      <c r="D40" t="str">
        <f t="shared" si="0"/>
        <v>High income</v>
      </c>
    </row>
    <row r="41" spans="1:4" x14ac:dyDescent="0.2">
      <c r="A41" t="s">
        <v>582</v>
      </c>
      <c r="B41">
        <v>28329.203125</v>
      </c>
      <c r="C41" t="str">
        <f>VLOOKUP(A41,'country-code'!$A$1:$B$267,2,FALSE)</f>
        <v>CYP</v>
      </c>
      <c r="D41" t="str">
        <f t="shared" si="0"/>
        <v>High income</v>
      </c>
    </row>
    <row r="42" spans="1:4" x14ac:dyDescent="0.2">
      <c r="A42" t="s">
        <v>720</v>
      </c>
      <c r="B42">
        <v>28307.753593562062</v>
      </c>
      <c r="C42" t="str">
        <f>VLOOKUP(A42,'country-code'!$A$1:$B$267,2,FALSE)</f>
        <v>PRI</v>
      </c>
      <c r="D42" t="str">
        <f t="shared" si="0"/>
        <v>High income</v>
      </c>
    </row>
    <row r="43" spans="1:4" x14ac:dyDescent="0.2">
      <c r="A43" t="s">
        <v>687</v>
      </c>
      <c r="B43">
        <v>27891.128269857403</v>
      </c>
      <c r="C43" t="str">
        <f>VLOOKUP(A43,'country-code'!$A$1:$B$267,2,FALSE)</f>
        <v>MLT</v>
      </c>
      <c r="D43" t="str">
        <f t="shared" si="0"/>
        <v>High income</v>
      </c>
    </row>
    <row r="44" spans="1:4" x14ac:dyDescent="0.2">
      <c r="A44" t="s">
        <v>552</v>
      </c>
      <c r="B44">
        <v>26705.566007927246</v>
      </c>
      <c r="C44" t="str">
        <f>VLOOKUP(A44,'country-code'!$A$1:$B$267,2,FALSE)</f>
        <v>BHS</v>
      </c>
      <c r="D44" t="str">
        <f t="shared" si="0"/>
        <v>High income</v>
      </c>
    </row>
    <row r="45" spans="1:4" x14ac:dyDescent="0.2">
      <c r="A45" t="s">
        <v>599</v>
      </c>
      <c r="B45">
        <v>26125.87166627451</v>
      </c>
      <c r="C45" t="str">
        <f>VLOOKUP(A45,'country-code'!$A$1:$B$267,2,FALSE)</f>
        <v>ESP</v>
      </c>
      <c r="D45" t="str">
        <f t="shared" si="0"/>
        <v>High income</v>
      </c>
    </row>
    <row r="46" spans="1:4" x14ac:dyDescent="0.2">
      <c r="A46" t="s">
        <v>750</v>
      </c>
      <c r="B46">
        <v>24744.841297260995</v>
      </c>
      <c r="C46" t="str">
        <f>VLOOKUP(A46,'country-code'!$A$1:$B$267,2,FALSE)</f>
        <v>SVN</v>
      </c>
      <c r="D46" t="str">
        <f t="shared" si="0"/>
        <v>High income</v>
      </c>
    </row>
    <row r="47" spans="1:4" x14ac:dyDescent="0.2">
      <c r="A47" t="s">
        <v>594</v>
      </c>
      <c r="B47">
        <v>24167.874522327074</v>
      </c>
      <c r="C47" t="str">
        <f>VLOOKUP(A47,'country-code'!$A$1:$B$267,2,FALSE)</f>
        <v>ECS</v>
      </c>
      <c r="D47" t="str">
        <f t="shared" si="0"/>
        <v>High income</v>
      </c>
    </row>
    <row r="48" spans="1:4" x14ac:dyDescent="0.2">
      <c r="A48" t="s">
        <v>551</v>
      </c>
      <c r="B48">
        <v>23234.712072436167</v>
      </c>
      <c r="C48" t="str">
        <f>VLOOKUP(A48,'country-code'!$A$1:$B$267,2,FALSE)</f>
        <v>BHR</v>
      </c>
      <c r="D48" t="str">
        <f t="shared" si="0"/>
        <v>High income</v>
      </c>
    </row>
    <row r="49" spans="1:4" x14ac:dyDescent="0.2">
      <c r="A49" t="s">
        <v>600</v>
      </c>
      <c r="B49">
        <v>21707.240750804103</v>
      </c>
      <c r="C49" t="str">
        <f>VLOOKUP(A49,'country-code'!$A$1:$B$267,2,FALSE)</f>
        <v>EST</v>
      </c>
      <c r="D49" t="str">
        <f t="shared" si="0"/>
        <v>High income</v>
      </c>
    </row>
    <row r="50" spans="1:4" x14ac:dyDescent="0.2">
      <c r="A50" t="s">
        <v>722</v>
      </c>
      <c r="B50">
        <v>20831.087013996308</v>
      </c>
      <c r="C50" t="str">
        <f>VLOOKUP(A50,'country-code'!$A$1:$B$267,2,FALSE)</f>
        <v>PRT</v>
      </c>
      <c r="D50" t="str">
        <f t="shared" si="0"/>
        <v>High income</v>
      </c>
    </row>
    <row r="51" spans="1:4" x14ac:dyDescent="0.2">
      <c r="A51" t="s">
        <v>583</v>
      </c>
      <c r="B51">
        <v>20083.809603869584</v>
      </c>
      <c r="C51" t="str">
        <f>VLOOKUP(A51,'country-code'!$A$1:$B$267,2,FALSE)</f>
        <v>CZE</v>
      </c>
      <c r="D51" t="str">
        <f t="shared" si="0"/>
        <v>High income</v>
      </c>
    </row>
    <row r="52" spans="1:4" x14ac:dyDescent="0.2">
      <c r="A52" t="s">
        <v>618</v>
      </c>
      <c r="B52">
        <v>18907.849144801523</v>
      </c>
      <c r="C52" t="str">
        <f>VLOOKUP(A52,'country-code'!$A$1:$B$267,2,FALSE)</f>
        <v>GRC</v>
      </c>
      <c r="D52" t="str">
        <f t="shared" si="0"/>
        <v>High income</v>
      </c>
    </row>
    <row r="53" spans="1:4" x14ac:dyDescent="0.2">
      <c r="A53" t="s">
        <v>653</v>
      </c>
      <c r="B53">
        <v>18795.915069908133</v>
      </c>
      <c r="C53" t="str">
        <f>VLOOKUP(A53,'country-code'!$A$1:$B$267,2,FALSE)</f>
        <v>KNA</v>
      </c>
      <c r="D53" t="str">
        <f t="shared" si="0"/>
        <v>High income</v>
      </c>
    </row>
    <row r="54" spans="1:4" x14ac:dyDescent="0.2">
      <c r="A54" t="s">
        <v>733</v>
      </c>
      <c r="B54">
        <v>18695.94172785099</v>
      </c>
      <c r="C54" t="str">
        <f>VLOOKUP(A54,'country-code'!$A$1:$B$267,2,FALSE)</f>
        <v>SAU</v>
      </c>
      <c r="D54" t="str">
        <f t="shared" si="0"/>
        <v>High income</v>
      </c>
    </row>
    <row r="55" spans="1:4" x14ac:dyDescent="0.2">
      <c r="A55" t="s">
        <v>710</v>
      </c>
      <c r="B55">
        <v>18300.76199537576</v>
      </c>
      <c r="C55" t="str">
        <f>VLOOKUP(A55,'country-code'!$A$1:$B$267,2,FALSE)</f>
        <v>OMN</v>
      </c>
      <c r="D55" t="str">
        <f t="shared" si="0"/>
        <v>High income</v>
      </c>
    </row>
    <row r="56" spans="1:4" x14ac:dyDescent="0.2">
      <c r="A56" t="s">
        <v>671</v>
      </c>
      <c r="B56">
        <v>18233.715780094702</v>
      </c>
      <c r="C56" t="str">
        <f>VLOOKUP(A56,'country-code'!$A$1:$B$267,2,FALSE)</f>
        <v>LTU</v>
      </c>
      <c r="D56" t="str">
        <f t="shared" si="0"/>
        <v>High income</v>
      </c>
    </row>
    <row r="57" spans="1:4" x14ac:dyDescent="0.2">
      <c r="A57" t="s">
        <v>749</v>
      </c>
      <c r="B57">
        <v>18181.196954257779</v>
      </c>
      <c r="C57" t="str">
        <f>VLOOKUP(A57,'country-code'!$A$1:$B$267,2,FALSE)</f>
        <v>SVK</v>
      </c>
      <c r="D57" t="str">
        <f t="shared" si="0"/>
        <v>High income</v>
      </c>
    </row>
    <row r="58" spans="1:4" x14ac:dyDescent="0.2">
      <c r="A58" t="s">
        <v>756</v>
      </c>
      <c r="B58">
        <v>18159.299326948592</v>
      </c>
      <c r="C58" t="str">
        <f>VLOOKUP(A58,'country-code'!$A$1:$B$267,2,FALSE)</f>
        <v>TCA</v>
      </c>
      <c r="D58" t="str">
        <f t="shared" si="0"/>
        <v>High income</v>
      </c>
    </row>
    <row r="59" spans="1:4" x14ac:dyDescent="0.2">
      <c r="A59" t="s">
        <v>727</v>
      </c>
      <c r="B59">
        <v>17701.694552474459</v>
      </c>
      <c r="C59" t="str">
        <f>VLOOKUP(A59,'country-code'!$A$1:$B$267,2,FALSE)</f>
        <v>PYF</v>
      </c>
      <c r="D59" t="str">
        <f t="shared" si="0"/>
        <v>High income</v>
      </c>
    </row>
    <row r="60" spans="1:4" x14ac:dyDescent="0.2">
      <c r="A60" t="s">
        <v>754</v>
      </c>
      <c r="B60">
        <v>16639.682185722588</v>
      </c>
      <c r="C60" t="str">
        <f>VLOOKUP(A60,'country-code'!$A$1:$B$267,2,FALSE)</f>
        <v>SYC</v>
      </c>
      <c r="D60" t="str">
        <f t="shared" si="0"/>
        <v>High income</v>
      </c>
    </row>
    <row r="61" spans="1:4" x14ac:dyDescent="0.2">
      <c r="A61" t="s">
        <v>673</v>
      </c>
      <c r="B61">
        <v>16609.72278278663</v>
      </c>
      <c r="C61" t="str">
        <f>VLOOKUP(A61,'country-code'!$A$1:$B$267,2,FALSE)</f>
        <v>LVA</v>
      </c>
      <c r="D61" t="str">
        <f t="shared" si="0"/>
        <v>High income</v>
      </c>
    </row>
    <row r="62" spans="1:4" x14ac:dyDescent="0.2">
      <c r="A62" t="s">
        <v>778</v>
      </c>
      <c r="B62">
        <v>15874.737994986988</v>
      </c>
      <c r="C62" t="str">
        <f>VLOOKUP(A62,'country-code'!$A$1:$B$267,2,FALSE)</f>
        <v>URY</v>
      </c>
      <c r="D62" t="str">
        <f t="shared" si="0"/>
        <v>High income</v>
      </c>
    </row>
    <row r="63" spans="1:4" x14ac:dyDescent="0.2">
      <c r="A63" t="s">
        <v>718</v>
      </c>
      <c r="B63">
        <v>15850.285512210403</v>
      </c>
      <c r="C63" t="str">
        <f>VLOOKUP(A63,'country-code'!$A$1:$B$267,2,FALSE)</f>
        <v>POL</v>
      </c>
      <c r="D63" t="str">
        <f t="shared" si="0"/>
        <v>High income</v>
      </c>
    </row>
    <row r="64" spans="1:4" x14ac:dyDescent="0.2">
      <c r="A64" t="s">
        <v>580</v>
      </c>
      <c r="B64">
        <v>15633.233361738699</v>
      </c>
      <c r="C64" t="str">
        <f>VLOOKUP(A64,'country-code'!$A$1:$B$267,2,FALSE)</f>
        <v>CUW</v>
      </c>
      <c r="D64" t="str">
        <f t="shared" si="0"/>
        <v>High income</v>
      </c>
    </row>
    <row r="65" spans="1:4" x14ac:dyDescent="0.2">
      <c r="A65" t="s">
        <v>630</v>
      </c>
      <c r="B65">
        <v>15518.768662236798</v>
      </c>
      <c r="C65" t="str">
        <f>VLOOKUP(A65,'country-code'!$A$1:$B$267,2,FALSE)</f>
        <v>HUN</v>
      </c>
      <c r="D65" t="str">
        <f t="shared" si="0"/>
        <v>High income</v>
      </c>
    </row>
    <row r="66" spans="1:4" x14ac:dyDescent="0.2">
      <c r="A66" t="s">
        <v>565</v>
      </c>
      <c r="B66">
        <v>15396.089292935592</v>
      </c>
      <c r="C66" t="str">
        <f>VLOOKUP(A66,'country-code'!$A$1:$B$267,2,FALSE)</f>
        <v>CEB</v>
      </c>
      <c r="D66" t="str">
        <f t="shared" si="0"/>
        <v>High income</v>
      </c>
    </row>
    <row r="67" spans="1:4" x14ac:dyDescent="0.2">
      <c r="A67" t="s">
        <v>628</v>
      </c>
      <c r="B67">
        <v>15166.413288250007</v>
      </c>
      <c r="C67" t="str">
        <f>VLOOKUP(A67,'country-code'!$A$1:$B$267,2,FALSE)</f>
        <v>HRV</v>
      </c>
      <c r="D67" t="str">
        <f t="shared" ref="D67:D130" si="1">VLOOKUP(B67,$F$2:$H$5,3,TRUE)</f>
        <v>High income</v>
      </c>
    </row>
    <row r="68" spans="1:4" x14ac:dyDescent="0.2">
      <c r="A68" t="s">
        <v>559</v>
      </c>
      <c r="B68">
        <v>14800.838146090475</v>
      </c>
      <c r="C68" t="str">
        <f>VLOOKUP(A68,'country-code'!$A$1:$B$267,2,FALSE)</f>
        <v>BRB</v>
      </c>
      <c r="D68" t="str">
        <f t="shared" si="1"/>
        <v>High income</v>
      </c>
    </row>
    <row r="69" spans="1:4" x14ac:dyDescent="0.2">
      <c r="A69" t="s">
        <v>541</v>
      </c>
      <c r="B69">
        <v>14692.41562122586</v>
      </c>
      <c r="C69" t="str">
        <f>VLOOKUP(A69,'country-code'!$A$1:$B$267,2,FALSE)</f>
        <v>ATG</v>
      </c>
      <c r="D69" t="str">
        <f t="shared" si="1"/>
        <v>High income</v>
      </c>
    </row>
    <row r="70" spans="1:4" x14ac:dyDescent="0.2">
      <c r="A70" t="s">
        <v>540</v>
      </c>
      <c r="B70">
        <v>14396.368558127393</v>
      </c>
      <c r="C70" t="str">
        <f>VLOOKUP(A70,'country-code'!$A$1:$B$267,2,FALSE)</f>
        <v>ASM</v>
      </c>
      <c r="D70" t="str">
        <f t="shared" si="1"/>
        <v>High income</v>
      </c>
    </row>
    <row r="71" spans="1:4" x14ac:dyDescent="0.2">
      <c r="A71" t="s">
        <v>770</v>
      </c>
      <c r="B71">
        <v>14179.553999036138</v>
      </c>
      <c r="C71" t="str">
        <f>VLOOKUP(A71,'country-code'!$A$1:$B$267,2,FALSE)</f>
        <v>TTO</v>
      </c>
      <c r="D71" t="str">
        <f t="shared" si="1"/>
        <v>High income</v>
      </c>
    </row>
    <row r="72" spans="1:4" x14ac:dyDescent="0.2">
      <c r="A72" t="s">
        <v>568</v>
      </c>
      <c r="B72">
        <v>14115.96013683343</v>
      </c>
      <c r="C72" t="str">
        <f>VLOOKUP(A72,'country-code'!$A$1:$B$267,2,FALSE)</f>
        <v>CHL</v>
      </c>
      <c r="D72" t="str">
        <f t="shared" si="1"/>
        <v>High income</v>
      </c>
    </row>
    <row r="73" spans="1:4" x14ac:dyDescent="0.2">
      <c r="A73" t="s">
        <v>713</v>
      </c>
      <c r="B73">
        <v>13921.262742727364</v>
      </c>
      <c r="C73" t="str">
        <f>VLOOKUP(A73,'country-code'!$A$1:$B$267,2,FALSE)</f>
        <v>PAN</v>
      </c>
      <c r="D73" t="str">
        <f t="shared" si="1"/>
        <v>High income</v>
      </c>
    </row>
    <row r="74" spans="1:4" x14ac:dyDescent="0.2">
      <c r="A74" t="s">
        <v>772</v>
      </c>
      <c r="B74">
        <v>13341.598173748409</v>
      </c>
      <c r="C74" t="str">
        <f>VLOOKUP(A74,'country-code'!$A$1:$B$267,2,FALSE)</f>
        <v>TUR</v>
      </c>
      <c r="D74" t="str">
        <f t="shared" si="1"/>
        <v>High income</v>
      </c>
    </row>
    <row r="75" spans="1:4" x14ac:dyDescent="0.2">
      <c r="A75" t="s">
        <v>577</v>
      </c>
      <c r="B75">
        <v>12894.296001117838</v>
      </c>
      <c r="C75" t="str">
        <f>VLOOKUP(A75,'country-code'!$A$1:$B$267,2,FALSE)</f>
        <v>CRI</v>
      </c>
      <c r="D75" t="str">
        <f t="shared" si="1"/>
        <v>High income</v>
      </c>
    </row>
    <row r="76" spans="1:4" x14ac:dyDescent="0.2">
      <c r="A76" t="s">
        <v>538</v>
      </c>
      <c r="B76">
        <v>12402.490791231714</v>
      </c>
      <c r="C76" t="str">
        <f>VLOOKUP(A76,'country-code'!$A$1:$B$267,2,FALSE)</f>
        <v>ARG</v>
      </c>
      <c r="D76" t="str">
        <f t="shared" si="1"/>
        <v>High income</v>
      </c>
    </row>
    <row r="77" spans="1:4" x14ac:dyDescent="0.2">
      <c r="A77" t="s">
        <v>711</v>
      </c>
      <c r="B77">
        <v>12193.784086148344</v>
      </c>
      <c r="C77" t="str">
        <f>VLOOKUP(A77,'country-code'!$A$1:$B$267,2,FALSE)</f>
        <v>OSS</v>
      </c>
      <c r="D77" t="str">
        <f t="shared" si="1"/>
        <v>High income</v>
      </c>
    </row>
    <row r="78" spans="1:4" x14ac:dyDescent="0.2">
      <c r="A78" t="s">
        <v>716</v>
      </c>
      <c r="B78">
        <v>11806.891610082101</v>
      </c>
      <c r="C78" t="str">
        <f>VLOOKUP(A78,'country-code'!$A$1:$B$267,2,FALSE)</f>
        <v>PLW</v>
      </c>
      <c r="D78" t="str">
        <f t="shared" si="1"/>
        <v>High income</v>
      </c>
    </row>
    <row r="79" spans="1:4" x14ac:dyDescent="0.2">
      <c r="A79" t="s">
        <v>592</v>
      </c>
      <c r="B79">
        <v>11741.497776784578</v>
      </c>
      <c r="C79" t="str">
        <f>VLOOKUP(A79,'country-code'!$A$1:$B$267,2,FALSE)</f>
        <v>EAS</v>
      </c>
      <c r="D79" t="str">
        <f t="shared" si="1"/>
        <v>High income</v>
      </c>
    </row>
    <row r="80" spans="1:4" x14ac:dyDescent="0.2">
      <c r="A80" t="s">
        <v>729</v>
      </c>
      <c r="B80">
        <v>11541.776926321412</v>
      </c>
      <c r="C80" t="str">
        <f>VLOOKUP(A80,'country-code'!$A$1:$B$267,2,FALSE)</f>
        <v>ROU</v>
      </c>
      <c r="D80" t="str">
        <f t="shared" si="1"/>
        <v>High income</v>
      </c>
    </row>
    <row r="81" spans="1:4" x14ac:dyDescent="0.2">
      <c r="A81" t="s">
        <v>648</v>
      </c>
      <c r="B81">
        <v>11298.357619128754</v>
      </c>
      <c r="C81" t="str">
        <f>VLOOKUP(A81,'country-code'!$A$1:$B$267,2,FALSE)</f>
        <v>KAZ</v>
      </c>
      <c r="D81" t="str">
        <f t="shared" si="1"/>
        <v>High income</v>
      </c>
    </row>
    <row r="82" spans="1:4" x14ac:dyDescent="0.2">
      <c r="A82" t="s">
        <v>746</v>
      </c>
      <c r="B82">
        <v>11216.137128807277</v>
      </c>
      <c r="C82" t="str">
        <f>VLOOKUP(A82,'country-code'!$A$1:$B$267,2,FALSE)</f>
        <v>SST</v>
      </c>
      <c r="D82" t="str">
        <f t="shared" si="1"/>
        <v>High income</v>
      </c>
    </row>
    <row r="83" spans="1:4" x14ac:dyDescent="0.2">
      <c r="A83" t="s">
        <v>569</v>
      </c>
      <c r="B83">
        <v>11188.302540313363</v>
      </c>
      <c r="C83" t="str">
        <f>VLOOKUP(A83,'country-code'!$A$1:$B$267,2,FALSE)</f>
        <v>CHN</v>
      </c>
      <c r="D83" t="str">
        <f t="shared" si="1"/>
        <v>High income</v>
      </c>
    </row>
    <row r="84" spans="1:4" x14ac:dyDescent="0.2">
      <c r="A84" t="s">
        <v>787</v>
      </c>
      <c r="B84">
        <v>11010.162591099484</v>
      </c>
      <c r="C84" t="str">
        <f>VLOOKUP(A84,'country-code'!$A$1:$B$267,2,FALSE)</f>
        <v>WLD</v>
      </c>
      <c r="D84" t="str">
        <f t="shared" si="1"/>
        <v>High income</v>
      </c>
    </row>
    <row r="85" spans="1:4" x14ac:dyDescent="0.2">
      <c r="A85" t="s">
        <v>623</v>
      </c>
      <c r="B85">
        <v>10857.338148702336</v>
      </c>
      <c r="C85" t="str">
        <f>VLOOKUP(A85,'country-code'!$A$1:$B$267,2,FALSE)</f>
        <v>GUY</v>
      </c>
      <c r="D85" t="str">
        <f t="shared" si="1"/>
        <v>High income</v>
      </c>
    </row>
    <row r="86" spans="1:4" x14ac:dyDescent="0.2">
      <c r="A86" t="s">
        <v>697</v>
      </c>
      <c r="B86">
        <v>10575.873538433136</v>
      </c>
      <c r="C86" t="str">
        <f>VLOOKUP(A86,'country-code'!$A$1:$B$267,2,FALSE)</f>
        <v>MYS</v>
      </c>
      <c r="D86" t="str">
        <f t="shared" si="1"/>
        <v>High income</v>
      </c>
    </row>
    <row r="87" spans="1:4" x14ac:dyDescent="0.2">
      <c r="A87" t="s">
        <v>670</v>
      </c>
      <c r="B87">
        <v>10399.015087038188</v>
      </c>
      <c r="C87" t="str">
        <f>VLOOKUP(A87,'country-code'!$A$1:$B$267,2,FALSE)</f>
        <v>LTE</v>
      </c>
      <c r="D87" t="str">
        <f t="shared" si="1"/>
        <v>High income</v>
      </c>
    </row>
    <row r="88" spans="1:4" x14ac:dyDescent="0.2">
      <c r="A88" t="s">
        <v>730</v>
      </c>
      <c r="B88">
        <v>10216.251953125</v>
      </c>
      <c r="C88" t="str">
        <f>VLOOKUP(A88,'country-code'!$A$1:$B$267,2,FALSE)</f>
        <v>RUS</v>
      </c>
      <c r="D88" t="str">
        <f t="shared" si="1"/>
        <v>High income</v>
      </c>
    </row>
    <row r="89" spans="1:4" x14ac:dyDescent="0.2">
      <c r="A89" t="s">
        <v>680</v>
      </c>
      <c r="B89">
        <v>9807.5771154776667</v>
      </c>
      <c r="C89" t="str">
        <f>VLOOKUP(A89,'country-code'!$A$1:$B$267,2,FALSE)</f>
        <v>MDV</v>
      </c>
      <c r="D89" t="str">
        <f t="shared" si="1"/>
        <v>Upper middle income</v>
      </c>
    </row>
    <row r="90" spans="1:4" x14ac:dyDescent="0.2">
      <c r="A90" t="s">
        <v>695</v>
      </c>
      <c r="B90">
        <v>9703.5242220022392</v>
      </c>
      <c r="C90" t="str">
        <f>VLOOKUP(A90,'country-code'!$A$1:$B$267,2,FALSE)</f>
        <v>MUS</v>
      </c>
      <c r="D90" t="str">
        <f t="shared" si="1"/>
        <v>Upper middle income</v>
      </c>
    </row>
    <row r="91" spans="1:4" x14ac:dyDescent="0.2">
      <c r="A91" t="s">
        <v>578</v>
      </c>
      <c r="B91">
        <v>9673.3715750185147</v>
      </c>
      <c r="C91" t="str">
        <f>VLOOKUP(A91,'country-code'!$A$1:$B$267,2,FALSE)</f>
        <v>CSS</v>
      </c>
      <c r="D91" t="str">
        <f t="shared" si="1"/>
        <v>Upper middle income</v>
      </c>
    </row>
    <row r="92" spans="1:4" x14ac:dyDescent="0.2">
      <c r="A92" t="s">
        <v>682</v>
      </c>
      <c r="B92">
        <v>9525.4096842066228</v>
      </c>
      <c r="C92" t="str">
        <f>VLOOKUP(A92,'country-code'!$A$1:$B$267,2,FALSE)</f>
        <v>MEX</v>
      </c>
      <c r="D92" t="str">
        <f t="shared" si="1"/>
        <v>Upper middle income</v>
      </c>
    </row>
    <row r="93" spans="1:4" x14ac:dyDescent="0.2">
      <c r="A93" t="s">
        <v>661</v>
      </c>
      <c r="B93">
        <v>9362.3543701158069</v>
      </c>
      <c r="C93" t="str">
        <f>VLOOKUP(A93,'country-code'!$A$1:$B$267,2,FALSE)</f>
        <v>LCA</v>
      </c>
      <c r="D93" t="str">
        <f t="shared" si="1"/>
        <v>Upper middle income</v>
      </c>
    </row>
    <row r="94" spans="1:4" x14ac:dyDescent="0.2">
      <c r="A94" t="s">
        <v>759</v>
      </c>
      <c r="B94">
        <v>9340.8523829218375</v>
      </c>
      <c r="C94" t="str">
        <f>VLOOKUP(A94,'country-code'!$A$1:$B$267,2,FALSE)</f>
        <v>TEC</v>
      </c>
      <c r="D94" t="str">
        <f t="shared" si="1"/>
        <v>Upper middle income</v>
      </c>
    </row>
    <row r="95" spans="1:4" x14ac:dyDescent="0.2">
      <c r="A95" t="s">
        <v>660</v>
      </c>
      <c r="B95">
        <v>9043.5443059585959</v>
      </c>
      <c r="C95" t="str">
        <f>VLOOKUP(A95,'country-code'!$A$1:$B$267,2,FALSE)</f>
        <v>LBY</v>
      </c>
      <c r="D95" t="str">
        <f t="shared" si="1"/>
        <v>Upper middle income</v>
      </c>
    </row>
    <row r="96" spans="1:4" x14ac:dyDescent="0.2">
      <c r="A96" t="s">
        <v>758</v>
      </c>
      <c r="B96">
        <v>8836.0809986105305</v>
      </c>
      <c r="C96" t="str">
        <f>VLOOKUP(A96,'country-code'!$A$1:$B$267,2,FALSE)</f>
        <v>TEA</v>
      </c>
      <c r="D96" t="str">
        <f t="shared" si="1"/>
        <v>Upper middle income</v>
      </c>
    </row>
    <row r="97" spans="1:4" x14ac:dyDescent="0.2">
      <c r="A97" t="s">
        <v>590</v>
      </c>
      <c r="B97">
        <v>8739.1121742057203</v>
      </c>
      <c r="C97" t="str">
        <f>VLOOKUP(A97,'country-code'!$A$1:$B$267,2,FALSE)</f>
        <v>EAP</v>
      </c>
      <c r="D97" t="str">
        <f t="shared" si="1"/>
        <v>Upper middle income</v>
      </c>
    </row>
    <row r="98" spans="1:4" x14ac:dyDescent="0.2">
      <c r="A98" t="s">
        <v>550</v>
      </c>
      <c r="B98">
        <v>8633.9822914706638</v>
      </c>
      <c r="C98" t="str">
        <f>VLOOKUP(A98,'country-code'!$A$1:$B$267,2,FALSE)</f>
        <v>BGR</v>
      </c>
      <c r="D98" t="str">
        <f t="shared" si="1"/>
        <v>Upper middle income</v>
      </c>
    </row>
    <row r="99" spans="1:4" x14ac:dyDescent="0.2">
      <c r="A99" t="s">
        <v>593</v>
      </c>
      <c r="B99">
        <v>8568.1253569791679</v>
      </c>
      <c r="C99" t="str">
        <f>VLOOKUP(A99,'country-code'!$A$1:$B$267,2,FALSE)</f>
        <v>ECA</v>
      </c>
      <c r="D99" t="str">
        <f t="shared" si="1"/>
        <v>Upper middle income</v>
      </c>
    </row>
    <row r="100" spans="1:4" x14ac:dyDescent="0.2">
      <c r="A100" t="s">
        <v>558</v>
      </c>
      <c r="B100">
        <v>8537.9392201322553</v>
      </c>
      <c r="C100" t="str">
        <f>VLOOKUP(A100,'country-code'!$A$1:$B$267,2,FALSE)</f>
        <v>BRA</v>
      </c>
      <c r="D100" t="str">
        <f t="shared" si="1"/>
        <v>Upper middle income</v>
      </c>
    </row>
    <row r="101" spans="1:4" x14ac:dyDescent="0.2">
      <c r="A101" t="s">
        <v>662</v>
      </c>
      <c r="B101">
        <v>8495.2417990977046</v>
      </c>
      <c r="C101" t="str">
        <f>VLOOKUP(A101,'country-code'!$A$1:$B$267,2,FALSE)</f>
        <v>LCN</v>
      </c>
      <c r="D101" t="str">
        <f t="shared" si="1"/>
        <v>Upper middle income</v>
      </c>
    </row>
    <row r="102" spans="1:4" x14ac:dyDescent="0.2">
      <c r="A102" t="s">
        <v>588</v>
      </c>
      <c r="B102">
        <v>8410.6056561726436</v>
      </c>
      <c r="C102" t="str">
        <f>VLOOKUP(A102,'country-code'!$A$1:$B$267,2,FALSE)</f>
        <v>DOM</v>
      </c>
      <c r="D102" t="str">
        <f t="shared" si="1"/>
        <v>Upper middle income</v>
      </c>
    </row>
    <row r="103" spans="1:4" x14ac:dyDescent="0.2">
      <c r="A103" t="s">
        <v>764</v>
      </c>
      <c r="B103">
        <v>8376.9741372974422</v>
      </c>
      <c r="C103" t="str">
        <f>VLOOKUP(A103,'country-code'!$A$1:$B$267,2,FALSE)</f>
        <v>TLA</v>
      </c>
      <c r="D103" t="str">
        <f t="shared" si="1"/>
        <v>Upper middle income</v>
      </c>
    </row>
    <row r="104" spans="1:4" x14ac:dyDescent="0.2">
      <c r="A104" t="s">
        <v>619</v>
      </c>
      <c r="B104">
        <v>8223.2984774933193</v>
      </c>
      <c r="C104" t="str">
        <f>VLOOKUP(A104,'country-code'!$A$1:$B$267,2,FALSE)</f>
        <v>GRD</v>
      </c>
      <c r="D104" t="str">
        <f t="shared" si="1"/>
        <v>Upper middle income</v>
      </c>
    </row>
    <row r="105" spans="1:4" x14ac:dyDescent="0.2">
      <c r="A105" t="s">
        <v>656</v>
      </c>
      <c r="B105">
        <v>8022.3509774912991</v>
      </c>
      <c r="C105" t="str">
        <f>VLOOKUP(A105,'country-code'!$A$1:$B$267,2,FALSE)</f>
        <v>LAC</v>
      </c>
      <c r="D105" t="str">
        <f t="shared" si="1"/>
        <v>Upper middle income</v>
      </c>
    </row>
    <row r="106" spans="1:4" x14ac:dyDescent="0.2">
      <c r="A106" t="s">
        <v>781</v>
      </c>
      <c r="B106">
        <v>7926.7038199919825</v>
      </c>
      <c r="C106" t="str">
        <f>VLOOKUP(A106,'country-code'!$A$1:$B$267,2,FALSE)</f>
        <v>VCT</v>
      </c>
      <c r="D106" t="str">
        <f t="shared" si="1"/>
        <v>Upper middle income</v>
      </c>
    </row>
    <row r="107" spans="1:4" x14ac:dyDescent="0.2">
      <c r="A107" t="s">
        <v>707</v>
      </c>
      <c r="B107">
        <v>7354.3180606053229</v>
      </c>
      <c r="C107" t="str">
        <f>VLOOKUP(A107,'country-code'!$A$1:$B$267,2,FALSE)</f>
        <v>NRU</v>
      </c>
      <c r="D107" t="str">
        <f t="shared" si="1"/>
        <v>Upper middle income</v>
      </c>
    </row>
    <row r="108" spans="1:4" x14ac:dyDescent="0.2">
      <c r="A108" t="s">
        <v>690</v>
      </c>
      <c r="B108">
        <v>7350.4547449489974</v>
      </c>
      <c r="C108" t="str">
        <f>VLOOKUP(A108,'country-code'!$A$1:$B$267,2,FALSE)</f>
        <v>MNE</v>
      </c>
      <c r="D108" t="str">
        <f t="shared" si="1"/>
        <v>Upper middle income</v>
      </c>
    </row>
    <row r="109" spans="1:4" x14ac:dyDescent="0.2">
      <c r="A109" t="s">
        <v>579</v>
      </c>
      <c r="B109">
        <v>7291.0678851641132</v>
      </c>
      <c r="C109" t="str">
        <f>VLOOKUP(A109,'country-code'!$A$1:$B$267,2,FALSE)</f>
        <v>CUB</v>
      </c>
      <c r="D109" t="str">
        <f t="shared" si="1"/>
        <v>Upper middle income</v>
      </c>
    </row>
    <row r="110" spans="1:4" x14ac:dyDescent="0.2">
      <c r="A110" t="s">
        <v>681</v>
      </c>
      <c r="B110">
        <v>7171.5460650325613</v>
      </c>
      <c r="C110" t="str">
        <f>VLOOKUP(A110,'country-code'!$A$1:$B$267,2,FALSE)</f>
        <v>MEA</v>
      </c>
      <c r="D110" t="str">
        <f t="shared" si="1"/>
        <v>Upper middle income</v>
      </c>
    </row>
    <row r="111" spans="1:4" x14ac:dyDescent="0.2">
      <c r="A111" t="s">
        <v>742</v>
      </c>
      <c r="B111">
        <v>7113.5768791012333</v>
      </c>
      <c r="C111" t="str">
        <f>VLOOKUP(A111,'country-code'!$A$1:$B$267,2,FALSE)</f>
        <v>SRB</v>
      </c>
      <c r="D111" t="str">
        <f t="shared" si="1"/>
        <v>Upper middle income</v>
      </c>
    </row>
    <row r="112" spans="1:4" x14ac:dyDescent="0.2">
      <c r="A112" t="s">
        <v>748</v>
      </c>
      <c r="B112">
        <v>7008.3624612623917</v>
      </c>
      <c r="C112" t="str">
        <f>VLOOKUP(A112,'country-code'!$A$1:$B$267,2,FALSE)</f>
        <v>SUR</v>
      </c>
      <c r="D112" t="str">
        <f t="shared" si="1"/>
        <v>Upper middle income</v>
      </c>
    </row>
    <row r="113" spans="1:4" x14ac:dyDescent="0.2">
      <c r="A113" t="s">
        <v>586</v>
      </c>
      <c r="B113">
        <v>6964.7832818228908</v>
      </c>
      <c r="C113" t="str">
        <f>VLOOKUP(A113,'country-code'!$A$1:$B$267,2,FALSE)</f>
        <v>DMA</v>
      </c>
      <c r="D113" t="str">
        <f t="shared" si="1"/>
        <v>Upper middle income</v>
      </c>
    </row>
    <row r="114" spans="1:4" x14ac:dyDescent="0.2">
      <c r="A114" t="s">
        <v>631</v>
      </c>
      <c r="B114">
        <v>6671.407535888492</v>
      </c>
      <c r="C114" t="str">
        <f>VLOOKUP(A114,'country-code'!$A$1:$B$267,2,FALSE)</f>
        <v>IBD</v>
      </c>
      <c r="D114" t="str">
        <f t="shared" si="1"/>
        <v>Upper middle income</v>
      </c>
    </row>
    <row r="115" spans="1:4" x14ac:dyDescent="0.2">
      <c r="A115" t="s">
        <v>609</v>
      </c>
      <c r="B115">
        <v>6577.044153230172</v>
      </c>
      <c r="C115" t="str">
        <f>VLOOKUP(A115,'country-code'!$A$1:$B$267,2,FALSE)</f>
        <v>GAB</v>
      </c>
      <c r="D115" t="str">
        <f t="shared" si="1"/>
        <v>Upper middle income</v>
      </c>
    </row>
    <row r="116" spans="1:4" x14ac:dyDescent="0.2">
      <c r="A116" t="s">
        <v>714</v>
      </c>
      <c r="B116">
        <v>6437.1020226234541</v>
      </c>
      <c r="C116" t="str">
        <f>VLOOKUP(A116,'country-code'!$A$1:$B$267,2,FALSE)</f>
        <v>PER</v>
      </c>
      <c r="D116" t="str">
        <f t="shared" si="1"/>
        <v>Upper middle income</v>
      </c>
    </row>
    <row r="117" spans="1:4" x14ac:dyDescent="0.2">
      <c r="A117" t="s">
        <v>554</v>
      </c>
      <c r="B117">
        <v>6418.2376343702808</v>
      </c>
      <c r="C117" t="str">
        <f>VLOOKUP(A117,'country-code'!$A$1:$B$267,2,FALSE)</f>
        <v>BLR</v>
      </c>
      <c r="D117" t="str">
        <f t="shared" si="1"/>
        <v>Upper middle income</v>
      </c>
    </row>
    <row r="118" spans="1:4" x14ac:dyDescent="0.2">
      <c r="A118" t="s">
        <v>574</v>
      </c>
      <c r="B118">
        <v>6418.0977512044474</v>
      </c>
      <c r="C118" t="str">
        <f>VLOOKUP(A118,'country-code'!$A$1:$B$267,2,FALSE)</f>
        <v>COL</v>
      </c>
      <c r="D118" t="str">
        <f t="shared" si="1"/>
        <v>Upper middle income</v>
      </c>
    </row>
    <row r="119" spans="1:4" x14ac:dyDescent="0.2">
      <c r="A119" t="s">
        <v>562</v>
      </c>
      <c r="B119">
        <v>6366.5922129219607</v>
      </c>
      <c r="C119" t="str">
        <f>VLOOKUP(A119,'country-code'!$A$1:$B$267,2,FALSE)</f>
        <v>BWA</v>
      </c>
      <c r="D119" t="str">
        <f t="shared" si="1"/>
        <v>Upper middle income</v>
      </c>
    </row>
    <row r="120" spans="1:4" x14ac:dyDescent="0.2">
      <c r="A120" t="s">
        <v>723</v>
      </c>
      <c r="B120">
        <v>6264.8947364119676</v>
      </c>
      <c r="C120" t="str">
        <f>VLOOKUP(A120,'country-code'!$A$1:$B$267,2,FALSE)</f>
        <v>PRY</v>
      </c>
      <c r="D120" t="str">
        <f t="shared" si="1"/>
        <v>Upper middle income</v>
      </c>
    </row>
    <row r="121" spans="1:4" x14ac:dyDescent="0.2">
      <c r="A121" t="s">
        <v>761</v>
      </c>
      <c r="B121">
        <v>6123.946890343499</v>
      </c>
      <c r="C121" t="str">
        <f>VLOOKUP(A121,'country-code'!$A$1:$B$267,2,FALSE)</f>
        <v>THA</v>
      </c>
      <c r="D121" t="str">
        <f t="shared" si="1"/>
        <v>Upper middle income</v>
      </c>
    </row>
    <row r="122" spans="1:4" x14ac:dyDescent="0.2">
      <c r="A122" t="s">
        <v>658</v>
      </c>
      <c r="B122">
        <v>6095.568779507189</v>
      </c>
      <c r="C122" t="str">
        <f>VLOOKUP(A122,'country-code'!$A$1:$B$267,2,FALSE)</f>
        <v>LBN</v>
      </c>
      <c r="D122" t="str">
        <f t="shared" si="1"/>
        <v>Upper middle income</v>
      </c>
    </row>
    <row r="123" spans="1:4" x14ac:dyDescent="0.2">
      <c r="A123" t="s">
        <v>791</v>
      </c>
      <c r="B123">
        <v>5947.8871985549204</v>
      </c>
      <c r="C123" t="str">
        <f>VLOOKUP(A123,'country-code'!$A$1:$B$267,2,FALSE)</f>
        <v>ZAF</v>
      </c>
      <c r="D123" t="str">
        <f t="shared" si="1"/>
        <v>Upper middle income</v>
      </c>
    </row>
    <row r="124" spans="1:4" x14ac:dyDescent="0.2">
      <c r="A124" t="s">
        <v>536</v>
      </c>
      <c r="B124">
        <v>5946.2687725522037</v>
      </c>
      <c r="C124" t="str">
        <f>VLOOKUP(A124,'country-code'!$A$1:$B$267,2,FALSE)</f>
        <v>ARB</v>
      </c>
      <c r="D124" t="str">
        <f t="shared" si="1"/>
        <v>Upper middle income</v>
      </c>
    </row>
    <row r="125" spans="1:4" x14ac:dyDescent="0.2">
      <c r="A125" t="s">
        <v>553</v>
      </c>
      <c r="B125">
        <v>5862.4583004787419</v>
      </c>
      <c r="C125" t="str">
        <f>VLOOKUP(A125,'country-code'!$A$1:$B$267,2,FALSE)</f>
        <v>BIH</v>
      </c>
      <c r="D125" t="str">
        <f t="shared" si="1"/>
        <v>Upper middle income</v>
      </c>
    </row>
    <row r="126" spans="1:4" x14ac:dyDescent="0.2">
      <c r="A126" t="s">
        <v>617</v>
      </c>
      <c r="B126">
        <v>5833.1029320686985</v>
      </c>
      <c r="C126" t="str">
        <f>VLOOKUP(A126,'country-code'!$A$1:$B$267,2,FALSE)</f>
        <v>GNQ</v>
      </c>
      <c r="D126" t="str">
        <f t="shared" si="1"/>
        <v>Upper middle income</v>
      </c>
    </row>
    <row r="127" spans="1:4" x14ac:dyDescent="0.2">
      <c r="A127" t="s">
        <v>555</v>
      </c>
      <c r="B127">
        <v>5733.3526108740143</v>
      </c>
      <c r="C127" t="str">
        <f>VLOOKUP(A127,'country-code'!$A$1:$B$267,2,FALSE)</f>
        <v>BLZ</v>
      </c>
      <c r="D127" t="str">
        <f t="shared" si="1"/>
        <v>Upper middle income</v>
      </c>
    </row>
    <row r="128" spans="1:4" x14ac:dyDescent="0.2">
      <c r="A128" s="21" t="s">
        <v>684</v>
      </c>
      <c r="B128" s="21">
        <v>5631.2866945655232</v>
      </c>
      <c r="C128" t="str">
        <f>VLOOKUP(A128,'country-code'!$A$1:$B$267,2,FALSE)</f>
        <v>MIC</v>
      </c>
      <c r="D128" t="str">
        <f t="shared" si="1"/>
        <v>Upper middle income</v>
      </c>
    </row>
    <row r="129" spans="1:4" x14ac:dyDescent="0.2">
      <c r="A129" t="s">
        <v>595</v>
      </c>
      <c r="B129">
        <v>5492.4892705154489</v>
      </c>
      <c r="C129" t="str">
        <f>VLOOKUP(A129,'country-code'!$A$1:$B$267,2,FALSE)</f>
        <v>ECU</v>
      </c>
      <c r="D129" t="str">
        <f t="shared" si="1"/>
        <v>Middle income</v>
      </c>
    </row>
    <row r="130" spans="1:4" x14ac:dyDescent="0.2">
      <c r="A130" t="s">
        <v>640</v>
      </c>
      <c r="B130">
        <v>5344.958027088298</v>
      </c>
      <c r="C130" t="str">
        <f>VLOOKUP(A130,'country-code'!$A$1:$B$267,2,FALSE)</f>
        <v>IRN</v>
      </c>
      <c r="D130" t="str">
        <f t="shared" si="1"/>
        <v>Middle income</v>
      </c>
    </row>
    <row r="131" spans="1:4" x14ac:dyDescent="0.2">
      <c r="A131" t="s">
        <v>544</v>
      </c>
      <c r="B131">
        <v>5344.4213481708475</v>
      </c>
      <c r="C131" t="str">
        <f>VLOOKUP(A131,'country-code'!$A$1:$B$267,2,FALSE)</f>
        <v>AZE</v>
      </c>
      <c r="D131" t="str">
        <f t="shared" ref="D131:D194" si="2">VLOOKUP(B131,$F$2:$H$5,3,TRUE)</f>
        <v>Middle income</v>
      </c>
    </row>
    <row r="132" spans="1:4" x14ac:dyDescent="0.2">
      <c r="A132" t="s">
        <v>685</v>
      </c>
      <c r="B132">
        <v>5287.0683788602691</v>
      </c>
      <c r="C132" t="str">
        <f>VLOOKUP(A132,'country-code'!$A$1:$B$267,2,FALSE)</f>
        <v>MKD</v>
      </c>
      <c r="D132" t="str">
        <f t="shared" si="2"/>
        <v>Middle income</v>
      </c>
    </row>
    <row r="133" spans="1:4" x14ac:dyDescent="0.2">
      <c r="A133" t="s">
        <v>632</v>
      </c>
      <c r="B133">
        <v>5270.0422862067271</v>
      </c>
      <c r="C133" t="str">
        <f>VLOOKUP(A133,'country-code'!$A$1:$B$267,2,FALSE)</f>
        <v>IBT</v>
      </c>
      <c r="D133" t="str">
        <f t="shared" si="2"/>
        <v>Middle income</v>
      </c>
    </row>
    <row r="134" spans="1:4" x14ac:dyDescent="0.2">
      <c r="A134" t="s">
        <v>683</v>
      </c>
      <c r="B134">
        <v>5262.4756242568374</v>
      </c>
      <c r="C134" t="str">
        <f>VLOOKUP(A134,'country-code'!$A$1:$B$267,2,FALSE)</f>
        <v>MHL</v>
      </c>
      <c r="D134" t="str">
        <f t="shared" si="2"/>
        <v>Middle income</v>
      </c>
    </row>
    <row r="135" spans="1:4" x14ac:dyDescent="0.2">
      <c r="A135" s="21" t="s">
        <v>668</v>
      </c>
      <c r="B135" s="21">
        <v>5102.6041838522242</v>
      </c>
      <c r="C135" t="str">
        <f>VLOOKUP(A135,'country-code'!$A$1:$B$267,2,FALSE)</f>
        <v>LMY</v>
      </c>
      <c r="D135" t="str">
        <f t="shared" si="2"/>
        <v>Middle income</v>
      </c>
    </row>
    <row r="136" spans="1:4" x14ac:dyDescent="0.2">
      <c r="A136" t="s">
        <v>645</v>
      </c>
      <c r="B136">
        <v>4971.8899546693228</v>
      </c>
      <c r="C136" t="str">
        <f>VLOOKUP(A136,'country-code'!$A$1:$B$267,2,FALSE)</f>
        <v>JAM</v>
      </c>
      <c r="D136" t="str">
        <f t="shared" si="2"/>
        <v>Low &amp; middle income</v>
      </c>
    </row>
    <row r="137" spans="1:4" x14ac:dyDescent="0.2">
      <c r="A137" t="s">
        <v>611</v>
      </c>
      <c r="B137">
        <v>4931.8237252010749</v>
      </c>
      <c r="C137" t="str">
        <f>VLOOKUP(A137,'country-code'!$A$1:$B$267,2,FALSE)</f>
        <v>GEO</v>
      </c>
      <c r="D137" t="str">
        <f t="shared" si="2"/>
        <v>Low &amp; middle income</v>
      </c>
    </row>
    <row r="138" spans="1:4" x14ac:dyDescent="0.2">
      <c r="A138" t="s">
        <v>534</v>
      </c>
      <c r="B138">
        <v>4830.596316916216</v>
      </c>
      <c r="C138" t="str">
        <f>VLOOKUP(A138,'country-code'!$A$1:$B$267,2,FALSE)</f>
        <v>ALB</v>
      </c>
      <c r="D138" t="str">
        <f t="shared" si="2"/>
        <v>Low &amp; middle income</v>
      </c>
    </row>
    <row r="139" spans="1:4" x14ac:dyDescent="0.2">
      <c r="A139" t="s">
        <v>539</v>
      </c>
      <c r="B139">
        <v>4522.3191074254873</v>
      </c>
      <c r="C139" t="str">
        <f>VLOOKUP(A139,'country-code'!$A$1:$B$267,2,FALSE)</f>
        <v>ARM</v>
      </c>
      <c r="D139" t="str">
        <f t="shared" si="2"/>
        <v>Low &amp; middle income</v>
      </c>
    </row>
    <row r="140" spans="1:4" x14ac:dyDescent="0.2">
      <c r="A140" t="s">
        <v>767</v>
      </c>
      <c r="B140">
        <v>4481.5106405626839</v>
      </c>
      <c r="C140" t="str">
        <f>VLOOKUP(A140,'country-code'!$A$1:$B$267,2,FALSE)</f>
        <v>TON</v>
      </c>
      <c r="D140" t="str">
        <f t="shared" si="2"/>
        <v>Low &amp; middle income</v>
      </c>
    </row>
    <row r="141" spans="1:4" x14ac:dyDescent="0.2">
      <c r="A141" t="s">
        <v>605</v>
      </c>
      <c r="B141">
        <v>4442.9326041327786</v>
      </c>
      <c r="C141" t="str">
        <f>VLOOKUP(A141,'country-code'!$A$1:$B$267,2,FALSE)</f>
        <v>FJI</v>
      </c>
      <c r="D141" t="str">
        <f t="shared" si="2"/>
        <v>Low &amp; middle income</v>
      </c>
    </row>
    <row r="142" spans="1:4" x14ac:dyDescent="0.2">
      <c r="A142" t="s">
        <v>789</v>
      </c>
      <c r="B142">
        <v>4429.9581437949719</v>
      </c>
      <c r="C142" t="str">
        <f>VLOOKUP(A142,'country-code'!$A$1:$B$267,2,FALSE)</f>
        <v>XKX</v>
      </c>
      <c r="D142" t="str">
        <f t="shared" si="2"/>
        <v>Low &amp; middle income</v>
      </c>
    </row>
    <row r="143" spans="1:4" x14ac:dyDescent="0.2">
      <c r="A143" t="s">
        <v>621</v>
      </c>
      <c r="B143">
        <v>4388.4368032945058</v>
      </c>
      <c r="C143" t="str">
        <f>VLOOKUP(A143,'country-code'!$A$1:$B$267,2,FALSE)</f>
        <v>GTM</v>
      </c>
      <c r="D143" t="str">
        <f t="shared" si="2"/>
        <v>Low &amp; middle income</v>
      </c>
    </row>
    <row r="144" spans="1:4" x14ac:dyDescent="0.2">
      <c r="A144" t="s">
        <v>666</v>
      </c>
      <c r="B144">
        <v>4375.9477077248048</v>
      </c>
      <c r="C144" t="str">
        <f>VLOOKUP(A144,'country-code'!$A$1:$B$267,2,FALSE)</f>
        <v>LKA</v>
      </c>
      <c r="D144" t="str">
        <f t="shared" si="2"/>
        <v>Low &amp; middle income</v>
      </c>
    </row>
    <row r="145" spans="1:4" x14ac:dyDescent="0.2">
      <c r="A145" t="s">
        <v>773</v>
      </c>
      <c r="B145">
        <v>4277.4556720816463</v>
      </c>
      <c r="C145" t="str">
        <f>VLOOKUP(A145,'country-code'!$A$1:$B$267,2,FALSE)</f>
        <v>TUV</v>
      </c>
      <c r="D145" t="str">
        <f t="shared" si="2"/>
        <v>Low &amp; middle income</v>
      </c>
    </row>
    <row r="146" spans="1:4" x14ac:dyDescent="0.2">
      <c r="A146" t="s">
        <v>641</v>
      </c>
      <c r="B146">
        <v>4224.2538348868893</v>
      </c>
      <c r="C146" t="str">
        <f>VLOOKUP(A146,'country-code'!$A$1:$B$267,2,FALSE)</f>
        <v>IRQ</v>
      </c>
      <c r="D146" t="str">
        <f t="shared" si="2"/>
        <v>Low &amp; middle income</v>
      </c>
    </row>
    <row r="147" spans="1:4" x14ac:dyDescent="0.2">
      <c r="A147" t="s">
        <v>699</v>
      </c>
      <c r="B147">
        <v>4196.2853038301128</v>
      </c>
      <c r="C147" t="str">
        <f>VLOOKUP(A147,'country-code'!$A$1:$B$267,2,FALSE)</f>
        <v>NAM</v>
      </c>
      <c r="D147" t="str">
        <f t="shared" si="2"/>
        <v>Low &amp; middle income</v>
      </c>
    </row>
    <row r="148" spans="1:4" x14ac:dyDescent="0.2">
      <c r="A148" t="s">
        <v>739</v>
      </c>
      <c r="B148">
        <v>4134.321689325765</v>
      </c>
      <c r="C148" t="str">
        <f>VLOOKUP(A148,'country-code'!$A$1:$B$267,2,FALSE)</f>
        <v>SLV</v>
      </c>
      <c r="D148" t="str">
        <f t="shared" si="2"/>
        <v>Low &amp; middle income</v>
      </c>
    </row>
    <row r="149" spans="1:4" x14ac:dyDescent="0.2">
      <c r="A149" t="s">
        <v>691</v>
      </c>
      <c r="B149">
        <v>4107.1836521614869</v>
      </c>
      <c r="C149" t="str">
        <f>VLOOKUP(A149,'country-code'!$A$1:$B$267,2,FALSE)</f>
        <v>MNG</v>
      </c>
      <c r="D149" t="str">
        <f t="shared" si="2"/>
        <v>Low &amp; middle income</v>
      </c>
    </row>
    <row r="150" spans="1:4" x14ac:dyDescent="0.2">
      <c r="A150" t="s">
        <v>589</v>
      </c>
      <c r="B150">
        <v>3943.1719833771222</v>
      </c>
      <c r="C150" t="str">
        <f>VLOOKUP(A150,'country-code'!$A$1:$B$267,2,FALSE)</f>
        <v>DZA</v>
      </c>
      <c r="D150" t="str">
        <f t="shared" si="2"/>
        <v>Low &amp; middle income</v>
      </c>
    </row>
    <row r="151" spans="1:4" x14ac:dyDescent="0.2">
      <c r="A151" t="s">
        <v>752</v>
      </c>
      <c r="B151">
        <v>3923.5773329209892</v>
      </c>
      <c r="C151" t="str">
        <f>VLOOKUP(A151,'country-code'!$A$1:$B$267,2,FALSE)</f>
        <v>SWZ</v>
      </c>
      <c r="D151" t="str">
        <f t="shared" si="2"/>
        <v>Low &amp; middle income</v>
      </c>
    </row>
    <row r="152" spans="1:4" x14ac:dyDescent="0.2">
      <c r="A152" t="s">
        <v>766</v>
      </c>
      <c r="B152">
        <v>3908.7546728276266</v>
      </c>
      <c r="C152" t="str">
        <f>VLOOKUP(A152,'country-code'!$A$1:$B$267,2,FALSE)</f>
        <v>TMN</v>
      </c>
      <c r="D152" t="str">
        <f t="shared" si="2"/>
        <v>Low &amp; middle income</v>
      </c>
    </row>
    <row r="153" spans="1:4" x14ac:dyDescent="0.2">
      <c r="A153" t="s">
        <v>689</v>
      </c>
      <c r="B153">
        <v>3898.6809811871772</v>
      </c>
      <c r="C153" t="str">
        <f>VLOOKUP(A153,'country-code'!$A$1:$B$267,2,FALSE)</f>
        <v>MNA</v>
      </c>
      <c r="D153" t="str">
        <f t="shared" si="2"/>
        <v>Low &amp; middle income</v>
      </c>
    </row>
    <row r="154" spans="1:4" x14ac:dyDescent="0.2">
      <c r="A154" t="s">
        <v>596</v>
      </c>
      <c r="B154">
        <v>3898.5165819547874</v>
      </c>
      <c r="C154" t="str">
        <f>VLOOKUP(A154,'country-code'!$A$1:$B$267,2,FALSE)</f>
        <v>EGY</v>
      </c>
      <c r="D154" t="str">
        <f t="shared" si="2"/>
        <v>Low &amp; middle income</v>
      </c>
    </row>
    <row r="155" spans="1:4" x14ac:dyDescent="0.2">
      <c r="A155" t="s">
        <v>635</v>
      </c>
      <c r="B155">
        <v>3892.5389904924955</v>
      </c>
      <c r="C155" t="str">
        <f>VLOOKUP(A155,'country-code'!$A$1:$B$267,2,FALSE)</f>
        <v>IDN</v>
      </c>
      <c r="D155" t="str">
        <f t="shared" si="2"/>
        <v>Low &amp; middle income</v>
      </c>
    </row>
    <row r="156" spans="1:4" x14ac:dyDescent="0.2">
      <c r="A156" t="s">
        <v>788</v>
      </c>
      <c r="B156">
        <v>3855.6135754131246</v>
      </c>
      <c r="C156" t="str">
        <f>VLOOKUP(A156,'country-code'!$A$1:$B$267,2,FALSE)</f>
        <v>WSM</v>
      </c>
      <c r="D156" t="str">
        <f t="shared" si="2"/>
        <v>Low &amp; middle income</v>
      </c>
    </row>
    <row r="157" spans="1:4" x14ac:dyDescent="0.2">
      <c r="A157" t="s">
        <v>771</v>
      </c>
      <c r="B157">
        <v>3831.4373271323775</v>
      </c>
      <c r="C157" t="str">
        <f>VLOOKUP(A157,'country-code'!$A$1:$B$267,2,FALSE)</f>
        <v>TUN</v>
      </c>
      <c r="D157" t="str">
        <f t="shared" si="2"/>
        <v>Low &amp; middle income</v>
      </c>
    </row>
    <row r="158" spans="1:4" x14ac:dyDescent="0.2">
      <c r="A158" t="s">
        <v>646</v>
      </c>
      <c r="B158">
        <v>3781.5282862725694</v>
      </c>
      <c r="C158" t="str">
        <f>VLOOKUP(A158,'country-code'!$A$1:$B$267,2,FALSE)</f>
        <v>JOR</v>
      </c>
      <c r="D158" t="str">
        <f t="shared" si="2"/>
        <v>Low &amp; middle income</v>
      </c>
    </row>
    <row r="159" spans="1:4" x14ac:dyDescent="0.2">
      <c r="A159" t="s">
        <v>678</v>
      </c>
      <c r="B159">
        <v>3694.652030068396</v>
      </c>
      <c r="C159" t="str">
        <f>VLOOKUP(A159,'country-code'!$A$1:$B$267,2,FALSE)</f>
        <v>MDA</v>
      </c>
      <c r="D159" t="str">
        <f t="shared" si="2"/>
        <v>Low &amp; middle income</v>
      </c>
    </row>
    <row r="160" spans="1:4" x14ac:dyDescent="0.2">
      <c r="A160" t="s">
        <v>591</v>
      </c>
      <c r="B160">
        <v>3522.0611831882679</v>
      </c>
      <c r="C160" t="str">
        <f>VLOOKUP(A160,'country-code'!$A$1:$B$267,2,FALSE)</f>
        <v>EAR</v>
      </c>
      <c r="D160" t="str">
        <f t="shared" si="2"/>
        <v>Low &amp; middle income</v>
      </c>
    </row>
    <row r="161" spans="1:4" x14ac:dyDescent="0.2">
      <c r="A161" t="s">
        <v>785</v>
      </c>
      <c r="B161">
        <v>3409.0247166397962</v>
      </c>
      <c r="C161" t="str">
        <f>VLOOKUP(A161,'country-code'!$A$1:$B$267,2,FALSE)</f>
        <v>VNM</v>
      </c>
      <c r="D161" t="str">
        <f t="shared" si="2"/>
        <v>Low &amp; middle income</v>
      </c>
    </row>
    <row r="162" spans="1:4" x14ac:dyDescent="0.2">
      <c r="A162" t="s">
        <v>725</v>
      </c>
      <c r="B162">
        <v>3363.015342810781</v>
      </c>
      <c r="C162" t="str">
        <f>VLOOKUP(A162,'country-code'!$A$1:$B$267,2,FALSE)</f>
        <v>PSS</v>
      </c>
      <c r="D162" t="str">
        <f t="shared" si="2"/>
        <v>Low &amp; middle income</v>
      </c>
    </row>
    <row r="163" spans="1:4" x14ac:dyDescent="0.2">
      <c r="A163" t="s">
        <v>780</v>
      </c>
      <c r="B163">
        <v>3327.7802630149117</v>
      </c>
      <c r="C163" t="str">
        <f>VLOOKUP(A163,'country-code'!$A$1:$B$267,2,FALSE)</f>
        <v>UZB</v>
      </c>
      <c r="D163" t="str">
        <f t="shared" si="2"/>
        <v>Low &amp; middle income</v>
      </c>
    </row>
    <row r="164" spans="1:4" x14ac:dyDescent="0.2">
      <c r="A164" t="s">
        <v>715</v>
      </c>
      <c r="B164">
        <v>3327.6808155603094</v>
      </c>
      <c r="C164" t="str">
        <f>VLOOKUP(A164,'country-code'!$A$1:$B$267,2,FALSE)</f>
        <v>PHL</v>
      </c>
      <c r="D164" t="str">
        <f t="shared" si="2"/>
        <v>Low &amp; middle income</v>
      </c>
    </row>
    <row r="165" spans="1:4" x14ac:dyDescent="0.2">
      <c r="A165" t="s">
        <v>676</v>
      </c>
      <c r="B165">
        <v>3290.62036132813</v>
      </c>
      <c r="C165" t="str">
        <f>VLOOKUP(A165,'country-code'!$A$1:$B$267,2,FALSE)</f>
        <v>MAR</v>
      </c>
      <c r="D165" t="str">
        <f t="shared" si="2"/>
        <v>Low &amp; middle income</v>
      </c>
    </row>
    <row r="166" spans="1:4" x14ac:dyDescent="0.2">
      <c r="A166" t="s">
        <v>557</v>
      </c>
      <c r="B166">
        <v>3061.7386096362015</v>
      </c>
      <c r="C166" t="str">
        <f>VLOOKUP(A166,'country-code'!$A$1:$B$267,2,FALSE)</f>
        <v>BOL</v>
      </c>
      <c r="D166" t="str">
        <f t="shared" si="2"/>
        <v>Low &amp; middle income</v>
      </c>
    </row>
    <row r="167" spans="1:4" x14ac:dyDescent="0.2">
      <c r="A167" t="s">
        <v>724</v>
      </c>
      <c r="B167">
        <v>3052.5830181469742</v>
      </c>
      <c r="C167" t="str">
        <f>VLOOKUP(A167,'country-code'!$A$1:$B$267,2,FALSE)</f>
        <v>PSE</v>
      </c>
      <c r="D167" t="str">
        <f t="shared" si="2"/>
        <v>Low &amp; middle income</v>
      </c>
    </row>
    <row r="168" spans="1:4" x14ac:dyDescent="0.2">
      <c r="A168" t="s">
        <v>561</v>
      </c>
      <c r="B168">
        <v>2976.9064831546302</v>
      </c>
      <c r="C168" t="str">
        <f>VLOOKUP(A168,'country-code'!$A$1:$B$267,2,FALSE)</f>
        <v>BTN</v>
      </c>
      <c r="D168" t="str">
        <f t="shared" si="2"/>
        <v>Low &amp; middle income</v>
      </c>
    </row>
    <row r="169" spans="1:4" x14ac:dyDescent="0.2">
      <c r="A169" t="s">
        <v>576</v>
      </c>
      <c r="B169">
        <v>2968.8607699270824</v>
      </c>
      <c r="C169" t="str">
        <f>VLOOKUP(A169,'country-code'!$A$1:$B$267,2,FALSE)</f>
        <v>CPV</v>
      </c>
      <c r="D169" t="str">
        <f t="shared" si="2"/>
        <v>Low &amp; middle income</v>
      </c>
    </row>
    <row r="170" spans="1:4" x14ac:dyDescent="0.2">
      <c r="A170" t="s">
        <v>585</v>
      </c>
      <c r="B170">
        <v>2905.9068074981637</v>
      </c>
      <c r="C170" t="str">
        <f>VLOOKUP(A170,'country-code'!$A$1:$B$267,2,FALSE)</f>
        <v>DJI</v>
      </c>
      <c r="D170" t="str">
        <f t="shared" si="2"/>
        <v>Low &amp; middle income</v>
      </c>
    </row>
    <row r="171" spans="1:4" x14ac:dyDescent="0.2">
      <c r="A171" t="s">
        <v>608</v>
      </c>
      <c r="B171">
        <v>2794.7864159603864</v>
      </c>
      <c r="C171" t="str">
        <f>VLOOKUP(A171,'country-code'!$A$1:$B$267,2,FALSE)</f>
        <v>FSM</v>
      </c>
      <c r="D171" t="str">
        <f t="shared" si="2"/>
        <v>Low &amp; middle income</v>
      </c>
    </row>
    <row r="172" spans="1:4" x14ac:dyDescent="0.2">
      <c r="A172" t="s">
        <v>786</v>
      </c>
      <c r="B172">
        <v>2573.3077157561706</v>
      </c>
      <c r="C172" t="str">
        <f>VLOOKUP(A172,'country-code'!$A$1:$B$267,2,FALSE)</f>
        <v>VUT</v>
      </c>
      <c r="D172" t="str">
        <f t="shared" si="2"/>
        <v>Low &amp; middle income</v>
      </c>
    </row>
    <row r="173" spans="1:4" x14ac:dyDescent="0.2">
      <c r="A173" t="s">
        <v>657</v>
      </c>
      <c r="B173">
        <v>2566.2774223522224</v>
      </c>
      <c r="C173" t="str">
        <f>VLOOKUP(A173,'country-code'!$A$1:$B$267,2,FALSE)</f>
        <v>LAO</v>
      </c>
      <c r="D173" t="str">
        <f t="shared" si="2"/>
        <v>Low &amp; middle income</v>
      </c>
    </row>
    <row r="174" spans="1:4" x14ac:dyDescent="0.2">
      <c r="A174" t="s">
        <v>776</v>
      </c>
      <c r="B174">
        <v>2451.90087890625</v>
      </c>
      <c r="C174" t="str">
        <f>VLOOKUP(A174,'country-code'!$A$1:$B$267,2,FALSE)</f>
        <v>UKR</v>
      </c>
      <c r="D174" t="str">
        <f t="shared" si="2"/>
        <v>Low &amp; middle income</v>
      </c>
    </row>
    <row r="175" spans="1:4" x14ac:dyDescent="0.2">
      <c r="A175" t="s">
        <v>702</v>
      </c>
      <c r="B175">
        <v>2429.5857810844504</v>
      </c>
      <c r="C175" t="str">
        <f>VLOOKUP(A175,'country-code'!$A$1:$B$267,2,FALSE)</f>
        <v>NGA</v>
      </c>
      <c r="D175" t="str">
        <f t="shared" si="2"/>
        <v>Low &amp; middle income</v>
      </c>
    </row>
    <row r="176" spans="1:4" x14ac:dyDescent="0.2">
      <c r="A176" t="s">
        <v>626</v>
      </c>
      <c r="B176">
        <v>2428.0291807681406</v>
      </c>
      <c r="C176" t="str">
        <f>VLOOKUP(A176,'country-code'!$A$1:$B$267,2,FALSE)</f>
        <v>HND</v>
      </c>
      <c r="D176" t="str">
        <f t="shared" si="2"/>
        <v>Low &amp; middle income</v>
      </c>
    </row>
    <row r="177" spans="1:4" x14ac:dyDescent="0.2">
      <c r="A177" t="s">
        <v>717</v>
      </c>
      <c r="B177">
        <v>2413.0709758866315</v>
      </c>
      <c r="C177" t="str">
        <f>VLOOKUP(A177,'country-code'!$A$1:$B$267,2,FALSE)</f>
        <v>PNG</v>
      </c>
      <c r="D177" t="str">
        <f t="shared" si="2"/>
        <v>Low &amp; middle income</v>
      </c>
    </row>
    <row r="178" spans="1:4" x14ac:dyDescent="0.2">
      <c r="A178" t="s">
        <v>570</v>
      </c>
      <c r="B178">
        <v>2377.9734396381627</v>
      </c>
      <c r="C178" t="str">
        <f>VLOOKUP(A178,'country-code'!$A$1:$B$267,2,FALSE)</f>
        <v>CIV</v>
      </c>
      <c r="D178" t="str">
        <f t="shared" si="2"/>
        <v>Low &amp; middle income</v>
      </c>
    </row>
    <row r="179" spans="1:4" x14ac:dyDescent="0.2">
      <c r="A179" t="s">
        <v>667</v>
      </c>
      <c r="B179">
        <v>2376.343074535901</v>
      </c>
      <c r="C179" t="str">
        <f>VLOOKUP(A179,'country-code'!$A$1:$B$267,2,FALSE)</f>
        <v>LMC</v>
      </c>
      <c r="D179" t="str">
        <f t="shared" si="2"/>
        <v>Low &amp; middle income</v>
      </c>
    </row>
    <row r="180" spans="1:4" x14ac:dyDescent="0.2">
      <c r="A180" t="s">
        <v>533</v>
      </c>
      <c r="B180">
        <v>2299.6405718261967</v>
      </c>
      <c r="C180" t="str">
        <f>VLOOKUP(A180,'country-code'!$A$1:$B$267,2,FALSE)</f>
        <v>AGO</v>
      </c>
      <c r="D180" t="str">
        <f t="shared" si="2"/>
        <v>Low &amp; middle income</v>
      </c>
    </row>
    <row r="181" spans="1:4" x14ac:dyDescent="0.2">
      <c r="A181" t="s">
        <v>765</v>
      </c>
      <c r="B181">
        <v>2061.0188911519149</v>
      </c>
      <c r="C181" t="str">
        <f>VLOOKUP(A181,'country-code'!$A$1:$B$267,2,FALSE)</f>
        <v>TLS</v>
      </c>
      <c r="D181" t="str">
        <f t="shared" si="2"/>
        <v>Low &amp; middle income</v>
      </c>
    </row>
    <row r="182" spans="1:4" x14ac:dyDescent="0.2">
      <c r="A182" t="s">
        <v>703</v>
      </c>
      <c r="B182">
        <v>2052.9008597499246</v>
      </c>
      <c r="C182" t="str">
        <f>VLOOKUP(A182,'country-code'!$A$1:$B$267,2,FALSE)</f>
        <v>NIC</v>
      </c>
      <c r="D182" t="str">
        <f t="shared" si="2"/>
        <v>Low &amp; middle income</v>
      </c>
    </row>
    <row r="183" spans="1:4" x14ac:dyDescent="0.2">
      <c r="A183" t="s">
        <v>737</v>
      </c>
      <c r="B183">
        <v>2026.4824590693445</v>
      </c>
      <c r="C183" t="str">
        <f>VLOOKUP(A183,'country-code'!$A$1:$B$267,2,FALSE)</f>
        <v>SLB</v>
      </c>
      <c r="D183" t="str">
        <f t="shared" si="2"/>
        <v>Low &amp; middle income</v>
      </c>
    </row>
    <row r="184" spans="1:4" x14ac:dyDescent="0.2">
      <c r="A184" t="s">
        <v>612</v>
      </c>
      <c r="B184">
        <v>2014.7364735269257</v>
      </c>
      <c r="C184" t="str">
        <f>VLOOKUP(A184,'country-code'!$A$1:$B$267,2,FALSE)</f>
        <v>GHA</v>
      </c>
      <c r="D184" t="str">
        <f t="shared" si="2"/>
        <v>Low &amp; middle income</v>
      </c>
    </row>
    <row r="185" spans="1:4" x14ac:dyDescent="0.2">
      <c r="A185" t="s">
        <v>634</v>
      </c>
      <c r="B185">
        <v>1968.2741832379938</v>
      </c>
      <c r="C185" t="str">
        <f>VLOOKUP(A185,'country-code'!$A$1:$B$267,2,FALSE)</f>
        <v>IDB</v>
      </c>
      <c r="D185" t="str">
        <f t="shared" si="2"/>
        <v>Low &amp; middle income</v>
      </c>
    </row>
    <row r="186" spans="1:4" x14ac:dyDescent="0.2">
      <c r="A186" s="22" t="s">
        <v>524</v>
      </c>
      <c r="B186" s="22">
        <v>1936.9427020637556</v>
      </c>
      <c r="C186" t="str">
        <f>VLOOKUP(A186,'country-code'!$A$1:$B$267,2,FALSE)</f>
        <v>IND</v>
      </c>
      <c r="D186" t="str">
        <f t="shared" si="2"/>
        <v>Low &amp; middle income</v>
      </c>
    </row>
    <row r="187" spans="1:4" x14ac:dyDescent="0.2">
      <c r="A187" t="s">
        <v>732</v>
      </c>
      <c r="B187">
        <v>1843.0458652613513</v>
      </c>
      <c r="C187" t="str">
        <f>VLOOKUP(A187,'country-code'!$A$1:$B$267,2,FALSE)</f>
        <v>SAS</v>
      </c>
      <c r="D187" t="str">
        <f t="shared" si="2"/>
        <v>Low &amp; middle income</v>
      </c>
    </row>
    <row r="188" spans="1:4" x14ac:dyDescent="0.2">
      <c r="A188" t="s">
        <v>768</v>
      </c>
      <c r="B188">
        <v>1843.0458652613513</v>
      </c>
      <c r="C188" t="str">
        <f>VLOOKUP(A188,'country-code'!$A$1:$B$267,2,FALSE)</f>
        <v>TSA</v>
      </c>
      <c r="D188" t="str">
        <f t="shared" si="2"/>
        <v>Low &amp; middle income</v>
      </c>
    </row>
    <row r="189" spans="1:4" x14ac:dyDescent="0.2">
      <c r="A189" t="s">
        <v>532</v>
      </c>
      <c r="B189">
        <v>1797.9602023898194</v>
      </c>
      <c r="C189" t="str">
        <f>VLOOKUP(A189,'country-code'!$A$1:$B$267,2,FALSE)</f>
        <v>AFW</v>
      </c>
      <c r="D189" t="str">
        <f t="shared" si="2"/>
        <v>Low &amp; middle income</v>
      </c>
    </row>
    <row r="190" spans="1:4" x14ac:dyDescent="0.2">
      <c r="A190" t="s">
        <v>603</v>
      </c>
      <c r="B190">
        <v>1786.1003255352889</v>
      </c>
      <c r="C190" t="str">
        <f>VLOOKUP(A190,'country-code'!$A$1:$B$267,2,FALSE)</f>
        <v>FCS</v>
      </c>
      <c r="D190" t="str">
        <f t="shared" si="2"/>
        <v>Low &amp; middle income</v>
      </c>
    </row>
    <row r="191" spans="1:4" x14ac:dyDescent="0.2">
      <c r="A191" t="s">
        <v>734</v>
      </c>
      <c r="B191">
        <v>1746.1923828125</v>
      </c>
      <c r="C191" t="str">
        <f>VLOOKUP(A191,'country-code'!$A$1:$B$267,2,FALSE)</f>
        <v>SDN</v>
      </c>
      <c r="D191" t="str">
        <f t="shared" si="2"/>
        <v>Low &amp; middle income</v>
      </c>
    </row>
    <row r="192" spans="1:4" x14ac:dyDescent="0.2">
      <c r="A192" t="s">
        <v>649</v>
      </c>
      <c r="B192">
        <v>1704.966575620052</v>
      </c>
      <c r="C192" t="str">
        <f>VLOOKUP(A192,'country-code'!$A$1:$B$267,2,FALSE)</f>
        <v>KEN</v>
      </c>
      <c r="D192" t="str">
        <f t="shared" si="2"/>
        <v>Low &amp; middle income</v>
      </c>
    </row>
    <row r="193" spans="1:4" x14ac:dyDescent="0.2">
      <c r="A193" t="s">
        <v>747</v>
      </c>
      <c r="B193">
        <v>1692.4353098074823</v>
      </c>
      <c r="C193" t="str">
        <f>VLOOKUP(A193,'country-code'!$A$1:$B$267,2,FALSE)</f>
        <v>STP</v>
      </c>
      <c r="D193" t="str">
        <f t="shared" si="2"/>
        <v>Low &amp; middle income</v>
      </c>
    </row>
    <row r="194" spans="1:4" x14ac:dyDescent="0.2">
      <c r="A194" t="s">
        <v>549</v>
      </c>
      <c r="B194">
        <v>1684.4343899534765</v>
      </c>
      <c r="C194" t="str">
        <f>VLOOKUP(A194,'country-code'!$A$1:$B$267,2,FALSE)</f>
        <v>BGD</v>
      </c>
      <c r="D194" t="str">
        <f t="shared" si="2"/>
        <v>Low &amp; middle income</v>
      </c>
    </row>
    <row r="195" spans="1:4" x14ac:dyDescent="0.2">
      <c r="A195" t="s">
        <v>694</v>
      </c>
      <c r="B195">
        <v>1609.9300625216285</v>
      </c>
      <c r="C195" t="str">
        <f>VLOOKUP(A195,'country-code'!$A$1:$B$267,2,FALSE)</f>
        <v>MRT</v>
      </c>
      <c r="D195" t="str">
        <f t="shared" ref="D195:D243" si="3">VLOOKUP(B195,$F$2:$H$5,3,TRUE)</f>
        <v>Low &amp; middle income</v>
      </c>
    </row>
    <row r="196" spans="1:4" x14ac:dyDescent="0.2">
      <c r="A196" t="s">
        <v>769</v>
      </c>
      <c r="B196">
        <v>1597.3675600441295</v>
      </c>
      <c r="C196" t="str">
        <f>VLOOKUP(A196,'country-code'!$A$1:$B$267,2,FALSE)</f>
        <v>TSS</v>
      </c>
      <c r="D196" t="str">
        <f t="shared" si="3"/>
        <v>Low &amp; middle income</v>
      </c>
    </row>
    <row r="197" spans="1:4" x14ac:dyDescent="0.2">
      <c r="A197" t="s">
        <v>745</v>
      </c>
      <c r="B197">
        <v>1597.3675600441288</v>
      </c>
      <c r="C197" t="str">
        <f>VLOOKUP(A197,'country-code'!$A$1:$B$267,2,FALSE)</f>
        <v>SSF</v>
      </c>
      <c r="D197" t="str">
        <f t="shared" si="3"/>
        <v>Low &amp; middle income</v>
      </c>
    </row>
    <row r="198" spans="1:4" x14ac:dyDescent="0.2">
      <c r="A198" t="s">
        <v>743</v>
      </c>
      <c r="B198">
        <v>1596.1033857731131</v>
      </c>
      <c r="C198" t="str">
        <f>VLOOKUP(A198,'country-code'!$A$1:$B$267,2,FALSE)</f>
        <v>SSA</v>
      </c>
      <c r="D198" t="str">
        <f t="shared" si="3"/>
        <v>Low &amp; middle income</v>
      </c>
    </row>
    <row r="199" spans="1:4" x14ac:dyDescent="0.2">
      <c r="A199" t="s">
        <v>573</v>
      </c>
      <c r="B199">
        <v>1515.893867294031</v>
      </c>
      <c r="C199" t="str">
        <f>VLOOKUP(A199,'country-code'!$A$1:$B$267,2,FALSE)</f>
        <v>COG</v>
      </c>
      <c r="D199" t="str">
        <f t="shared" si="3"/>
        <v>Low &amp; middle income</v>
      </c>
    </row>
    <row r="200" spans="1:4" x14ac:dyDescent="0.2">
      <c r="A200" t="s">
        <v>712</v>
      </c>
      <c r="B200">
        <v>1473.8648995052959</v>
      </c>
      <c r="C200" t="str">
        <f>VLOOKUP(A200,'country-code'!$A$1:$B$267,2,FALSE)</f>
        <v>PAK</v>
      </c>
      <c r="D200" t="str">
        <f t="shared" si="3"/>
        <v>Low &amp; middle income</v>
      </c>
    </row>
    <row r="201" spans="1:4" x14ac:dyDescent="0.2">
      <c r="A201" t="s">
        <v>530</v>
      </c>
      <c r="B201">
        <v>1460.9184336273979</v>
      </c>
      <c r="C201" t="str">
        <f>VLOOKUP(A201,'country-code'!$A$1:$B$267,2,FALSE)</f>
        <v>AFE</v>
      </c>
      <c r="D201" t="str">
        <f t="shared" si="3"/>
        <v>Low &amp; middle income</v>
      </c>
    </row>
    <row r="202" spans="1:4" x14ac:dyDescent="0.2">
      <c r="A202" t="s">
        <v>719</v>
      </c>
      <c r="B202">
        <v>1456.473832064562</v>
      </c>
      <c r="C202" t="str">
        <f>VLOOKUP(A202,'country-code'!$A$1:$B$267,2,FALSE)</f>
        <v>PRE</v>
      </c>
      <c r="D202" t="str">
        <f t="shared" si="3"/>
        <v>Low &amp; middle income</v>
      </c>
    </row>
    <row r="203" spans="1:4" x14ac:dyDescent="0.2">
      <c r="A203" t="s">
        <v>735</v>
      </c>
      <c r="B203">
        <v>1436.6536137801622</v>
      </c>
      <c r="C203" t="str">
        <f>VLOOKUP(A203,'country-code'!$A$1:$B$267,2,FALSE)</f>
        <v>SEN</v>
      </c>
      <c r="D203" t="str">
        <f t="shared" si="3"/>
        <v>Low &amp; middle income</v>
      </c>
    </row>
    <row r="204" spans="1:4" x14ac:dyDescent="0.2">
      <c r="A204" t="s">
        <v>571</v>
      </c>
      <c r="B204">
        <v>1432.8626845743024</v>
      </c>
      <c r="C204" t="str">
        <f>VLOOKUP(A204,'country-code'!$A$1:$B$267,2,FALSE)</f>
        <v>CMR</v>
      </c>
      <c r="D204" t="str">
        <f t="shared" si="3"/>
        <v>Low &amp; middle income</v>
      </c>
    </row>
    <row r="205" spans="1:4" x14ac:dyDescent="0.2">
      <c r="A205" t="s">
        <v>651</v>
      </c>
      <c r="B205">
        <v>1429.937026826188</v>
      </c>
      <c r="C205" t="str">
        <f>VLOOKUP(A205,'country-code'!$A$1:$B$267,2,FALSE)</f>
        <v>KHM</v>
      </c>
      <c r="D205" t="str">
        <f t="shared" si="3"/>
        <v>Low &amp; middle income</v>
      </c>
    </row>
    <row r="206" spans="1:4" x14ac:dyDescent="0.2">
      <c r="A206" t="s">
        <v>633</v>
      </c>
      <c r="B206">
        <v>1393.5673612153571</v>
      </c>
      <c r="C206" t="str">
        <f>VLOOKUP(A206,'country-code'!$A$1:$B$267,2,FALSE)</f>
        <v>IDA</v>
      </c>
      <c r="D206" t="str">
        <f t="shared" si="3"/>
        <v>Low &amp; middle income</v>
      </c>
    </row>
    <row r="207" spans="1:4" x14ac:dyDescent="0.2">
      <c r="A207" t="s">
        <v>652</v>
      </c>
      <c r="B207">
        <v>1386.5537200692133</v>
      </c>
      <c r="C207" t="str">
        <f>VLOOKUP(A207,'country-code'!$A$1:$B$267,2,FALSE)</f>
        <v>KIR</v>
      </c>
      <c r="D207" t="str">
        <f t="shared" si="3"/>
        <v>Low &amp; middle income</v>
      </c>
    </row>
    <row r="208" spans="1:4" x14ac:dyDescent="0.2">
      <c r="A208" t="s">
        <v>575</v>
      </c>
      <c r="B208">
        <v>1355.5387302205968</v>
      </c>
      <c r="C208" t="str">
        <f>VLOOKUP(A208,'country-code'!$A$1:$B$267,2,FALSE)</f>
        <v>COM</v>
      </c>
      <c r="D208" t="str">
        <f t="shared" si="3"/>
        <v>Low &amp; middle income</v>
      </c>
    </row>
    <row r="209" spans="1:4" x14ac:dyDescent="0.2">
      <c r="A209" t="s">
        <v>688</v>
      </c>
      <c r="B209">
        <v>1317.4530135791927</v>
      </c>
      <c r="C209" t="str">
        <f>VLOOKUP(A209,'country-code'!$A$1:$B$267,2,FALSE)</f>
        <v>MMR</v>
      </c>
      <c r="D209" t="str">
        <f t="shared" si="3"/>
        <v>Low &amp; middle income</v>
      </c>
    </row>
    <row r="210" spans="1:4" x14ac:dyDescent="0.2">
      <c r="A210" t="s">
        <v>793</v>
      </c>
      <c r="B210">
        <v>1289.1990675783634</v>
      </c>
      <c r="C210" t="str">
        <f>VLOOKUP(A210,'country-code'!$A$1:$B$267,2,FALSE)</f>
        <v>ZWE</v>
      </c>
      <c r="D210" t="str">
        <f t="shared" si="3"/>
        <v>Low &amp; middle income</v>
      </c>
    </row>
    <row r="211" spans="1:4" x14ac:dyDescent="0.2">
      <c r="A211" t="s">
        <v>629</v>
      </c>
      <c r="B211">
        <v>1283.0528696431895</v>
      </c>
      <c r="C211" t="str">
        <f>VLOOKUP(A211,'country-code'!$A$1:$B$267,2,FALSE)</f>
        <v>HTI</v>
      </c>
      <c r="D211" t="str">
        <f t="shared" si="3"/>
        <v>Low &amp; middle income</v>
      </c>
    </row>
    <row r="212" spans="1:4" x14ac:dyDescent="0.2">
      <c r="A212" t="s">
        <v>762</v>
      </c>
      <c r="B212">
        <v>1279.6126666870196</v>
      </c>
      <c r="C212" t="str">
        <f>VLOOKUP(A212,'country-code'!$A$1:$B$267,2,FALSE)</f>
        <v>TJK</v>
      </c>
      <c r="D212" t="str">
        <f t="shared" si="3"/>
        <v>Low &amp; middle income</v>
      </c>
    </row>
    <row r="213" spans="1:4" x14ac:dyDescent="0.2">
      <c r="A213" t="s">
        <v>792</v>
      </c>
      <c r="B213">
        <v>1257.9347570575596</v>
      </c>
      <c r="C213" t="str">
        <f>VLOOKUP(A213,'country-code'!$A$1:$B$267,2,FALSE)</f>
        <v>ZMB</v>
      </c>
      <c r="D213" t="str">
        <f t="shared" si="3"/>
        <v>Low &amp; middle income</v>
      </c>
    </row>
    <row r="214" spans="1:4" x14ac:dyDescent="0.2">
      <c r="A214" t="s">
        <v>547</v>
      </c>
      <c r="B214">
        <v>1214.0775898994414</v>
      </c>
      <c r="C214" t="str">
        <f>VLOOKUP(A214,'country-code'!$A$1:$B$267,2,FALSE)</f>
        <v>BEN</v>
      </c>
      <c r="D214" t="str">
        <f t="shared" si="3"/>
        <v>Low &amp; middle income</v>
      </c>
    </row>
    <row r="215" spans="1:4" x14ac:dyDescent="0.2">
      <c r="A215" t="s">
        <v>650</v>
      </c>
      <c r="B215">
        <v>1123.3728438564312</v>
      </c>
      <c r="C215" t="str">
        <f>VLOOKUP(A215,'country-code'!$A$1:$B$267,2,FALSE)</f>
        <v>KGZ</v>
      </c>
      <c r="D215" t="str">
        <f t="shared" si="3"/>
        <v>Low &amp; middle income</v>
      </c>
    </row>
    <row r="216" spans="1:4" x14ac:dyDescent="0.2">
      <c r="A216" t="s">
        <v>636</v>
      </c>
      <c r="B216">
        <v>1104.3442529094232</v>
      </c>
      <c r="C216" t="str">
        <f>VLOOKUP(A216,'country-code'!$A$1:$B$267,2,FALSE)</f>
        <v>IDX</v>
      </c>
      <c r="D216" t="str">
        <f t="shared" si="3"/>
        <v>Low &amp; middle income</v>
      </c>
    </row>
    <row r="217" spans="1:4" x14ac:dyDescent="0.2">
      <c r="A217" t="s">
        <v>663</v>
      </c>
      <c r="B217">
        <v>1053.0215908275852</v>
      </c>
      <c r="C217" t="str">
        <f>VLOOKUP(A217,'country-code'!$A$1:$B$267,2,FALSE)</f>
        <v>LDC</v>
      </c>
      <c r="D217" t="str">
        <f t="shared" si="3"/>
        <v>Low &amp; middle income</v>
      </c>
    </row>
    <row r="218" spans="1:4" x14ac:dyDescent="0.2">
      <c r="A218" t="s">
        <v>774</v>
      </c>
      <c r="B218">
        <v>1039.56457519531</v>
      </c>
      <c r="C218" t="str">
        <f>VLOOKUP(A218,'country-code'!$A$1:$B$267,2,FALSE)</f>
        <v>TZA</v>
      </c>
      <c r="D218" t="str">
        <f t="shared" si="3"/>
        <v>Low &amp; middle income</v>
      </c>
    </row>
    <row r="219" spans="1:4" x14ac:dyDescent="0.2">
      <c r="A219" t="s">
        <v>706</v>
      </c>
      <c r="B219">
        <v>1037.0921215679823</v>
      </c>
      <c r="C219" t="str">
        <f>VLOOKUP(A219,'country-code'!$A$1:$B$267,2,FALSE)</f>
        <v>NPL</v>
      </c>
      <c r="D219" t="str">
        <f t="shared" si="3"/>
        <v>Low &amp; middle income</v>
      </c>
    </row>
    <row r="220" spans="1:4" x14ac:dyDescent="0.2">
      <c r="A220" t="s">
        <v>627</v>
      </c>
      <c r="B220">
        <v>994.36087724102322</v>
      </c>
      <c r="C220" t="str">
        <f>VLOOKUP(A220,'country-code'!$A$1:$B$267,2,FALSE)</f>
        <v>HPC</v>
      </c>
      <c r="D220" t="str">
        <f t="shared" si="3"/>
        <v>Low &amp; middle income</v>
      </c>
    </row>
    <row r="221" spans="1:4" x14ac:dyDescent="0.2">
      <c r="A221" t="s">
        <v>669</v>
      </c>
      <c r="B221">
        <v>973.70400921629493</v>
      </c>
      <c r="C221" t="str">
        <f>VLOOKUP(A221,'country-code'!$A$1:$B$267,2,FALSE)</f>
        <v>LSO</v>
      </c>
      <c r="D221" t="str">
        <f t="shared" si="3"/>
        <v>Low &amp; middle income</v>
      </c>
    </row>
    <row r="222" spans="1:4" x14ac:dyDescent="0.2">
      <c r="A222" t="s">
        <v>614</v>
      </c>
      <c r="B222">
        <v>972.77903531486311</v>
      </c>
      <c r="C222" t="str">
        <f>VLOOKUP(A222,'country-code'!$A$1:$B$267,2,FALSE)</f>
        <v>GIN</v>
      </c>
      <c r="D222" t="str">
        <f t="shared" si="3"/>
        <v>Low &amp; middle income</v>
      </c>
    </row>
    <row r="223" spans="1:4" x14ac:dyDescent="0.2">
      <c r="A223" t="s">
        <v>775</v>
      </c>
      <c r="B223">
        <v>920.54761771965696</v>
      </c>
      <c r="C223" t="str">
        <f>VLOOKUP(A223,'country-code'!$A$1:$B$267,2,FALSE)</f>
        <v>UGA</v>
      </c>
      <c r="D223" t="str">
        <f t="shared" si="3"/>
        <v>Low &amp; middle income</v>
      </c>
    </row>
    <row r="224" spans="1:4" x14ac:dyDescent="0.2">
      <c r="A224" t="s">
        <v>731</v>
      </c>
      <c r="B224">
        <v>890.18720106536296</v>
      </c>
      <c r="C224" t="str">
        <f>VLOOKUP(A224,'country-code'!$A$1:$B$267,2,FALSE)</f>
        <v>RWA</v>
      </c>
      <c r="D224" t="str">
        <f t="shared" si="3"/>
        <v>Low &amp; middle income</v>
      </c>
    </row>
    <row r="225" spans="1:4" x14ac:dyDescent="0.2">
      <c r="A225" t="s">
        <v>601</v>
      </c>
      <c r="B225">
        <v>834.9579586305141</v>
      </c>
      <c r="C225" t="str">
        <f>VLOOKUP(A225,'country-code'!$A$1:$B$267,2,FALSE)</f>
        <v>ETH</v>
      </c>
      <c r="D225" t="str">
        <f t="shared" si="3"/>
        <v>Low &amp; middle income</v>
      </c>
    </row>
    <row r="226" spans="1:4" x14ac:dyDescent="0.2">
      <c r="A226" t="s">
        <v>664</v>
      </c>
      <c r="B226">
        <v>759.06501389333448</v>
      </c>
      <c r="C226" t="str">
        <f>VLOOKUP(A226,'country-code'!$A$1:$B$267,2,FALSE)</f>
        <v>LIC</v>
      </c>
      <c r="D226" t="str">
        <f t="shared" si="3"/>
        <v>Low &amp; middle income</v>
      </c>
    </row>
    <row r="227" spans="1:4" x14ac:dyDescent="0.2">
      <c r="A227" t="s">
        <v>686</v>
      </c>
      <c r="B227">
        <v>744.76042480015633</v>
      </c>
      <c r="C227" t="str">
        <f>VLOOKUP(A227,'country-code'!$A$1:$B$267,2,FALSE)</f>
        <v>MLI</v>
      </c>
      <c r="D227" t="str">
        <f t="shared" si="3"/>
        <v>Low &amp; middle income</v>
      </c>
    </row>
    <row r="228" spans="1:4" x14ac:dyDescent="0.2">
      <c r="A228" t="s">
        <v>548</v>
      </c>
      <c r="B228">
        <v>739.67272239150577</v>
      </c>
      <c r="C228" t="str">
        <f>VLOOKUP(A228,'country-code'!$A$1:$B$267,2,FALSE)</f>
        <v>BFA</v>
      </c>
      <c r="D228" t="str">
        <f t="shared" si="3"/>
        <v>Low &amp; middle income</v>
      </c>
    </row>
    <row r="229" spans="1:4" x14ac:dyDescent="0.2">
      <c r="A229" t="s">
        <v>615</v>
      </c>
      <c r="B229">
        <v>666.47121225538626</v>
      </c>
      <c r="C229" t="str">
        <f>VLOOKUP(A229,'country-code'!$A$1:$B$267,2,FALSE)</f>
        <v>GMB</v>
      </c>
      <c r="D229" t="str">
        <f t="shared" si="3"/>
        <v>Low &amp; middle income</v>
      </c>
    </row>
    <row r="230" spans="1:4" x14ac:dyDescent="0.2">
      <c r="A230" t="s">
        <v>760</v>
      </c>
      <c r="B230">
        <v>631.65389155193884</v>
      </c>
      <c r="C230" t="str">
        <f>VLOOKUP(A230,'country-code'!$A$1:$B$267,2,FALSE)</f>
        <v>TGO</v>
      </c>
      <c r="D230" t="str">
        <f t="shared" si="3"/>
        <v>Low &amp; middle income</v>
      </c>
    </row>
    <row r="231" spans="1:4" x14ac:dyDescent="0.2">
      <c r="A231" t="s">
        <v>659</v>
      </c>
      <c r="B231">
        <v>629.82055465402436</v>
      </c>
      <c r="C231" t="str">
        <f>VLOOKUP(A231,'country-code'!$A$1:$B$267,2,FALSE)</f>
        <v>LBR</v>
      </c>
      <c r="D231" t="str">
        <f t="shared" si="3"/>
        <v>Low &amp; middle income</v>
      </c>
    </row>
    <row r="232" spans="1:4" x14ac:dyDescent="0.2">
      <c r="A232" t="s">
        <v>738</v>
      </c>
      <c r="B232">
        <v>615.27795295541637</v>
      </c>
      <c r="C232" t="str">
        <f>VLOOKUP(A232,'country-code'!$A$1:$B$267,2,FALSE)</f>
        <v>SLE</v>
      </c>
      <c r="D232" t="str">
        <f t="shared" si="3"/>
        <v>Low &amp; middle income</v>
      </c>
    </row>
    <row r="233" spans="1:4" x14ac:dyDescent="0.2">
      <c r="A233" t="s">
        <v>616</v>
      </c>
      <c r="B233">
        <v>613.8981098969424</v>
      </c>
      <c r="C233" t="str">
        <f>VLOOKUP(A233,'country-code'!$A$1:$B$267,2,FALSE)</f>
        <v>GNB</v>
      </c>
      <c r="D233" t="str">
        <f t="shared" si="3"/>
        <v>Low &amp; middle income</v>
      </c>
    </row>
    <row r="234" spans="1:4" x14ac:dyDescent="0.2">
      <c r="A234" t="s">
        <v>757</v>
      </c>
      <c r="B234">
        <v>595.66378457802432</v>
      </c>
      <c r="C234" t="str">
        <f>VLOOKUP(A234,'country-code'!$A$1:$B$267,2,FALSE)</f>
        <v>TCD</v>
      </c>
      <c r="D234" t="str">
        <f t="shared" si="3"/>
        <v>Low &amp; middle income</v>
      </c>
    </row>
    <row r="235" spans="1:4" x14ac:dyDescent="0.2">
      <c r="A235" t="s">
        <v>693</v>
      </c>
      <c r="B235">
        <v>573.11266333385663</v>
      </c>
      <c r="C235" t="str">
        <f>VLOOKUP(A235,'country-code'!$A$1:$B$267,2,FALSE)</f>
        <v>MOZ</v>
      </c>
      <c r="D235" t="str">
        <f t="shared" si="3"/>
        <v>Low &amp; middle income</v>
      </c>
    </row>
    <row r="236" spans="1:4" x14ac:dyDescent="0.2">
      <c r="A236" t="s">
        <v>701</v>
      </c>
      <c r="B236">
        <v>507.71112992283508</v>
      </c>
      <c r="C236" t="str">
        <f>VLOOKUP(A236,'country-code'!$A$1:$B$267,2,FALSE)</f>
        <v>NER</v>
      </c>
      <c r="D236" t="str">
        <f t="shared" si="3"/>
        <v>Low &amp; middle income</v>
      </c>
    </row>
    <row r="237" spans="1:4" x14ac:dyDescent="0.2">
      <c r="A237" t="s">
        <v>572</v>
      </c>
      <c r="B237">
        <v>501.23906735085859</v>
      </c>
      <c r="C237" t="str">
        <f>VLOOKUP(A237,'country-code'!$A$1:$B$267,2,FALSE)</f>
        <v>COD</v>
      </c>
      <c r="D237" t="str">
        <f t="shared" si="3"/>
        <v>Low &amp; middle income</v>
      </c>
    </row>
    <row r="238" spans="1:4" x14ac:dyDescent="0.2">
      <c r="A238" t="s">
        <v>679</v>
      </c>
      <c r="B238">
        <v>442.12160391194033</v>
      </c>
      <c r="C238" t="str">
        <f>VLOOKUP(A238,'country-code'!$A$1:$B$267,2,FALSE)</f>
        <v>MDG</v>
      </c>
      <c r="D238" t="str">
        <f t="shared" si="3"/>
        <v>Low &amp; middle income</v>
      </c>
    </row>
    <row r="239" spans="1:4" x14ac:dyDescent="0.2">
      <c r="A239" t="s">
        <v>741</v>
      </c>
      <c r="B239">
        <v>427.89967119340042</v>
      </c>
      <c r="C239" t="str">
        <f>VLOOKUP(A239,'country-code'!$A$1:$B$267,2,FALSE)</f>
        <v>SOM</v>
      </c>
      <c r="D239" t="str">
        <f t="shared" si="3"/>
        <v>Low &amp; middle income</v>
      </c>
    </row>
    <row r="240" spans="1:4" x14ac:dyDescent="0.2">
      <c r="A240" t="s">
        <v>531</v>
      </c>
      <c r="B240">
        <v>426.03001529179818</v>
      </c>
      <c r="C240" t="str">
        <f>VLOOKUP(A240,'country-code'!$A$1:$B$267,2,FALSE)</f>
        <v>AFG</v>
      </c>
      <c r="D240" t="str">
        <f t="shared" si="3"/>
        <v>Low &amp; middle income</v>
      </c>
    </row>
    <row r="241" spans="1:4" x14ac:dyDescent="0.2">
      <c r="A241" t="s">
        <v>696</v>
      </c>
      <c r="B241">
        <v>389.37881871449633</v>
      </c>
      <c r="C241" t="str">
        <f>VLOOKUP(A241,'country-code'!$A$1:$B$267,2,FALSE)</f>
        <v>MWI</v>
      </c>
      <c r="D241" t="str">
        <f t="shared" si="3"/>
        <v>Low &amp; middle income</v>
      </c>
    </row>
    <row r="242" spans="1:4" x14ac:dyDescent="0.2">
      <c r="A242" t="s">
        <v>563</v>
      </c>
      <c r="B242">
        <v>370.67574906698081</v>
      </c>
      <c r="C242" t="str">
        <f>VLOOKUP(A242,'country-code'!$A$1:$B$267,2,FALSE)</f>
        <v>CAF</v>
      </c>
      <c r="D242" t="str">
        <f t="shared" si="3"/>
        <v>Low &amp; middle income</v>
      </c>
    </row>
    <row r="243" spans="1:4" x14ac:dyDescent="0.2">
      <c r="A243" t="s">
        <v>545</v>
      </c>
      <c r="B243">
        <v>261.0193796493715</v>
      </c>
      <c r="C243" t="str">
        <f>VLOOKUP(A243,'country-code'!$A$1:$B$267,2,FALSE)</f>
        <v>BDI</v>
      </c>
      <c r="D243" t="str">
        <f t="shared" si="3"/>
        <v>Low &amp; middle income</v>
      </c>
    </row>
    <row r="244" spans="1:4" x14ac:dyDescent="0.2">
      <c r="A244" t="s">
        <v>567</v>
      </c>
      <c r="C244" t="str">
        <f>VLOOKUP(A244,'country-code'!$A$1:$B$267,2,FALSE)</f>
        <v>CHI</v>
      </c>
    </row>
    <row r="245" spans="1:4" x14ac:dyDescent="0.2">
      <c r="A245" t="s">
        <v>598</v>
      </c>
      <c r="C245" t="str">
        <f>VLOOKUP(A245,'country-code'!$A$1:$B$267,2,FALSE)</f>
        <v>ERI</v>
      </c>
    </row>
    <row r="246" spans="1:4" x14ac:dyDescent="0.2">
      <c r="A246" t="s">
        <v>607</v>
      </c>
      <c r="C246" t="str">
        <f>VLOOKUP(A246,'country-code'!$A$1:$B$267,2,FALSE)</f>
        <v>FRO</v>
      </c>
    </row>
    <row r="247" spans="1:4" x14ac:dyDescent="0.2">
      <c r="A247" t="s">
        <v>613</v>
      </c>
      <c r="C247" t="str">
        <f>VLOOKUP(A247,'country-code'!$A$1:$B$267,2,FALSE)</f>
        <v>GIB</v>
      </c>
    </row>
    <row r="248" spans="1:4" x14ac:dyDescent="0.2">
      <c r="A248" t="s">
        <v>620</v>
      </c>
      <c r="C248" t="str">
        <f>VLOOKUP(A248,'country-code'!$A$1:$B$267,2,FALSE)</f>
        <v>GRL</v>
      </c>
    </row>
    <row r="249" spans="1:4" x14ac:dyDescent="0.2">
      <c r="A249" t="s">
        <v>637</v>
      </c>
      <c r="C249" t="str">
        <f>VLOOKUP(A249,'country-code'!$A$1:$B$267,2,FALSE)</f>
        <v>IMN</v>
      </c>
    </row>
    <row r="250" spans="1:4" x14ac:dyDescent="0.2">
      <c r="A250" t="s">
        <v>638</v>
      </c>
      <c r="C250" t="str">
        <f>VLOOKUP(A250,'country-code'!$A$1:$B$267,2,FALSE)</f>
        <v>INX</v>
      </c>
    </row>
    <row r="251" spans="1:4" x14ac:dyDescent="0.2">
      <c r="A251" t="s">
        <v>655</v>
      </c>
      <c r="C251" t="str">
        <f>VLOOKUP(A251,'country-code'!$A$1:$B$267,2,FALSE)</f>
        <v>KWT</v>
      </c>
    </row>
    <row r="252" spans="1:4" x14ac:dyDescent="0.2">
      <c r="A252" t="s">
        <v>665</v>
      </c>
      <c r="C252" t="str">
        <f>VLOOKUP(A252,'country-code'!$A$1:$B$267,2,FALSE)</f>
        <v>LIE</v>
      </c>
    </row>
    <row r="253" spans="1:4" x14ac:dyDescent="0.2">
      <c r="A253" t="s">
        <v>675</v>
      </c>
      <c r="C253" t="str">
        <f>VLOOKUP(A253,'country-code'!$A$1:$B$267,2,FALSE)</f>
        <v>MAF</v>
      </c>
    </row>
    <row r="254" spans="1:4" x14ac:dyDescent="0.2">
      <c r="A254" t="s">
        <v>692</v>
      </c>
      <c r="C254" t="str">
        <f>VLOOKUP(A254,'country-code'!$A$1:$B$267,2,FALSE)</f>
        <v>MNP</v>
      </c>
    </row>
    <row r="255" spans="1:4" x14ac:dyDescent="0.2">
      <c r="A255" t="s">
        <v>700</v>
      </c>
      <c r="C255" t="str">
        <f>VLOOKUP(A255,'country-code'!$A$1:$B$267,2,FALSE)</f>
        <v>NCL</v>
      </c>
    </row>
    <row r="256" spans="1:4" x14ac:dyDescent="0.2">
      <c r="A256" t="s">
        <v>721</v>
      </c>
      <c r="C256" t="str">
        <f>VLOOKUP(A256,'country-code'!$A$1:$B$267,2,FALSE)</f>
        <v>PRK</v>
      </c>
    </row>
    <row r="257" spans="1:3" x14ac:dyDescent="0.2">
      <c r="A257" t="s">
        <v>740</v>
      </c>
      <c r="C257" t="str">
        <f>VLOOKUP(A257,'country-code'!$A$1:$B$267,2,FALSE)</f>
        <v>SMR</v>
      </c>
    </row>
    <row r="258" spans="1:3" x14ac:dyDescent="0.2">
      <c r="A258" t="s">
        <v>744</v>
      </c>
      <c r="C258" t="str">
        <f>VLOOKUP(A258,'country-code'!$A$1:$B$267,2,FALSE)</f>
        <v>SSD</v>
      </c>
    </row>
    <row r="259" spans="1:3" x14ac:dyDescent="0.2">
      <c r="A259" t="s">
        <v>753</v>
      </c>
      <c r="C259" t="str">
        <f>VLOOKUP(A259,'country-code'!$A$1:$B$267,2,FALSE)</f>
        <v>SXM</v>
      </c>
    </row>
    <row r="260" spans="1:3" x14ac:dyDescent="0.2">
      <c r="A260" t="s">
        <v>755</v>
      </c>
      <c r="C260" t="str">
        <f>VLOOKUP(A260,'country-code'!$A$1:$B$267,2,FALSE)</f>
        <v>SYR</v>
      </c>
    </row>
    <row r="261" spans="1:3" x14ac:dyDescent="0.2">
      <c r="A261" t="s">
        <v>763</v>
      </c>
      <c r="C261" t="str">
        <f>VLOOKUP(A261,'country-code'!$A$1:$B$267,2,FALSE)</f>
        <v>TKM</v>
      </c>
    </row>
    <row r="262" spans="1:3" x14ac:dyDescent="0.2">
      <c r="A262" t="s">
        <v>782</v>
      </c>
      <c r="C262" t="str">
        <f>VLOOKUP(A262,'country-code'!$A$1:$B$267,2,FALSE)</f>
        <v>VEN</v>
      </c>
    </row>
    <row r="263" spans="1:3" x14ac:dyDescent="0.2">
      <c r="A263" t="s">
        <v>783</v>
      </c>
      <c r="C263" t="str">
        <f>VLOOKUP(A263,'country-code'!$A$1:$B$267,2,FALSE)</f>
        <v>VGB</v>
      </c>
    </row>
    <row r="264" spans="1:3" x14ac:dyDescent="0.2">
      <c r="A264" t="s">
        <v>784</v>
      </c>
      <c r="C264" t="str">
        <f>VLOOKUP(A264,'country-code'!$A$1:$B$267,2,FALSE)</f>
        <v>VIR</v>
      </c>
    </row>
    <row r="265" spans="1:3" x14ac:dyDescent="0.2">
      <c r="A265" t="s">
        <v>790</v>
      </c>
      <c r="C265" t="str">
        <f>VLOOKUP(A265,'country-code'!$A$1:$B$267,2,FALSE)</f>
        <v>YEM</v>
      </c>
    </row>
  </sheetData>
  <sortState xmlns:xlrd2="http://schemas.microsoft.com/office/spreadsheetml/2017/richdata2" ref="A3:H265">
    <sortCondition ref="G1:G265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FB64-FA37-A44B-9D00-A381241BCA85}">
  <dimension ref="A1:G25"/>
  <sheetViews>
    <sheetView workbookViewId="0">
      <selection activeCell="C25" sqref="C25"/>
    </sheetView>
  </sheetViews>
  <sheetFormatPr baseColWidth="10" defaultRowHeight="16" x14ac:dyDescent="0.2"/>
  <cols>
    <col min="2" max="2" width="17.83203125" style="18" bestFit="1" customWidth="1"/>
    <col min="3" max="3" width="14.83203125" style="15" bestFit="1" customWidth="1"/>
    <col min="4" max="4" width="15.1640625" bestFit="1" customWidth="1"/>
    <col min="5" max="5" width="20.83203125" bestFit="1" customWidth="1"/>
    <col min="6" max="6" width="20.1640625" customWidth="1"/>
  </cols>
  <sheetData>
    <row r="1" spans="1:7" ht="34" x14ac:dyDescent="0.2">
      <c r="A1" s="16" t="s">
        <v>795</v>
      </c>
      <c r="B1" s="17" t="s">
        <v>796</v>
      </c>
      <c r="C1" s="32" t="s">
        <v>1144</v>
      </c>
      <c r="D1" s="32" t="s">
        <v>1148</v>
      </c>
      <c r="E1" s="34" t="s">
        <v>1147</v>
      </c>
      <c r="F1" s="32" t="s">
        <v>1384</v>
      </c>
      <c r="G1" s="34" t="s">
        <v>1385</v>
      </c>
    </row>
    <row r="2" spans="1:7" x14ac:dyDescent="0.2">
      <c r="A2" t="s">
        <v>779</v>
      </c>
      <c r="B2" s="18">
        <v>20529500000000</v>
      </c>
      <c r="C2" s="15">
        <f t="shared" ref="C2:C18" si="0">B2/10^12</f>
        <v>20.529499999999999</v>
      </c>
      <c r="D2" s="18">
        <f t="shared" ref="D2:D18" si="1">E2*10^(12)</f>
        <v>25462730000000</v>
      </c>
      <c r="E2">
        <v>25.462730000000001</v>
      </c>
      <c r="F2" s="15">
        <v>29184890000000</v>
      </c>
      <c r="G2">
        <f t="shared" ref="G2:G18" si="2">F2/(10^12)</f>
        <v>29.184889999999999</v>
      </c>
    </row>
    <row r="3" spans="1:7" x14ac:dyDescent="0.2">
      <c r="A3" t="s">
        <v>569</v>
      </c>
      <c r="B3" s="18">
        <v>15801900000000</v>
      </c>
      <c r="C3" s="15">
        <f t="shared" si="0"/>
        <v>15.8019</v>
      </c>
      <c r="D3" s="18">
        <f t="shared" si="1"/>
        <v>17886330000000</v>
      </c>
      <c r="E3">
        <v>17.886330000000001</v>
      </c>
      <c r="F3" s="15">
        <v>18743803170827.164</v>
      </c>
      <c r="G3">
        <f t="shared" si="2"/>
        <v>18.743803170827164</v>
      </c>
    </row>
    <row r="4" spans="1:7" x14ac:dyDescent="0.2">
      <c r="A4" t="s">
        <v>647</v>
      </c>
      <c r="B4" s="18">
        <v>4435430000000</v>
      </c>
      <c r="C4" s="15">
        <f t="shared" si="0"/>
        <v>4.4354300000000002</v>
      </c>
      <c r="D4" s="18">
        <f t="shared" si="1"/>
        <v>4237529999999.9995</v>
      </c>
      <c r="E4">
        <v>4.2375299999999996</v>
      </c>
      <c r="F4" s="15">
        <v>4659929336890.624</v>
      </c>
      <c r="G4">
        <f t="shared" si="2"/>
        <v>4.6599293368906238</v>
      </c>
    </row>
    <row r="5" spans="1:7" x14ac:dyDescent="0.2">
      <c r="A5" t="s">
        <v>584</v>
      </c>
      <c r="B5" s="18">
        <v>3554680000000</v>
      </c>
      <c r="C5" s="15">
        <f t="shared" si="0"/>
        <v>3.5546799999999998</v>
      </c>
      <c r="D5" s="18">
        <f t="shared" si="1"/>
        <v>4085680000000</v>
      </c>
      <c r="E5">
        <v>4.08568</v>
      </c>
      <c r="F5" s="15">
        <v>4026210821146.8076</v>
      </c>
      <c r="G5">
        <f t="shared" si="2"/>
        <v>4.0262108211468073</v>
      </c>
    </row>
    <row r="6" spans="1:7" x14ac:dyDescent="0.2">
      <c r="A6" t="s">
        <v>524</v>
      </c>
      <c r="B6" s="18">
        <v>2726370000000</v>
      </c>
      <c r="C6" s="15">
        <f t="shared" si="0"/>
        <v>2.7263700000000002</v>
      </c>
      <c r="D6" s="18">
        <f t="shared" si="1"/>
        <v>3389690000000</v>
      </c>
      <c r="E6">
        <v>3.3896899999999999</v>
      </c>
      <c r="F6" s="15">
        <v>3912686168582.2144</v>
      </c>
      <c r="G6">
        <f t="shared" si="2"/>
        <v>3.9126861685822143</v>
      </c>
    </row>
    <row r="7" spans="1:7" x14ac:dyDescent="0.2">
      <c r="A7" t="s">
        <v>610</v>
      </c>
      <c r="B7" s="18">
        <v>3036530000000</v>
      </c>
      <c r="C7" s="15">
        <f t="shared" si="0"/>
        <v>3.03653</v>
      </c>
      <c r="D7" s="18">
        <f t="shared" si="1"/>
        <v>3081870000000</v>
      </c>
      <c r="E7">
        <v>3.0818699999999999</v>
      </c>
      <c r="F7" s="15">
        <v>3643834188782.9146</v>
      </c>
      <c r="G7">
        <f t="shared" si="2"/>
        <v>3.6438341887829147</v>
      </c>
    </row>
    <row r="8" spans="1:7" x14ac:dyDescent="0.2">
      <c r="A8" t="s">
        <v>606</v>
      </c>
      <c r="B8" s="18">
        <v>2577600000000</v>
      </c>
      <c r="C8" s="15">
        <f t="shared" si="0"/>
        <v>2.5775999999999999</v>
      </c>
      <c r="D8" s="18">
        <f t="shared" si="1"/>
        <v>2780140000000</v>
      </c>
      <c r="E8">
        <v>2.7801399999999998</v>
      </c>
      <c r="F8" s="15">
        <v>3162079073495.7808</v>
      </c>
      <c r="G8">
        <f t="shared" si="2"/>
        <v>3.1620790734957809</v>
      </c>
    </row>
    <row r="9" spans="1:7" x14ac:dyDescent="0.2">
      <c r="A9" t="s">
        <v>1145</v>
      </c>
      <c r="B9" s="18">
        <v>1490190000000</v>
      </c>
      <c r="C9" s="15">
        <f t="shared" si="0"/>
        <v>1.4901899999999999</v>
      </c>
      <c r="D9" s="18">
        <f t="shared" si="1"/>
        <v>2244250000000</v>
      </c>
      <c r="E9">
        <v>2.2442500000000001</v>
      </c>
      <c r="F9" s="15">
        <v>2372774547793.1245</v>
      </c>
      <c r="G9">
        <f t="shared" si="2"/>
        <v>2.3727745477931244</v>
      </c>
    </row>
    <row r="10" spans="1:7" x14ac:dyDescent="0.2">
      <c r="A10" t="s">
        <v>564</v>
      </c>
      <c r="B10" s="18">
        <v>1680390000000</v>
      </c>
      <c r="C10" s="15">
        <f t="shared" si="0"/>
        <v>1.6803900000000001</v>
      </c>
      <c r="D10" s="18">
        <f t="shared" si="1"/>
        <v>2137940000000</v>
      </c>
      <c r="E10">
        <v>2.13794</v>
      </c>
      <c r="F10" s="15">
        <v>2241253230970.3394</v>
      </c>
      <c r="G10">
        <f t="shared" si="2"/>
        <v>2.2412532309703392</v>
      </c>
    </row>
    <row r="11" spans="1:7" x14ac:dyDescent="0.2">
      <c r="A11" t="s">
        <v>644</v>
      </c>
      <c r="B11" s="18">
        <v>1862310000000</v>
      </c>
      <c r="C11" s="15">
        <f t="shared" si="0"/>
        <v>1.8623099999999999</v>
      </c>
      <c r="D11" s="18">
        <f t="shared" si="1"/>
        <v>2012010000000</v>
      </c>
      <c r="E11">
        <v>2.0120100000000001</v>
      </c>
      <c r="F11" s="15">
        <v>2179412080828.5867</v>
      </c>
      <c r="G11">
        <f t="shared" si="2"/>
        <v>2.1794120808285866</v>
      </c>
    </row>
    <row r="12" spans="1:7" x14ac:dyDescent="0.2">
      <c r="A12" t="s">
        <v>558</v>
      </c>
      <c r="B12" s="18">
        <v>1829900000000</v>
      </c>
      <c r="C12" s="15">
        <f t="shared" si="0"/>
        <v>1.8299000000000001</v>
      </c>
      <c r="D12" s="18">
        <f t="shared" si="1"/>
        <v>1920020000000</v>
      </c>
      <c r="E12">
        <v>1.9200200000000001</v>
      </c>
      <c r="F12" s="15">
        <v>2173835806671.656</v>
      </c>
      <c r="G12">
        <f t="shared" si="2"/>
        <v>2.1738358066716561</v>
      </c>
    </row>
    <row r="13" spans="1:7" x14ac:dyDescent="0.2">
      <c r="A13" t="s">
        <v>542</v>
      </c>
      <c r="B13" s="18">
        <v>1524360000000</v>
      </c>
      <c r="C13" s="15">
        <f t="shared" si="0"/>
        <v>1.5243599999999999</v>
      </c>
      <c r="D13" s="18">
        <f t="shared" si="1"/>
        <v>1702550000000</v>
      </c>
      <c r="E13">
        <v>1.70255</v>
      </c>
      <c r="F13" s="15">
        <v>1852722885258.1101</v>
      </c>
      <c r="G13">
        <f t="shared" si="2"/>
        <v>1.8527228852581101</v>
      </c>
    </row>
    <row r="14" spans="1:7" x14ac:dyDescent="0.2">
      <c r="A14" t="s">
        <v>682</v>
      </c>
      <c r="B14" s="18">
        <v>1206920000000</v>
      </c>
      <c r="C14" s="15">
        <f t="shared" si="0"/>
        <v>1.20692</v>
      </c>
      <c r="D14" s="18">
        <f t="shared" si="1"/>
        <v>1465849999999.9998</v>
      </c>
      <c r="E14">
        <v>1.4658499999999999</v>
      </c>
      <c r="F14" s="15">
        <v>1752193307380.3433</v>
      </c>
      <c r="G14">
        <f t="shared" si="2"/>
        <v>1.7521933073803433</v>
      </c>
    </row>
    <row r="15" spans="1:7" x14ac:dyDescent="0.2">
      <c r="A15" t="s">
        <v>599</v>
      </c>
      <c r="B15" s="18">
        <v>1238780000000</v>
      </c>
      <c r="C15" s="15">
        <f t="shared" si="0"/>
        <v>1.23878</v>
      </c>
      <c r="D15" s="18">
        <f t="shared" si="1"/>
        <v>1418920000000.0002</v>
      </c>
      <c r="E15">
        <v>1.4189200000000002</v>
      </c>
      <c r="F15" s="15">
        <v>1722745978335.156</v>
      </c>
      <c r="G15">
        <f t="shared" si="2"/>
        <v>1.722745978335156</v>
      </c>
    </row>
    <row r="16" spans="1:7" x14ac:dyDescent="0.2">
      <c r="A16" t="s">
        <v>1386</v>
      </c>
      <c r="B16" s="18">
        <v>1693640000000</v>
      </c>
      <c r="C16" s="15">
        <f t="shared" si="0"/>
        <v>1.69364</v>
      </c>
      <c r="D16" s="18">
        <f t="shared" si="1"/>
        <v>1673920000000</v>
      </c>
      <c r="E16">
        <v>1.6739200000000001</v>
      </c>
      <c r="F16" s="15">
        <v>1712792854202.3701</v>
      </c>
      <c r="G16">
        <f t="shared" si="2"/>
        <v>1.71279285420237</v>
      </c>
    </row>
    <row r="17" spans="1:7" x14ac:dyDescent="0.2">
      <c r="A17" t="s">
        <v>635</v>
      </c>
      <c r="B17" s="18">
        <v>1065590000000</v>
      </c>
      <c r="C17" s="15">
        <f t="shared" si="0"/>
        <v>1.06559</v>
      </c>
      <c r="D17" s="18">
        <f t="shared" si="1"/>
        <v>1318810000000</v>
      </c>
      <c r="E17">
        <v>1.31881</v>
      </c>
      <c r="F17" s="15">
        <v>1396300098190.9734</v>
      </c>
      <c r="G17">
        <f t="shared" si="2"/>
        <v>1.3963000981909734</v>
      </c>
    </row>
    <row r="18" spans="1:7" x14ac:dyDescent="0.2">
      <c r="A18" t="s">
        <v>1146</v>
      </c>
      <c r="B18" s="18">
        <v>1131040000000</v>
      </c>
      <c r="C18" s="15">
        <f t="shared" si="0"/>
        <v>1.13104</v>
      </c>
      <c r="D18" s="18">
        <f t="shared" si="1"/>
        <v>905840000000</v>
      </c>
      <c r="E18">
        <v>0.90583999999999998</v>
      </c>
      <c r="F18" s="15">
        <v>1323254808058.7441</v>
      </c>
      <c r="G18">
        <f t="shared" si="2"/>
        <v>1.3232548080587441</v>
      </c>
    </row>
    <row r="25" spans="1:7" x14ac:dyDescent="0.2">
      <c r="A25" t="s">
        <v>1412</v>
      </c>
    </row>
  </sheetData>
  <sortState xmlns:xlrd2="http://schemas.microsoft.com/office/spreadsheetml/2017/richdata2" ref="A2:G18">
    <sortCondition descending="1" ref="G2:G1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64DE-68FF-9048-8E21-05F549E94095}">
  <dimension ref="A1:M54"/>
  <sheetViews>
    <sheetView workbookViewId="0">
      <selection activeCell="A54" sqref="A54:E54"/>
    </sheetView>
  </sheetViews>
  <sheetFormatPr baseColWidth="10" defaultRowHeight="16" x14ac:dyDescent="0.2"/>
  <sheetData>
    <row r="1" spans="1:13" x14ac:dyDescent="0.2">
      <c r="A1" t="s">
        <v>355</v>
      </c>
    </row>
    <row r="2" spans="1:13" x14ac:dyDescent="0.2">
      <c r="A2" t="s">
        <v>356</v>
      </c>
    </row>
    <row r="3" spans="1:13" x14ac:dyDescent="0.2">
      <c r="A3" t="s">
        <v>289</v>
      </c>
      <c r="B3" t="s">
        <v>357</v>
      </c>
      <c r="C3" t="s">
        <v>358</v>
      </c>
      <c r="D3" t="s">
        <v>359</v>
      </c>
      <c r="E3" t="s">
        <v>283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376</v>
      </c>
      <c r="M3" t="s">
        <v>377</v>
      </c>
    </row>
    <row r="4" spans="1:13" x14ac:dyDescent="0.2">
      <c r="B4" t="s">
        <v>360</v>
      </c>
      <c r="C4" t="s">
        <v>361</v>
      </c>
      <c r="D4" t="s">
        <v>362</v>
      </c>
      <c r="E4" t="s">
        <v>363</v>
      </c>
      <c r="G4" t="s">
        <v>369</v>
      </c>
      <c r="H4" t="s">
        <v>370</v>
      </c>
      <c r="I4" t="s">
        <v>371</v>
      </c>
      <c r="J4" t="s">
        <v>372</v>
      </c>
      <c r="K4" t="s">
        <v>373</v>
      </c>
      <c r="L4" t="s">
        <v>374</v>
      </c>
      <c r="M4" t="s">
        <v>375</v>
      </c>
    </row>
    <row r="5" spans="1:13" x14ac:dyDescent="0.2">
      <c r="A5" s="11">
        <v>40695</v>
      </c>
      <c r="B5">
        <v>100</v>
      </c>
      <c r="C5">
        <v>100</v>
      </c>
      <c r="D5">
        <v>100</v>
      </c>
      <c r="E5">
        <v>100</v>
      </c>
    </row>
    <row r="6" spans="1:13" x14ac:dyDescent="0.2">
      <c r="A6" s="11">
        <v>40787</v>
      </c>
      <c r="B6">
        <v>100</v>
      </c>
      <c r="C6">
        <v>100</v>
      </c>
      <c r="D6">
        <v>100</v>
      </c>
      <c r="E6">
        <v>100</v>
      </c>
    </row>
    <row r="7" spans="1:13" x14ac:dyDescent="0.2">
      <c r="A7" s="11">
        <v>40878</v>
      </c>
      <c r="B7">
        <v>100</v>
      </c>
      <c r="C7">
        <v>100</v>
      </c>
      <c r="D7">
        <v>100</v>
      </c>
      <c r="E7">
        <v>100</v>
      </c>
    </row>
    <row r="8" spans="1:13" x14ac:dyDescent="0.2">
      <c r="A8" s="11">
        <v>40969</v>
      </c>
      <c r="B8">
        <v>100</v>
      </c>
      <c r="C8">
        <v>100</v>
      </c>
      <c r="D8">
        <v>100</v>
      </c>
      <c r="E8">
        <v>100</v>
      </c>
    </row>
    <row r="9" spans="1:13" x14ac:dyDescent="0.2">
      <c r="A9" s="11">
        <v>41061</v>
      </c>
      <c r="B9">
        <v>102.2</v>
      </c>
      <c r="C9">
        <v>98.4</v>
      </c>
      <c r="D9">
        <v>102.6</v>
      </c>
      <c r="E9">
        <v>105.6</v>
      </c>
      <c r="G9">
        <v>100.6</v>
      </c>
      <c r="H9">
        <v>96.7</v>
      </c>
      <c r="I9">
        <v>104.2</v>
      </c>
      <c r="J9">
        <v>107.6</v>
      </c>
      <c r="K9">
        <v>102.1</v>
      </c>
      <c r="L9">
        <v>104</v>
      </c>
      <c r="M9">
        <v>100.6</v>
      </c>
    </row>
    <row r="10" spans="1:13" x14ac:dyDescent="0.2">
      <c r="A10" s="11">
        <v>41153</v>
      </c>
      <c r="B10">
        <v>100.1</v>
      </c>
      <c r="C10">
        <v>86</v>
      </c>
      <c r="D10">
        <v>102.5</v>
      </c>
      <c r="E10">
        <v>102.3</v>
      </c>
      <c r="G10">
        <v>95.9</v>
      </c>
      <c r="H10">
        <v>100.6</v>
      </c>
      <c r="I10">
        <v>103.4</v>
      </c>
      <c r="J10">
        <v>100.7</v>
      </c>
      <c r="K10">
        <v>102.6</v>
      </c>
      <c r="L10">
        <v>103.5</v>
      </c>
      <c r="M10">
        <v>101.9</v>
      </c>
    </row>
    <row r="11" spans="1:13" x14ac:dyDescent="0.2">
      <c r="A11" s="11">
        <v>41244</v>
      </c>
      <c r="B11">
        <v>103</v>
      </c>
      <c r="C11">
        <v>93.4</v>
      </c>
      <c r="D11">
        <v>104.7</v>
      </c>
      <c r="E11">
        <v>104.3</v>
      </c>
      <c r="G11">
        <v>101.8</v>
      </c>
      <c r="H11">
        <v>96</v>
      </c>
      <c r="I11">
        <v>104.3</v>
      </c>
      <c r="J11">
        <v>102.7</v>
      </c>
      <c r="K11">
        <v>106.1</v>
      </c>
      <c r="L11">
        <v>104.3</v>
      </c>
      <c r="M11">
        <v>107.5</v>
      </c>
    </row>
    <row r="12" spans="1:13" x14ac:dyDescent="0.2">
      <c r="A12" s="11">
        <v>41334</v>
      </c>
      <c r="B12">
        <v>107.9</v>
      </c>
      <c r="C12">
        <v>101.1</v>
      </c>
      <c r="D12">
        <v>109.6</v>
      </c>
      <c r="E12">
        <v>103.9</v>
      </c>
      <c r="G12">
        <v>103.7</v>
      </c>
      <c r="H12">
        <v>108</v>
      </c>
      <c r="I12">
        <v>108.5</v>
      </c>
      <c r="J12">
        <v>110.6</v>
      </c>
      <c r="K12">
        <v>111.4</v>
      </c>
      <c r="L12">
        <v>107.8</v>
      </c>
      <c r="M12">
        <v>114.4</v>
      </c>
    </row>
    <row r="13" spans="1:13" x14ac:dyDescent="0.2">
      <c r="A13" s="11">
        <v>41426</v>
      </c>
      <c r="B13">
        <v>103.3</v>
      </c>
      <c r="C13">
        <v>90.9</v>
      </c>
      <c r="D13">
        <v>105</v>
      </c>
      <c r="E13">
        <v>109</v>
      </c>
      <c r="G13">
        <v>99.6</v>
      </c>
      <c r="H13">
        <v>93.8</v>
      </c>
      <c r="I13">
        <v>105.2</v>
      </c>
      <c r="J13">
        <v>111.4</v>
      </c>
      <c r="K13">
        <v>105.7</v>
      </c>
      <c r="L13">
        <v>104.5</v>
      </c>
      <c r="M13">
        <v>106.6</v>
      </c>
    </row>
    <row r="14" spans="1:13" x14ac:dyDescent="0.2">
      <c r="A14" s="11">
        <v>41518</v>
      </c>
      <c r="B14">
        <v>104.9</v>
      </c>
      <c r="C14">
        <v>86</v>
      </c>
      <c r="D14">
        <v>107.8</v>
      </c>
      <c r="E14">
        <v>110.8</v>
      </c>
      <c r="G14">
        <v>100.2</v>
      </c>
      <c r="H14">
        <v>94.9</v>
      </c>
      <c r="I14">
        <v>111.1</v>
      </c>
      <c r="J14">
        <v>108.9</v>
      </c>
      <c r="K14">
        <v>108.2</v>
      </c>
      <c r="L14">
        <v>109.5</v>
      </c>
      <c r="M14">
        <v>107</v>
      </c>
    </row>
    <row r="15" spans="1:13" x14ac:dyDescent="0.2">
      <c r="A15" s="11">
        <v>41609</v>
      </c>
      <c r="B15">
        <v>106.2</v>
      </c>
      <c r="C15">
        <v>95.4</v>
      </c>
      <c r="D15">
        <v>107.8</v>
      </c>
      <c r="E15">
        <v>109.5</v>
      </c>
      <c r="G15">
        <v>103.1</v>
      </c>
      <c r="H15">
        <v>94.6</v>
      </c>
      <c r="I15">
        <v>108.9</v>
      </c>
      <c r="J15">
        <v>107.1</v>
      </c>
      <c r="K15">
        <v>111.3</v>
      </c>
      <c r="L15">
        <v>113.4</v>
      </c>
      <c r="M15">
        <v>109.4</v>
      </c>
    </row>
    <row r="16" spans="1:13" x14ac:dyDescent="0.2">
      <c r="A16" s="11">
        <v>41699</v>
      </c>
      <c r="B16">
        <v>112.5</v>
      </c>
      <c r="C16">
        <v>106</v>
      </c>
      <c r="D16">
        <v>113.8</v>
      </c>
      <c r="E16">
        <v>111.8</v>
      </c>
      <c r="G16">
        <v>108.5</v>
      </c>
      <c r="H16">
        <v>103.2</v>
      </c>
      <c r="I16">
        <v>114.5</v>
      </c>
      <c r="J16">
        <v>118.2</v>
      </c>
      <c r="K16">
        <v>116.4</v>
      </c>
      <c r="L16">
        <v>115.8</v>
      </c>
      <c r="M16">
        <v>116.9</v>
      </c>
    </row>
    <row r="17" spans="1:13" x14ac:dyDescent="0.2">
      <c r="A17" s="11">
        <v>41791</v>
      </c>
      <c r="B17">
        <v>109.1</v>
      </c>
      <c r="C17">
        <v>93</v>
      </c>
      <c r="D17">
        <v>110.1</v>
      </c>
      <c r="E17">
        <v>127.8</v>
      </c>
      <c r="G17">
        <v>105.5</v>
      </c>
      <c r="H17">
        <v>92</v>
      </c>
      <c r="I17">
        <v>116.9</v>
      </c>
      <c r="J17">
        <v>117.9</v>
      </c>
      <c r="K17">
        <v>109.8</v>
      </c>
      <c r="L17">
        <v>110.4</v>
      </c>
      <c r="M17">
        <v>109.3</v>
      </c>
    </row>
    <row r="18" spans="1:13" x14ac:dyDescent="0.2">
      <c r="A18" s="11">
        <v>41883</v>
      </c>
      <c r="B18">
        <v>109.5</v>
      </c>
      <c r="C18">
        <v>83.6</v>
      </c>
      <c r="D18">
        <v>112.1</v>
      </c>
      <c r="E18">
        <v>130.9</v>
      </c>
      <c r="G18">
        <v>102.8</v>
      </c>
      <c r="H18">
        <v>96.9</v>
      </c>
      <c r="I18">
        <v>117.8</v>
      </c>
      <c r="J18">
        <v>114.7</v>
      </c>
      <c r="K18">
        <v>114</v>
      </c>
      <c r="L18">
        <v>118</v>
      </c>
      <c r="M18">
        <v>110.7</v>
      </c>
    </row>
    <row r="19" spans="1:13" x14ac:dyDescent="0.2">
      <c r="A19" s="11">
        <v>41974</v>
      </c>
      <c r="B19">
        <v>110.2</v>
      </c>
      <c r="C19">
        <v>93.6</v>
      </c>
      <c r="D19">
        <v>111.7</v>
      </c>
      <c r="E19">
        <v>125.7</v>
      </c>
      <c r="G19">
        <v>108.5</v>
      </c>
      <c r="H19">
        <v>89.8</v>
      </c>
      <c r="I19">
        <v>114.3</v>
      </c>
      <c r="J19">
        <v>116.6</v>
      </c>
      <c r="K19">
        <v>113</v>
      </c>
      <c r="L19">
        <v>114.1</v>
      </c>
      <c r="M19">
        <v>112</v>
      </c>
    </row>
    <row r="20" spans="1:13" x14ac:dyDescent="0.2">
      <c r="A20" s="11">
        <v>42064</v>
      </c>
      <c r="B20">
        <v>115.2</v>
      </c>
      <c r="C20">
        <v>102.9</v>
      </c>
      <c r="D20">
        <v>116.7</v>
      </c>
      <c r="E20">
        <v>122.1</v>
      </c>
      <c r="G20">
        <v>110</v>
      </c>
      <c r="H20">
        <v>103.4</v>
      </c>
      <c r="I20">
        <v>117.6</v>
      </c>
      <c r="J20">
        <v>118.6</v>
      </c>
      <c r="K20">
        <v>121.9</v>
      </c>
      <c r="L20">
        <v>118.4</v>
      </c>
      <c r="M20">
        <v>124.9</v>
      </c>
    </row>
    <row r="21" spans="1:13" x14ac:dyDescent="0.2">
      <c r="A21" s="11">
        <v>42156</v>
      </c>
      <c r="B21">
        <v>110.4</v>
      </c>
      <c r="C21">
        <v>91.7</v>
      </c>
      <c r="D21">
        <v>111.7</v>
      </c>
      <c r="E21">
        <v>131.30000000000001</v>
      </c>
      <c r="G21">
        <v>106.9</v>
      </c>
      <c r="H21">
        <v>88.8</v>
      </c>
      <c r="I21">
        <v>115.9</v>
      </c>
      <c r="J21">
        <v>120.5</v>
      </c>
      <c r="K21">
        <v>113.1</v>
      </c>
      <c r="L21">
        <v>113.3</v>
      </c>
      <c r="M21">
        <v>112.8</v>
      </c>
    </row>
    <row r="22" spans="1:13" x14ac:dyDescent="0.2">
      <c r="A22" s="11">
        <v>42248</v>
      </c>
      <c r="B22">
        <v>112.1</v>
      </c>
      <c r="C22">
        <v>88.3</v>
      </c>
      <c r="D22">
        <v>113.7</v>
      </c>
      <c r="E22">
        <v>139.5</v>
      </c>
      <c r="G22">
        <v>109</v>
      </c>
      <c r="H22">
        <v>97</v>
      </c>
      <c r="I22">
        <v>119.1</v>
      </c>
      <c r="J22">
        <v>117.5</v>
      </c>
      <c r="K22">
        <v>113.7</v>
      </c>
      <c r="L22">
        <v>119</v>
      </c>
      <c r="M22">
        <v>109.3</v>
      </c>
    </row>
    <row r="23" spans="1:13" x14ac:dyDescent="0.2">
      <c r="A23" s="11">
        <v>42339</v>
      </c>
      <c r="B23">
        <v>114.9</v>
      </c>
      <c r="C23">
        <v>100.4</v>
      </c>
      <c r="D23">
        <v>115.9</v>
      </c>
      <c r="E23">
        <v>131.19999999999999</v>
      </c>
      <c r="G23">
        <v>113</v>
      </c>
      <c r="H23">
        <v>98.8</v>
      </c>
      <c r="I23">
        <v>115.9</v>
      </c>
      <c r="J23">
        <v>114.9</v>
      </c>
      <c r="K23">
        <v>121.1</v>
      </c>
      <c r="L23">
        <v>120.9</v>
      </c>
      <c r="M23">
        <v>121.3</v>
      </c>
    </row>
    <row r="24" spans="1:13" x14ac:dyDescent="0.2">
      <c r="A24" s="11">
        <v>42430</v>
      </c>
      <c r="B24">
        <v>121.4</v>
      </c>
      <c r="C24">
        <v>109</v>
      </c>
      <c r="D24">
        <v>122.5</v>
      </c>
      <c r="E24">
        <v>133.30000000000001</v>
      </c>
      <c r="G24">
        <v>119</v>
      </c>
      <c r="H24">
        <v>109</v>
      </c>
      <c r="I24">
        <v>122.7</v>
      </c>
      <c r="J24">
        <v>128.19999999999999</v>
      </c>
      <c r="K24">
        <v>124.3</v>
      </c>
      <c r="L24">
        <v>123</v>
      </c>
      <c r="M24">
        <v>125.3</v>
      </c>
    </row>
    <row r="25" spans="1:13" x14ac:dyDescent="0.2">
      <c r="A25" s="11">
        <v>42522</v>
      </c>
      <c r="B25">
        <v>118.2</v>
      </c>
      <c r="C25">
        <v>98.6</v>
      </c>
      <c r="D25">
        <v>119.2</v>
      </c>
      <c r="E25">
        <v>144.4</v>
      </c>
      <c r="G25">
        <v>115.8</v>
      </c>
      <c r="H25">
        <v>100.3</v>
      </c>
      <c r="I25">
        <v>119.8</v>
      </c>
      <c r="J25">
        <v>126.5</v>
      </c>
      <c r="K25">
        <v>121.8</v>
      </c>
      <c r="L25">
        <v>122.3</v>
      </c>
      <c r="M25">
        <v>121.4</v>
      </c>
    </row>
    <row r="26" spans="1:13" x14ac:dyDescent="0.2">
      <c r="A26" s="11">
        <v>42614</v>
      </c>
      <c r="B26">
        <v>117.2</v>
      </c>
      <c r="C26">
        <v>86.9</v>
      </c>
      <c r="D26">
        <v>120</v>
      </c>
      <c r="E26">
        <v>143.9</v>
      </c>
      <c r="G26">
        <v>111</v>
      </c>
      <c r="H26">
        <v>97.1</v>
      </c>
      <c r="I26">
        <v>122.7</v>
      </c>
      <c r="J26">
        <v>123</v>
      </c>
      <c r="K26">
        <v>124.5</v>
      </c>
      <c r="L26">
        <v>126</v>
      </c>
      <c r="M26">
        <v>123.3</v>
      </c>
    </row>
    <row r="27" spans="1:13" x14ac:dyDescent="0.2">
      <c r="A27" s="11">
        <v>42705</v>
      </c>
      <c r="B27">
        <v>119.3</v>
      </c>
      <c r="C27">
        <v>107.1</v>
      </c>
      <c r="D27">
        <v>119.5</v>
      </c>
      <c r="E27">
        <v>139.30000000000001</v>
      </c>
      <c r="G27">
        <v>119.8</v>
      </c>
      <c r="H27">
        <v>96.8</v>
      </c>
      <c r="I27">
        <v>120.6</v>
      </c>
      <c r="J27">
        <v>121.4</v>
      </c>
      <c r="K27">
        <v>123.4</v>
      </c>
      <c r="L27">
        <v>121.9</v>
      </c>
      <c r="M27">
        <v>124.6</v>
      </c>
    </row>
    <row r="28" spans="1:13" x14ac:dyDescent="0.2">
      <c r="A28" s="11">
        <v>42795</v>
      </c>
      <c r="B28">
        <v>125.2</v>
      </c>
      <c r="C28">
        <v>117.5</v>
      </c>
      <c r="D28">
        <v>125.2</v>
      </c>
      <c r="E28">
        <v>139</v>
      </c>
      <c r="G28">
        <v>123.2</v>
      </c>
      <c r="H28">
        <v>111.8</v>
      </c>
      <c r="I28">
        <v>126.2</v>
      </c>
      <c r="J28">
        <v>129</v>
      </c>
      <c r="K28">
        <v>129.19999999999999</v>
      </c>
      <c r="L28">
        <v>120.1</v>
      </c>
      <c r="M28">
        <v>136.80000000000001</v>
      </c>
    </row>
    <row r="29" spans="1:13" x14ac:dyDescent="0.2">
      <c r="A29" s="11">
        <v>42887</v>
      </c>
      <c r="B29">
        <v>120.5</v>
      </c>
      <c r="C29">
        <v>99.7</v>
      </c>
      <c r="D29">
        <v>121.1</v>
      </c>
      <c r="E29">
        <v>152</v>
      </c>
      <c r="G29">
        <v>118.3</v>
      </c>
      <c r="H29">
        <v>96.1</v>
      </c>
      <c r="I29">
        <v>121</v>
      </c>
      <c r="J29">
        <v>128.69999999999999</v>
      </c>
      <c r="K29">
        <v>126.3</v>
      </c>
      <c r="L29">
        <v>120.8</v>
      </c>
      <c r="M29">
        <v>130.9</v>
      </c>
    </row>
    <row r="30" spans="1:13" x14ac:dyDescent="0.2">
      <c r="A30" s="11">
        <v>42979</v>
      </c>
      <c r="B30">
        <v>121.1</v>
      </c>
      <c r="C30">
        <v>93.1</v>
      </c>
      <c r="D30">
        <v>123</v>
      </c>
      <c r="E30">
        <v>152.6</v>
      </c>
      <c r="G30">
        <v>116.8</v>
      </c>
      <c r="H30">
        <v>101.9</v>
      </c>
      <c r="I30">
        <v>122.2</v>
      </c>
      <c r="J30">
        <v>126.1</v>
      </c>
      <c r="K30">
        <v>128.9</v>
      </c>
      <c r="L30">
        <v>125</v>
      </c>
      <c r="M30">
        <v>132.19999999999999</v>
      </c>
    </row>
    <row r="31" spans="1:13" x14ac:dyDescent="0.2">
      <c r="A31" s="11">
        <v>43070</v>
      </c>
      <c r="B31">
        <v>126.3</v>
      </c>
      <c r="C31">
        <v>108</v>
      </c>
      <c r="D31">
        <v>127.8</v>
      </c>
      <c r="E31">
        <v>144.6</v>
      </c>
      <c r="G31">
        <v>123.7</v>
      </c>
      <c r="H31">
        <v>104</v>
      </c>
      <c r="I31">
        <v>126.3</v>
      </c>
      <c r="J31">
        <v>131.80000000000001</v>
      </c>
      <c r="K31">
        <v>133.6</v>
      </c>
      <c r="L31">
        <v>120.1</v>
      </c>
      <c r="M31">
        <v>144.9</v>
      </c>
    </row>
    <row r="32" spans="1:13" x14ac:dyDescent="0.2">
      <c r="A32" s="11">
        <v>43160</v>
      </c>
      <c r="B32">
        <v>133.30000000000001</v>
      </c>
      <c r="C32">
        <v>118.8</v>
      </c>
      <c r="D32">
        <v>134.6</v>
      </c>
      <c r="E32">
        <v>147.4</v>
      </c>
      <c r="G32">
        <v>128.4</v>
      </c>
      <c r="H32">
        <v>120.1</v>
      </c>
      <c r="I32">
        <v>130.9</v>
      </c>
      <c r="J32">
        <v>141.6</v>
      </c>
      <c r="K32">
        <v>141</v>
      </c>
      <c r="L32">
        <v>128.6</v>
      </c>
      <c r="M32">
        <v>151.5</v>
      </c>
    </row>
    <row r="33" spans="1:13" x14ac:dyDescent="0.2">
      <c r="A33" s="11">
        <v>43252</v>
      </c>
      <c r="B33">
        <v>126.6</v>
      </c>
      <c r="C33">
        <v>105</v>
      </c>
      <c r="D33">
        <v>127.3</v>
      </c>
      <c r="E33">
        <v>159.4</v>
      </c>
      <c r="G33">
        <v>125.3</v>
      </c>
      <c r="H33">
        <v>104.4</v>
      </c>
      <c r="I33">
        <v>121.8</v>
      </c>
      <c r="J33">
        <v>139.69999999999999</v>
      </c>
      <c r="K33">
        <v>132</v>
      </c>
      <c r="L33">
        <v>130.5</v>
      </c>
      <c r="M33">
        <v>133.30000000000001</v>
      </c>
    </row>
    <row r="34" spans="1:13" x14ac:dyDescent="0.2">
      <c r="A34" s="11">
        <v>43344</v>
      </c>
      <c r="B34">
        <v>127.5</v>
      </c>
      <c r="C34">
        <v>94</v>
      </c>
      <c r="D34">
        <v>129.9</v>
      </c>
      <c r="E34">
        <v>164</v>
      </c>
      <c r="G34">
        <v>121.4</v>
      </c>
      <c r="H34">
        <v>108.6</v>
      </c>
      <c r="I34">
        <v>124.5</v>
      </c>
      <c r="J34">
        <v>137.30000000000001</v>
      </c>
      <c r="K34">
        <v>137.9</v>
      </c>
      <c r="L34">
        <v>135.19999999999999</v>
      </c>
      <c r="M34">
        <v>140.19999999999999</v>
      </c>
    </row>
    <row r="35" spans="1:13" x14ac:dyDescent="0.2">
      <c r="A35" s="11">
        <v>43435</v>
      </c>
      <c r="B35">
        <v>130.9</v>
      </c>
      <c r="C35">
        <v>111.1</v>
      </c>
      <c r="D35">
        <v>132.19999999999999</v>
      </c>
      <c r="E35">
        <v>154.6</v>
      </c>
      <c r="G35">
        <v>127</v>
      </c>
      <c r="H35">
        <v>109.6</v>
      </c>
      <c r="I35">
        <v>125.2</v>
      </c>
      <c r="J35">
        <v>141.80000000000001</v>
      </c>
      <c r="K35">
        <v>140.69999999999999</v>
      </c>
      <c r="L35">
        <v>127.4</v>
      </c>
      <c r="M35">
        <v>151.80000000000001</v>
      </c>
    </row>
    <row r="36" spans="1:13" x14ac:dyDescent="0.2">
      <c r="A36" s="11">
        <v>43525</v>
      </c>
      <c r="B36">
        <v>135.4</v>
      </c>
      <c r="C36">
        <v>121.4</v>
      </c>
      <c r="D36">
        <v>136.5</v>
      </c>
      <c r="E36">
        <v>149.6</v>
      </c>
      <c r="G36">
        <v>130.69999999999999</v>
      </c>
      <c r="H36">
        <v>111.1</v>
      </c>
      <c r="I36">
        <v>133.30000000000001</v>
      </c>
      <c r="J36">
        <v>147.9</v>
      </c>
      <c r="K36">
        <v>143.80000000000001</v>
      </c>
      <c r="L36">
        <v>128.5</v>
      </c>
      <c r="M36">
        <v>156.6</v>
      </c>
    </row>
    <row r="37" spans="1:13" x14ac:dyDescent="0.2">
      <c r="A37" s="11">
        <v>43617</v>
      </c>
      <c r="B37">
        <v>130.4</v>
      </c>
      <c r="C37">
        <v>108.1</v>
      </c>
      <c r="D37">
        <v>130.30000000000001</v>
      </c>
      <c r="E37">
        <v>171.1</v>
      </c>
      <c r="G37">
        <v>128.5</v>
      </c>
      <c r="H37">
        <v>100.7</v>
      </c>
      <c r="I37">
        <v>133</v>
      </c>
      <c r="J37">
        <v>140.19999999999999</v>
      </c>
      <c r="K37">
        <v>135.5</v>
      </c>
      <c r="L37">
        <v>127</v>
      </c>
      <c r="M37">
        <v>142.6</v>
      </c>
    </row>
    <row r="38" spans="1:13" x14ac:dyDescent="0.2">
      <c r="A38" s="11">
        <v>43709</v>
      </c>
      <c r="B38">
        <v>127</v>
      </c>
      <c r="C38">
        <v>92.9</v>
      </c>
      <c r="D38">
        <v>129.4</v>
      </c>
      <c r="E38">
        <v>165</v>
      </c>
      <c r="G38">
        <v>121.3</v>
      </c>
      <c r="H38">
        <v>90.6</v>
      </c>
      <c r="I38">
        <v>136.80000000000001</v>
      </c>
      <c r="J38">
        <v>132.80000000000001</v>
      </c>
      <c r="K38">
        <v>135.9</v>
      </c>
      <c r="L38">
        <v>124.9</v>
      </c>
      <c r="M38">
        <v>145</v>
      </c>
    </row>
    <row r="39" spans="1:13" x14ac:dyDescent="0.2">
      <c r="A39" s="11">
        <v>43800</v>
      </c>
      <c r="B39">
        <v>129.1</v>
      </c>
      <c r="C39">
        <v>111</v>
      </c>
      <c r="D39">
        <v>130.80000000000001</v>
      </c>
      <c r="E39">
        <v>145.30000000000001</v>
      </c>
      <c r="G39">
        <v>125.3</v>
      </c>
      <c r="H39">
        <v>91.1</v>
      </c>
      <c r="I39">
        <v>141.4</v>
      </c>
      <c r="J39">
        <v>136.9</v>
      </c>
      <c r="K39">
        <v>133.80000000000001</v>
      </c>
      <c r="L39">
        <v>115.8</v>
      </c>
      <c r="M39">
        <v>149</v>
      </c>
    </row>
    <row r="40" spans="1:13" x14ac:dyDescent="0.2">
      <c r="A40" s="11">
        <v>43891</v>
      </c>
      <c r="B40">
        <v>129.6</v>
      </c>
      <c r="C40">
        <v>126.2</v>
      </c>
      <c r="D40">
        <v>127.9</v>
      </c>
      <c r="E40">
        <v>152.1</v>
      </c>
      <c r="G40">
        <v>132.9</v>
      </c>
      <c r="H40">
        <v>90.8</v>
      </c>
      <c r="I40">
        <v>139.4</v>
      </c>
      <c r="J40">
        <v>136.4</v>
      </c>
      <c r="K40">
        <v>127.9</v>
      </c>
      <c r="L40">
        <v>108.2</v>
      </c>
      <c r="M40">
        <v>144.5</v>
      </c>
    </row>
    <row r="41" spans="1:13" x14ac:dyDescent="0.2">
      <c r="A41" s="11">
        <v>43983</v>
      </c>
      <c r="B41">
        <v>84</v>
      </c>
      <c r="C41">
        <v>84</v>
      </c>
      <c r="D41">
        <v>77.900000000000006</v>
      </c>
      <c r="E41">
        <v>144.1</v>
      </c>
      <c r="G41">
        <v>102.6</v>
      </c>
      <c r="H41">
        <v>35.4</v>
      </c>
      <c r="I41">
        <v>78.8</v>
      </c>
      <c r="J41">
        <v>74.5</v>
      </c>
      <c r="K41">
        <v>83.2</v>
      </c>
      <c r="L41">
        <v>41.1</v>
      </c>
      <c r="M41">
        <v>118.5</v>
      </c>
    </row>
    <row r="42" spans="1:13" x14ac:dyDescent="0.2">
      <c r="A42" s="11">
        <v>44075</v>
      </c>
      <c r="B42">
        <v>119.7</v>
      </c>
      <c r="C42">
        <v>86.4</v>
      </c>
      <c r="D42">
        <v>121.2</v>
      </c>
      <c r="E42">
        <v>165.1</v>
      </c>
      <c r="G42">
        <v>111.7</v>
      </c>
      <c r="H42">
        <v>79</v>
      </c>
      <c r="I42">
        <v>129.5</v>
      </c>
      <c r="J42">
        <v>130.69999999999999</v>
      </c>
      <c r="K42">
        <v>130.6</v>
      </c>
      <c r="L42">
        <v>112.6</v>
      </c>
      <c r="M42">
        <v>145.6</v>
      </c>
    </row>
    <row r="43" spans="1:13" x14ac:dyDescent="0.2">
      <c r="A43" s="11">
        <v>44166</v>
      </c>
      <c r="B43">
        <v>131.19999999999999</v>
      </c>
      <c r="C43">
        <v>107.5</v>
      </c>
      <c r="D43">
        <v>133.19999999999999</v>
      </c>
      <c r="E43">
        <v>155</v>
      </c>
      <c r="G43">
        <v>123.4</v>
      </c>
      <c r="H43">
        <v>90.5</v>
      </c>
      <c r="I43">
        <v>143.1</v>
      </c>
      <c r="J43">
        <v>144.1</v>
      </c>
      <c r="K43">
        <v>139.69999999999999</v>
      </c>
      <c r="L43">
        <v>123.9</v>
      </c>
      <c r="M43">
        <v>153</v>
      </c>
    </row>
    <row r="44" spans="1:13" x14ac:dyDescent="0.2">
      <c r="A44" s="11">
        <v>44256</v>
      </c>
      <c r="B44">
        <v>137.4</v>
      </c>
      <c r="C44">
        <v>126.1</v>
      </c>
      <c r="D44">
        <v>136.5</v>
      </c>
      <c r="E44">
        <v>166</v>
      </c>
      <c r="G44">
        <v>134.80000000000001</v>
      </c>
      <c r="H44">
        <v>98.6</v>
      </c>
      <c r="I44">
        <v>147.19999999999999</v>
      </c>
      <c r="J44">
        <v>149.6</v>
      </c>
      <c r="K44">
        <v>140.5</v>
      </c>
      <c r="L44">
        <v>127.3</v>
      </c>
      <c r="M44">
        <v>151.5</v>
      </c>
    </row>
    <row r="45" spans="1:13" x14ac:dyDescent="0.2">
      <c r="A45" s="11">
        <v>44348</v>
      </c>
      <c r="B45">
        <v>121.3</v>
      </c>
      <c r="C45">
        <v>107.1</v>
      </c>
      <c r="D45">
        <v>119.1</v>
      </c>
      <c r="E45">
        <v>168.3</v>
      </c>
      <c r="G45">
        <v>123.9</v>
      </c>
      <c r="H45">
        <v>74</v>
      </c>
      <c r="I45">
        <v>133.80000000000001</v>
      </c>
      <c r="J45">
        <v>137.1</v>
      </c>
      <c r="K45">
        <v>117.5</v>
      </c>
      <c r="L45">
        <v>91.7</v>
      </c>
      <c r="M45">
        <v>139.1</v>
      </c>
    </row>
    <row r="46" spans="1:13" x14ac:dyDescent="0.2">
      <c r="A46" s="11">
        <v>44440</v>
      </c>
      <c r="B46">
        <v>131.1</v>
      </c>
      <c r="C46">
        <v>101.1</v>
      </c>
      <c r="D46">
        <v>131.6</v>
      </c>
      <c r="E46">
        <v>180.4</v>
      </c>
      <c r="G46">
        <v>124.3</v>
      </c>
      <c r="H46">
        <v>92.3</v>
      </c>
      <c r="I46">
        <v>143.80000000000001</v>
      </c>
      <c r="J46">
        <v>145.9</v>
      </c>
      <c r="K46">
        <v>136.5</v>
      </c>
      <c r="L46">
        <v>123.8</v>
      </c>
      <c r="M46">
        <v>147.19999999999999</v>
      </c>
    </row>
    <row r="47" spans="1:13" x14ac:dyDescent="0.2">
      <c r="A47" s="11">
        <v>44531</v>
      </c>
      <c r="B47">
        <v>133.9</v>
      </c>
      <c r="C47">
        <v>114</v>
      </c>
      <c r="D47">
        <v>135</v>
      </c>
      <c r="E47">
        <v>159.19999999999999</v>
      </c>
      <c r="G47">
        <v>129.6</v>
      </c>
      <c r="H47">
        <v>88.3</v>
      </c>
      <c r="I47">
        <v>146.80000000000001</v>
      </c>
      <c r="J47">
        <v>149.69999999999999</v>
      </c>
      <c r="K47">
        <v>137.80000000000001</v>
      </c>
      <c r="L47">
        <v>119.5</v>
      </c>
      <c r="M47">
        <v>153.1</v>
      </c>
    </row>
    <row r="48" spans="1:13" x14ac:dyDescent="0.2">
      <c r="A48" s="11">
        <v>44621</v>
      </c>
      <c r="B48">
        <v>139.80000000000001</v>
      </c>
      <c r="C48">
        <v>130.9</v>
      </c>
      <c r="D48">
        <v>138.1</v>
      </c>
      <c r="E48">
        <v>172.5</v>
      </c>
      <c r="G48">
        <v>140.19999999999999</v>
      </c>
      <c r="H48">
        <v>100.4</v>
      </c>
      <c r="I48">
        <v>151.30000000000001</v>
      </c>
      <c r="J48">
        <v>160.1</v>
      </c>
      <c r="K48">
        <v>134.9</v>
      </c>
      <c r="L48">
        <v>120.1</v>
      </c>
      <c r="M48">
        <v>147.4</v>
      </c>
    </row>
    <row r="49" spans="1:13" x14ac:dyDescent="0.2">
      <c r="A49" s="11">
        <v>44713</v>
      </c>
      <c r="B49">
        <v>136.69999999999999</v>
      </c>
      <c r="C49">
        <v>116.7</v>
      </c>
      <c r="D49">
        <v>134.19999999999999</v>
      </c>
      <c r="E49">
        <v>197.1</v>
      </c>
      <c r="G49">
        <v>141.1</v>
      </c>
      <c r="H49">
        <v>95.8</v>
      </c>
      <c r="I49">
        <v>149.5</v>
      </c>
      <c r="J49">
        <v>150.6</v>
      </c>
      <c r="K49">
        <v>129.5</v>
      </c>
      <c r="L49">
        <v>116.1</v>
      </c>
      <c r="M49">
        <v>140.69999999999999</v>
      </c>
    </row>
    <row r="50" spans="1:13" x14ac:dyDescent="0.2">
      <c r="A50" s="11">
        <v>44743</v>
      </c>
      <c r="B50">
        <v>134.4</v>
      </c>
      <c r="C50">
        <v>101.1</v>
      </c>
      <c r="D50">
        <v>135</v>
      </c>
      <c r="E50">
        <v>188.9</v>
      </c>
      <c r="G50">
        <v>131.69999999999999</v>
      </c>
      <c r="H50">
        <v>97.1</v>
      </c>
      <c r="I50">
        <v>149</v>
      </c>
      <c r="J50">
        <v>151.30000000000001</v>
      </c>
      <c r="K50">
        <v>132.4</v>
      </c>
      <c r="L50">
        <v>121.4</v>
      </c>
      <c r="M50">
        <v>141.69999999999999</v>
      </c>
    </row>
    <row r="51" spans="1:13" x14ac:dyDescent="0.2">
      <c r="A51" s="11">
        <v>44774</v>
      </c>
      <c r="B51">
        <v>131.5</v>
      </c>
      <c r="C51">
        <v>99.6</v>
      </c>
      <c r="D51">
        <v>131.30000000000001</v>
      </c>
      <c r="E51">
        <v>191.3</v>
      </c>
      <c r="G51">
        <v>129.4</v>
      </c>
      <c r="H51">
        <v>95</v>
      </c>
      <c r="I51">
        <v>146.6</v>
      </c>
      <c r="J51">
        <v>152.80000000000001</v>
      </c>
      <c r="K51">
        <v>126.4</v>
      </c>
      <c r="L51">
        <v>116.2</v>
      </c>
      <c r="M51">
        <v>134.9</v>
      </c>
    </row>
    <row r="52" spans="1:13" x14ac:dyDescent="0.2">
      <c r="A52" s="11">
        <v>44805</v>
      </c>
      <c r="B52">
        <v>134</v>
      </c>
      <c r="C52">
        <v>100</v>
      </c>
      <c r="D52">
        <v>134.80000000000001</v>
      </c>
      <c r="E52">
        <v>187.4</v>
      </c>
      <c r="G52">
        <v>128.4</v>
      </c>
      <c r="H52">
        <v>103.9</v>
      </c>
      <c r="I52">
        <v>145.4</v>
      </c>
      <c r="J52">
        <v>156.19999999999999</v>
      </c>
      <c r="K52">
        <v>132.9</v>
      </c>
      <c r="L52">
        <v>126.8</v>
      </c>
      <c r="M52">
        <v>138</v>
      </c>
    </row>
    <row r="53" spans="1:13" x14ac:dyDescent="0.2">
      <c r="A53" s="11">
        <v>44835</v>
      </c>
      <c r="B53">
        <v>129.30000000000001</v>
      </c>
      <c r="C53">
        <v>112.5</v>
      </c>
      <c r="D53">
        <v>128.30000000000001</v>
      </c>
      <c r="E53">
        <v>169.3</v>
      </c>
      <c r="G53">
        <v>131.1</v>
      </c>
      <c r="H53">
        <v>88.3</v>
      </c>
      <c r="I53">
        <v>143.30000000000001</v>
      </c>
      <c r="J53">
        <v>155.30000000000001</v>
      </c>
      <c r="K53">
        <v>119.1</v>
      </c>
      <c r="L53">
        <v>106.5</v>
      </c>
      <c r="M53">
        <v>129.69999999999999</v>
      </c>
    </row>
    <row r="54" spans="1:13" x14ac:dyDescent="0.2">
      <c r="A54" s="11">
        <v>44866</v>
      </c>
      <c r="B54">
        <v>137.1</v>
      </c>
      <c r="C54">
        <v>122.7</v>
      </c>
      <c r="D54">
        <v>136.69999999999999</v>
      </c>
      <c r="E54">
        <v>166.7</v>
      </c>
      <c r="G54">
        <v>132.5</v>
      </c>
      <c r="H54">
        <v>99.1</v>
      </c>
      <c r="I54">
        <v>145.6</v>
      </c>
      <c r="J54">
        <v>159.6</v>
      </c>
      <c r="K54">
        <v>138.69999999999999</v>
      </c>
      <c r="L54">
        <v>112</v>
      </c>
      <c r="M54">
        <v>161.1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4929-A996-EC45-95FD-C7489CBBD17B}">
  <dimension ref="A1:D7"/>
  <sheetViews>
    <sheetView workbookViewId="0">
      <selection sqref="A1:D7"/>
    </sheetView>
  </sheetViews>
  <sheetFormatPr baseColWidth="10" defaultRowHeight="16" x14ac:dyDescent="0.2"/>
  <cols>
    <col min="1" max="1" width="32" bestFit="1" customWidth="1"/>
    <col min="2" max="2" width="20.83203125" style="33" bestFit="1" customWidth="1"/>
    <col min="3" max="3" width="28.6640625" style="33" bestFit="1" customWidth="1"/>
    <col min="4" max="4" width="38.1640625" style="33" bestFit="1" customWidth="1"/>
  </cols>
  <sheetData>
    <row r="1" spans="1:4" ht="60" customHeight="1" x14ac:dyDescent="0.2">
      <c r="A1" s="39" t="s">
        <v>9</v>
      </c>
      <c r="B1" s="40" t="s">
        <v>1164</v>
      </c>
      <c r="C1" s="41" t="s">
        <v>1165</v>
      </c>
      <c r="D1" s="42" t="s">
        <v>1166</v>
      </c>
    </row>
    <row r="2" spans="1:4" ht="41" customHeight="1" x14ac:dyDescent="0.2">
      <c r="A2" s="43" t="s">
        <v>1167</v>
      </c>
      <c r="B2" s="44">
        <v>13767</v>
      </c>
      <c r="C2" s="44">
        <v>9007</v>
      </c>
      <c r="D2" s="44">
        <v>3648</v>
      </c>
    </row>
    <row r="3" spans="1:4" ht="43" customHeight="1" x14ac:dyDescent="0.2">
      <c r="A3" t="s">
        <v>1168</v>
      </c>
      <c r="B3" s="33">
        <v>103.4</v>
      </c>
      <c r="C3" s="33">
        <v>113.9</v>
      </c>
      <c r="D3" s="33">
        <v>88.8</v>
      </c>
    </row>
    <row r="4" spans="1:4" ht="40" customHeight="1" x14ac:dyDescent="0.2">
      <c r="A4" t="s">
        <v>1169</v>
      </c>
      <c r="B4" s="33" t="s">
        <v>1170</v>
      </c>
      <c r="C4" s="33" t="s">
        <v>1171</v>
      </c>
      <c r="D4" s="33" t="s">
        <v>1172</v>
      </c>
    </row>
    <row r="5" spans="1:4" ht="43" customHeight="1" x14ac:dyDescent="0.2">
      <c r="A5" t="s">
        <v>1173</v>
      </c>
      <c r="B5" s="33" t="s">
        <v>1174</v>
      </c>
      <c r="C5" s="33" t="s">
        <v>1175</v>
      </c>
      <c r="D5" s="33" t="s">
        <v>1176</v>
      </c>
    </row>
    <row r="6" spans="1:4" ht="43" customHeight="1" x14ac:dyDescent="0.2">
      <c r="A6" t="s">
        <v>1177</v>
      </c>
      <c r="B6" s="33" t="s">
        <v>1178</v>
      </c>
      <c r="C6" s="33" t="s">
        <v>1179</v>
      </c>
      <c r="D6" s="33" t="s">
        <v>1180</v>
      </c>
    </row>
    <row r="7" spans="1:4" ht="38" customHeight="1" x14ac:dyDescent="0.2">
      <c r="A7" s="45" t="s">
        <v>1181</v>
      </c>
      <c r="B7" s="46">
        <v>1.2</v>
      </c>
      <c r="C7" s="46">
        <v>1.3</v>
      </c>
      <c r="D7" s="46">
        <v>1.3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A4FA-A711-524D-BF75-14E74E986881}">
  <dimension ref="A2:J62"/>
  <sheetViews>
    <sheetView workbookViewId="0">
      <selection activeCell="A2" sqref="A2:J62"/>
    </sheetView>
  </sheetViews>
  <sheetFormatPr baseColWidth="10" defaultRowHeight="16" x14ac:dyDescent="0.2"/>
  <cols>
    <col min="1" max="1" width="7.33203125" bestFit="1" customWidth="1"/>
    <col min="2" max="2" width="12.33203125" bestFit="1" customWidth="1"/>
    <col min="4" max="4" width="9" bestFit="1" customWidth="1"/>
    <col min="5" max="5" width="16.33203125" customWidth="1"/>
    <col min="6" max="6" width="20" bestFit="1" customWidth="1"/>
    <col min="7" max="7" width="7.1640625" bestFit="1" customWidth="1"/>
    <col min="8" max="8" width="10.6640625" bestFit="1" customWidth="1"/>
  </cols>
  <sheetData>
    <row r="2" spans="1:10" ht="51" x14ac:dyDescent="0.2">
      <c r="A2" s="35" t="s">
        <v>271</v>
      </c>
      <c r="B2" s="36" t="s">
        <v>1151</v>
      </c>
      <c r="C2" s="36" t="s">
        <v>1150</v>
      </c>
      <c r="D2" s="36" t="s">
        <v>1149</v>
      </c>
      <c r="E2" s="36" t="s">
        <v>1154</v>
      </c>
      <c r="F2" s="36" t="s">
        <v>1153</v>
      </c>
      <c r="G2" s="35" t="s">
        <v>357</v>
      </c>
      <c r="H2" s="36" t="s">
        <v>1152</v>
      </c>
      <c r="I2" s="35" t="s">
        <v>359</v>
      </c>
      <c r="J2" s="35" t="s">
        <v>283</v>
      </c>
    </row>
    <row r="3" spans="1:10" hidden="1" x14ac:dyDescent="0.2">
      <c r="A3" s="37">
        <v>43525</v>
      </c>
      <c r="B3" s="33">
        <v>8.74</v>
      </c>
      <c r="C3" s="33">
        <v>19.27</v>
      </c>
      <c r="D3" s="33">
        <v>-23.37</v>
      </c>
      <c r="E3" s="33">
        <v>12.57</v>
      </c>
      <c r="F3" s="33">
        <v>-4.9000000000000004</v>
      </c>
      <c r="G3" s="33">
        <v>2.71</v>
      </c>
      <c r="H3" s="33">
        <v>0.84</v>
      </c>
      <c r="I3" s="33">
        <v>3.14</v>
      </c>
      <c r="J3" s="33">
        <v>2.17</v>
      </c>
    </row>
    <row r="4" spans="1:10" hidden="1" x14ac:dyDescent="0.2">
      <c r="A4" s="37">
        <v>43556</v>
      </c>
      <c r="B4" s="33">
        <v>6.87</v>
      </c>
      <c r="C4" s="33">
        <v>17.29</v>
      </c>
      <c r="D4" s="33">
        <v>-32.479999999999997</v>
      </c>
      <c r="E4" s="33">
        <v>68.44</v>
      </c>
      <c r="F4" s="33">
        <v>-5.91</v>
      </c>
      <c r="G4" s="33">
        <v>3.18</v>
      </c>
      <c r="H4" s="33">
        <v>5.07</v>
      </c>
      <c r="I4" s="33">
        <v>2.52</v>
      </c>
      <c r="J4" s="33">
        <v>5.99</v>
      </c>
    </row>
    <row r="5" spans="1:10" hidden="1" x14ac:dyDescent="0.2">
      <c r="A5" s="37">
        <v>43586</v>
      </c>
      <c r="B5" s="33">
        <v>-1.51</v>
      </c>
      <c r="C5" s="33">
        <v>1.99</v>
      </c>
      <c r="D5" s="33">
        <v>-15.43</v>
      </c>
      <c r="E5" s="33">
        <v>17.5</v>
      </c>
      <c r="F5" s="33">
        <v>-5.13</v>
      </c>
      <c r="G5" s="33">
        <v>4.4800000000000004</v>
      </c>
      <c r="H5" s="33">
        <v>2.3199999999999998</v>
      </c>
      <c r="I5" s="33">
        <v>4.38</v>
      </c>
      <c r="J5" s="33">
        <v>7.41</v>
      </c>
    </row>
    <row r="6" spans="1:10" hidden="1" x14ac:dyDescent="0.2">
      <c r="A6" s="37">
        <v>43617</v>
      </c>
      <c r="B6" s="33">
        <v>-5.27</v>
      </c>
      <c r="C6" s="33">
        <v>0.83</v>
      </c>
      <c r="D6" s="33">
        <v>20.36</v>
      </c>
      <c r="E6" s="33">
        <v>18.600000000000001</v>
      </c>
      <c r="F6" s="33">
        <v>1.81</v>
      </c>
      <c r="G6" s="33">
        <v>1.25</v>
      </c>
      <c r="H6" s="33">
        <v>1.53</v>
      </c>
      <c r="I6" s="33">
        <v>0.31</v>
      </c>
      <c r="J6" s="33">
        <v>8.57</v>
      </c>
    </row>
    <row r="7" spans="1:10" hidden="1" x14ac:dyDescent="0.2">
      <c r="A7" s="37">
        <v>43647</v>
      </c>
      <c r="B7" s="33">
        <v>-6.8</v>
      </c>
      <c r="C7" s="33">
        <v>5.13</v>
      </c>
      <c r="D7" s="33">
        <v>0.84</v>
      </c>
      <c r="E7" s="33">
        <v>28.12</v>
      </c>
      <c r="F7" s="33">
        <v>-3.09</v>
      </c>
      <c r="G7" s="33">
        <v>4.8499999999999996</v>
      </c>
      <c r="H7" s="33">
        <v>4.92</v>
      </c>
      <c r="I7" s="33">
        <v>4.78</v>
      </c>
      <c r="J7" s="33">
        <v>5.25</v>
      </c>
    </row>
    <row r="8" spans="1:10" hidden="1" x14ac:dyDescent="0.2">
      <c r="A8" s="37">
        <v>43678</v>
      </c>
      <c r="B8" s="33">
        <v>-8.7100000000000009</v>
      </c>
      <c r="C8" s="33">
        <v>-6.83</v>
      </c>
      <c r="D8" s="33">
        <v>2.34</v>
      </c>
      <c r="E8" s="33">
        <v>27.94</v>
      </c>
      <c r="F8" s="33">
        <v>0.67</v>
      </c>
      <c r="G8" s="33">
        <v>-1.41</v>
      </c>
      <c r="H8" s="33">
        <v>0</v>
      </c>
      <c r="I8" s="33">
        <v>-1.68</v>
      </c>
      <c r="J8" s="33">
        <v>-0.9</v>
      </c>
    </row>
    <row r="9" spans="1:10" hidden="1" x14ac:dyDescent="0.2">
      <c r="A9" s="37">
        <v>43709</v>
      </c>
      <c r="B9" s="33">
        <v>-7.94</v>
      </c>
      <c r="C9" s="33">
        <v>-7.38</v>
      </c>
      <c r="D9" s="33">
        <v>-5.0199999999999996</v>
      </c>
      <c r="E9" s="33">
        <v>13.5</v>
      </c>
      <c r="F9" s="33">
        <v>2.29</v>
      </c>
      <c r="G9" s="33">
        <v>-4.58</v>
      </c>
      <c r="H9" s="33">
        <v>-8.57</v>
      </c>
      <c r="I9" s="33">
        <v>-4.26</v>
      </c>
      <c r="J9" s="33">
        <v>-2.58</v>
      </c>
    </row>
    <row r="10" spans="1:10" hidden="1" x14ac:dyDescent="0.2">
      <c r="A10" s="37">
        <v>43739</v>
      </c>
      <c r="B10" s="33">
        <v>-8.18</v>
      </c>
      <c r="C10" s="33">
        <v>-5.41</v>
      </c>
      <c r="D10" s="33">
        <v>-8.2100000000000009</v>
      </c>
      <c r="E10" s="33">
        <v>0.81</v>
      </c>
      <c r="F10" s="33">
        <v>-7.63</v>
      </c>
      <c r="G10" s="33">
        <v>-6.63</v>
      </c>
      <c r="H10" s="33">
        <v>-8.0399999999999991</v>
      </c>
      <c r="I10" s="33">
        <v>-5.68</v>
      </c>
      <c r="J10" s="33">
        <v>-12.17</v>
      </c>
    </row>
    <row r="11" spans="1:10" hidden="1" x14ac:dyDescent="0.2">
      <c r="A11" s="37">
        <v>43770</v>
      </c>
      <c r="B11" s="33">
        <v>-1.28</v>
      </c>
      <c r="C11" s="33">
        <v>-5.67</v>
      </c>
      <c r="D11" s="33">
        <v>-30.74</v>
      </c>
      <c r="E11" s="33">
        <v>19.3</v>
      </c>
      <c r="F11" s="33">
        <v>-7.28</v>
      </c>
      <c r="G11" s="33">
        <v>2.14</v>
      </c>
      <c r="H11" s="33">
        <v>1.9</v>
      </c>
      <c r="I11" s="33">
        <v>3</v>
      </c>
      <c r="J11" s="33">
        <v>-5.0199999999999996</v>
      </c>
    </row>
    <row r="12" spans="1:10" hidden="1" x14ac:dyDescent="0.2">
      <c r="A12" s="37">
        <v>43800</v>
      </c>
      <c r="B12" s="33">
        <v>-2.39</v>
      </c>
      <c r="C12" s="33">
        <v>-1.41</v>
      </c>
      <c r="D12" s="33">
        <v>8.19</v>
      </c>
      <c r="E12" s="33">
        <v>-3.69</v>
      </c>
      <c r="F12" s="33">
        <v>-7.69</v>
      </c>
      <c r="G12" s="33">
        <v>0.45</v>
      </c>
      <c r="H12" s="33">
        <v>5.68</v>
      </c>
      <c r="I12" s="33">
        <v>-0.28999999999999998</v>
      </c>
      <c r="J12" s="33">
        <v>-7.0000000000000007E-2</v>
      </c>
    </row>
    <row r="13" spans="1:10" hidden="1" x14ac:dyDescent="0.2">
      <c r="A13" s="37">
        <v>43831</v>
      </c>
      <c r="B13" s="33">
        <v>-2.4</v>
      </c>
      <c r="C13" s="33">
        <v>5.31</v>
      </c>
      <c r="D13" s="33">
        <v>7.23</v>
      </c>
      <c r="E13" s="33">
        <v>-24.01</v>
      </c>
      <c r="F13" s="33">
        <v>-13.08</v>
      </c>
      <c r="G13" s="33">
        <v>2.23</v>
      </c>
      <c r="H13" s="33">
        <v>4.37</v>
      </c>
      <c r="I13" s="33">
        <v>1.77</v>
      </c>
      <c r="J13" s="33">
        <v>3.11</v>
      </c>
    </row>
    <row r="14" spans="1:10" hidden="1" x14ac:dyDescent="0.2">
      <c r="A14" s="37">
        <v>43862</v>
      </c>
      <c r="B14" s="33">
        <v>-1.23</v>
      </c>
      <c r="C14" s="33">
        <v>-2.5299999999999998</v>
      </c>
      <c r="D14" s="33">
        <v>8.1</v>
      </c>
      <c r="E14" s="33">
        <v>-4.6900000000000004</v>
      </c>
      <c r="F14" s="33">
        <v>-14.96</v>
      </c>
      <c r="G14" s="33">
        <v>5.17</v>
      </c>
      <c r="H14" s="33">
        <v>9.6</v>
      </c>
      <c r="I14" s="33">
        <v>3.79</v>
      </c>
      <c r="J14" s="33">
        <v>11.46</v>
      </c>
    </row>
    <row r="15" spans="1:10" hidden="1" x14ac:dyDescent="0.2">
      <c r="A15" s="37">
        <v>43891</v>
      </c>
      <c r="B15" s="33">
        <v>-16.48</v>
      </c>
      <c r="C15" s="33">
        <v>-29.74</v>
      </c>
      <c r="D15" s="33">
        <v>-1.58</v>
      </c>
      <c r="E15" s="33">
        <v>-55.73</v>
      </c>
      <c r="F15" s="33">
        <v>-28.04</v>
      </c>
      <c r="G15" s="33">
        <v>-18.670000000000002</v>
      </c>
      <c r="H15" s="33">
        <v>-1.28</v>
      </c>
      <c r="I15" s="33">
        <v>-22.82</v>
      </c>
      <c r="J15" s="33">
        <v>-8.24</v>
      </c>
    </row>
    <row r="16" spans="1:10" hidden="1" x14ac:dyDescent="0.2">
      <c r="A16" s="37">
        <v>43922</v>
      </c>
      <c r="B16" s="33">
        <v>-93.76</v>
      </c>
      <c r="C16" s="33">
        <v>-93.31</v>
      </c>
      <c r="D16" s="33"/>
      <c r="E16" s="33">
        <v>-94.37</v>
      </c>
      <c r="F16" s="33"/>
      <c r="G16" s="33">
        <v>-57.31</v>
      </c>
      <c r="H16" s="33">
        <v>-26.9</v>
      </c>
      <c r="I16" s="33">
        <v>-66.64</v>
      </c>
      <c r="J16" s="33">
        <v>-22.9</v>
      </c>
    </row>
    <row r="17" spans="1:10" hidden="1" x14ac:dyDescent="0.2">
      <c r="A17" s="37">
        <v>43952</v>
      </c>
      <c r="B17" s="33">
        <v>-76.06</v>
      </c>
      <c r="C17" s="33">
        <v>-58.63</v>
      </c>
      <c r="D17" s="33">
        <v>-85.41</v>
      </c>
      <c r="E17" s="33">
        <v>-64.569999999999993</v>
      </c>
      <c r="F17" s="33">
        <v>-63.16</v>
      </c>
      <c r="G17" s="33">
        <v>-33.380000000000003</v>
      </c>
      <c r="H17" s="33">
        <v>-20.440000000000001</v>
      </c>
      <c r="I17" s="33">
        <v>-37.85</v>
      </c>
      <c r="J17" s="33">
        <v>-14.87</v>
      </c>
    </row>
    <row r="18" spans="1:10" hidden="1" x14ac:dyDescent="0.2">
      <c r="A18" s="37">
        <v>43983</v>
      </c>
      <c r="B18" s="33">
        <v>-53.21</v>
      </c>
      <c r="C18" s="33">
        <v>-38.33</v>
      </c>
      <c r="D18" s="33">
        <v>-48.93</v>
      </c>
      <c r="E18" s="33">
        <v>-36.06</v>
      </c>
      <c r="F18" s="33">
        <v>-28.83</v>
      </c>
      <c r="G18" s="33">
        <v>-16.55</v>
      </c>
      <c r="H18" s="33">
        <v>-19.53</v>
      </c>
      <c r="I18" s="33">
        <v>-16.98</v>
      </c>
      <c r="J18" s="33">
        <v>-10.02</v>
      </c>
    </row>
    <row r="19" spans="1:10" hidden="1" x14ac:dyDescent="0.2">
      <c r="A19" s="37">
        <v>44013</v>
      </c>
      <c r="B19" s="33">
        <v>-7.15</v>
      </c>
      <c r="C19" s="33">
        <v>-36.520000000000003</v>
      </c>
      <c r="D19" s="33">
        <v>-30.6</v>
      </c>
      <c r="E19" s="33">
        <v>-29.95</v>
      </c>
      <c r="F19" s="33">
        <v>-32.36</v>
      </c>
      <c r="G19" s="33">
        <v>-10.55</v>
      </c>
      <c r="H19" s="33">
        <v>-12.67</v>
      </c>
      <c r="I19" s="33">
        <v>-11.37</v>
      </c>
      <c r="J19" s="33">
        <v>-2.46</v>
      </c>
    </row>
    <row r="20" spans="1:10" hidden="1" x14ac:dyDescent="0.2">
      <c r="A20" s="37">
        <v>44044</v>
      </c>
      <c r="B20" s="33">
        <v>-1.39</v>
      </c>
      <c r="C20" s="33">
        <v>-25.3</v>
      </c>
      <c r="D20" s="33">
        <v>-34.159999999999997</v>
      </c>
      <c r="E20" s="33">
        <v>-32.35</v>
      </c>
      <c r="F20" s="33">
        <v>-18.559999999999999</v>
      </c>
      <c r="G20" s="33">
        <v>-7.13</v>
      </c>
      <c r="H20" s="33">
        <v>-8.6999999999999993</v>
      </c>
      <c r="I20" s="33">
        <v>-7.55</v>
      </c>
      <c r="J20" s="33">
        <v>-1.81</v>
      </c>
    </row>
    <row r="21" spans="1:10" hidden="1" x14ac:dyDescent="0.2">
      <c r="A21" s="37">
        <v>44075</v>
      </c>
      <c r="B21" s="33">
        <v>3.07</v>
      </c>
      <c r="C21" s="33">
        <v>-17.690000000000001</v>
      </c>
      <c r="D21" s="33">
        <v>-25.96</v>
      </c>
      <c r="E21" s="33">
        <v>-15.02</v>
      </c>
      <c r="F21" s="33">
        <v>-11.46</v>
      </c>
      <c r="G21" s="33">
        <v>0.98</v>
      </c>
      <c r="H21" s="33">
        <v>1.39</v>
      </c>
      <c r="I21" s="33">
        <v>0.4</v>
      </c>
      <c r="J21" s="33">
        <v>4.8499999999999996</v>
      </c>
    </row>
    <row r="22" spans="1:10" hidden="1" x14ac:dyDescent="0.2">
      <c r="A22" s="37">
        <v>44105</v>
      </c>
      <c r="B22" s="33">
        <v>6.77</v>
      </c>
      <c r="C22" s="33">
        <v>-18.46</v>
      </c>
      <c r="D22" s="33">
        <v>-14</v>
      </c>
      <c r="E22" s="33">
        <v>-8.4700000000000006</v>
      </c>
      <c r="F22" s="33">
        <v>3.1</v>
      </c>
      <c r="G22" s="33">
        <v>4.5199999999999996</v>
      </c>
      <c r="H22" s="33">
        <v>-1.01</v>
      </c>
      <c r="I22" s="33">
        <v>4.51</v>
      </c>
      <c r="J22" s="33">
        <v>11.25</v>
      </c>
    </row>
    <row r="23" spans="1:10" hidden="1" x14ac:dyDescent="0.2">
      <c r="A23" s="37">
        <v>44136</v>
      </c>
      <c r="B23" s="33">
        <v>0.15</v>
      </c>
      <c r="C23" s="33">
        <v>-31.07</v>
      </c>
      <c r="D23" s="33">
        <v>-36.83</v>
      </c>
      <c r="E23" s="33">
        <v>-24.34</v>
      </c>
      <c r="F23" s="33">
        <v>2.98</v>
      </c>
      <c r="G23" s="33">
        <v>-1.63</v>
      </c>
      <c r="H23" s="33">
        <v>-5.41</v>
      </c>
      <c r="I23" s="33">
        <v>-1.61</v>
      </c>
      <c r="J23" s="33">
        <v>3.5</v>
      </c>
    </row>
    <row r="24" spans="1:10" hidden="1" x14ac:dyDescent="0.2">
      <c r="A24" s="37">
        <v>44166</v>
      </c>
      <c r="B24" s="33">
        <v>-1.3</v>
      </c>
      <c r="C24" s="33">
        <v>-35.35</v>
      </c>
      <c r="D24" s="33">
        <v>-42.29</v>
      </c>
      <c r="E24" s="33">
        <v>4.3499999999999996</v>
      </c>
      <c r="F24" s="33">
        <v>-0.74</v>
      </c>
      <c r="G24" s="33">
        <v>2.16</v>
      </c>
      <c r="H24" s="33">
        <v>-2.98</v>
      </c>
      <c r="I24" s="33">
        <v>2.66</v>
      </c>
      <c r="J24" s="33">
        <v>5.12</v>
      </c>
    </row>
    <row r="25" spans="1:10" hidden="1" x14ac:dyDescent="0.2">
      <c r="A25" s="37">
        <v>44197</v>
      </c>
      <c r="B25" s="33">
        <v>0.35</v>
      </c>
      <c r="C25" s="33">
        <v>-39.6</v>
      </c>
      <c r="D25" s="33">
        <v>-44.68</v>
      </c>
      <c r="E25" s="33">
        <v>26.28</v>
      </c>
      <c r="F25" s="33">
        <v>-7.12</v>
      </c>
      <c r="G25" s="33">
        <v>-0.57999999999999996</v>
      </c>
      <c r="H25" s="33">
        <v>-2.41</v>
      </c>
      <c r="I25" s="33">
        <v>-0.94</v>
      </c>
      <c r="J25" s="33">
        <v>5.53</v>
      </c>
    </row>
    <row r="26" spans="1:10" hidden="1" x14ac:dyDescent="0.2">
      <c r="A26" s="37">
        <v>44228</v>
      </c>
      <c r="B26" s="33">
        <v>-2.19</v>
      </c>
      <c r="C26" s="33">
        <v>-34.01</v>
      </c>
      <c r="D26" s="33">
        <v>-53.58</v>
      </c>
      <c r="E26" s="33">
        <v>21.88</v>
      </c>
      <c r="F26" s="33">
        <v>0.69</v>
      </c>
      <c r="G26" s="33">
        <v>-3.2</v>
      </c>
      <c r="H26" s="33">
        <v>-4.38</v>
      </c>
      <c r="I26" s="33">
        <v>-3.35</v>
      </c>
      <c r="J26" s="33">
        <v>0.13</v>
      </c>
    </row>
    <row r="27" spans="1:10" hidden="1" x14ac:dyDescent="0.2">
      <c r="A27" s="37">
        <v>44256</v>
      </c>
      <c r="B27" s="33">
        <v>13.01</v>
      </c>
      <c r="C27" s="33">
        <v>-2.85</v>
      </c>
      <c r="D27" s="33">
        <v>-35.21</v>
      </c>
      <c r="E27" s="33">
        <v>87.78</v>
      </c>
      <c r="F27" s="33">
        <v>16.3</v>
      </c>
      <c r="G27" s="33">
        <v>24.23</v>
      </c>
      <c r="H27" s="33">
        <v>6.11</v>
      </c>
      <c r="I27" s="33">
        <v>28.41</v>
      </c>
      <c r="J27" s="33">
        <v>22.53</v>
      </c>
    </row>
    <row r="28" spans="1:10" hidden="1" x14ac:dyDescent="0.2">
      <c r="A28" s="37">
        <v>44287</v>
      </c>
      <c r="B28" s="38">
        <v>1362.88</v>
      </c>
      <c r="C28" s="33">
        <v>889.13</v>
      </c>
      <c r="D28" s="33"/>
      <c r="E28" s="33">
        <v>349.45</v>
      </c>
      <c r="F28" s="33"/>
      <c r="G28" s="33">
        <v>133.52000000000001</v>
      </c>
      <c r="H28" s="33">
        <v>36.549999999999997</v>
      </c>
      <c r="I28" s="33">
        <v>195.96</v>
      </c>
      <c r="J28" s="33">
        <v>38.54</v>
      </c>
    </row>
    <row r="29" spans="1:10" hidden="1" x14ac:dyDescent="0.2">
      <c r="A29" s="37">
        <v>44317</v>
      </c>
      <c r="B29" s="33">
        <v>284.77999999999997</v>
      </c>
      <c r="C29" s="33">
        <v>38.53</v>
      </c>
      <c r="D29" s="33">
        <v>209.09</v>
      </c>
      <c r="E29" s="33">
        <v>22.43</v>
      </c>
      <c r="F29" s="33">
        <v>74.13</v>
      </c>
      <c r="G29" s="33">
        <v>27.61</v>
      </c>
      <c r="H29" s="33">
        <v>23.63</v>
      </c>
      <c r="I29" s="33">
        <v>32.11</v>
      </c>
      <c r="J29" s="33">
        <v>7.5</v>
      </c>
    </row>
    <row r="30" spans="1:10" hidden="1" x14ac:dyDescent="0.2">
      <c r="A30" s="37">
        <v>44348</v>
      </c>
      <c r="B30" s="33">
        <v>110.35</v>
      </c>
      <c r="C30" s="33">
        <v>24.77</v>
      </c>
      <c r="D30" s="33">
        <v>6.29</v>
      </c>
      <c r="E30" s="33">
        <v>-11.89</v>
      </c>
      <c r="F30" s="33">
        <v>7.49</v>
      </c>
      <c r="G30" s="33">
        <v>13.81</v>
      </c>
      <c r="H30" s="33">
        <v>23.1</v>
      </c>
      <c r="I30" s="33">
        <v>13.17</v>
      </c>
      <c r="J30" s="33">
        <v>8.26</v>
      </c>
    </row>
    <row r="31" spans="1:10" hidden="1" x14ac:dyDescent="0.2">
      <c r="A31" s="37">
        <v>44378</v>
      </c>
      <c r="B31" s="33">
        <v>11.84</v>
      </c>
      <c r="C31" s="33">
        <v>30.57</v>
      </c>
      <c r="D31" s="33">
        <v>4.62</v>
      </c>
      <c r="E31" s="33">
        <v>-17.440000000000001</v>
      </c>
      <c r="F31" s="33">
        <v>29.19</v>
      </c>
      <c r="G31" s="33">
        <v>11.54</v>
      </c>
      <c r="H31" s="33">
        <v>19.54</v>
      </c>
      <c r="I31" s="33">
        <v>10.55</v>
      </c>
      <c r="J31" s="33">
        <v>11.06</v>
      </c>
    </row>
    <row r="32" spans="1:10" hidden="1" x14ac:dyDescent="0.2">
      <c r="A32" s="37">
        <v>44409</v>
      </c>
      <c r="B32" s="33">
        <v>9.83</v>
      </c>
      <c r="C32" s="33">
        <v>23.57</v>
      </c>
      <c r="D32" s="33">
        <v>10.41</v>
      </c>
      <c r="E32" s="33">
        <v>40.98</v>
      </c>
      <c r="F32" s="33">
        <v>18.850000000000001</v>
      </c>
      <c r="G32" s="33">
        <v>12.97</v>
      </c>
      <c r="H32" s="33">
        <v>23.33</v>
      </c>
      <c r="I32" s="33">
        <v>11.12</v>
      </c>
      <c r="J32" s="33">
        <v>15.98</v>
      </c>
    </row>
    <row r="33" spans="1:10" hidden="1" x14ac:dyDescent="0.2">
      <c r="A33" s="37">
        <v>44440</v>
      </c>
      <c r="B33" s="33">
        <v>4.21</v>
      </c>
      <c r="C33" s="33">
        <v>25.79</v>
      </c>
      <c r="D33" s="33">
        <v>2.92</v>
      </c>
      <c r="E33" s="33">
        <v>51.44</v>
      </c>
      <c r="F33" s="33">
        <v>11.61</v>
      </c>
      <c r="G33" s="33">
        <v>4.3499999999999996</v>
      </c>
      <c r="H33" s="33">
        <v>8.56</v>
      </c>
      <c r="I33" s="33">
        <v>4.2699999999999996</v>
      </c>
      <c r="J33" s="33">
        <v>0.9</v>
      </c>
    </row>
    <row r="34" spans="1:10" hidden="1" x14ac:dyDescent="0.2">
      <c r="A34" s="37">
        <v>44470</v>
      </c>
      <c r="B34" s="33">
        <v>2.06</v>
      </c>
      <c r="C34" s="33">
        <v>33.17</v>
      </c>
      <c r="D34" s="33">
        <v>9.56</v>
      </c>
      <c r="E34" s="33">
        <v>58.16</v>
      </c>
      <c r="F34" s="33">
        <v>6.72</v>
      </c>
      <c r="G34" s="33">
        <v>4.17</v>
      </c>
      <c r="H34" s="33">
        <v>11.47</v>
      </c>
      <c r="I34" s="33">
        <v>3.33</v>
      </c>
      <c r="J34" s="33">
        <v>3.14</v>
      </c>
    </row>
    <row r="35" spans="1:10" hidden="1" x14ac:dyDescent="0.2">
      <c r="A35" s="37">
        <v>44501</v>
      </c>
      <c r="B35" s="33">
        <v>0.12</v>
      </c>
      <c r="C35" s="33">
        <v>33.49</v>
      </c>
      <c r="D35" s="33">
        <v>77.84</v>
      </c>
      <c r="E35" s="33">
        <v>42.14</v>
      </c>
      <c r="F35" s="33">
        <v>7.77</v>
      </c>
      <c r="G35" s="33">
        <v>1.03</v>
      </c>
      <c r="H35" s="33">
        <v>4.88</v>
      </c>
      <c r="I35" s="33">
        <v>0.31</v>
      </c>
      <c r="J35" s="33">
        <v>2.14</v>
      </c>
    </row>
    <row r="36" spans="1:10" hidden="1" x14ac:dyDescent="0.2">
      <c r="A36" s="37">
        <v>44531</v>
      </c>
      <c r="B36" s="33">
        <v>2.78</v>
      </c>
      <c r="C36" s="33">
        <v>38.72</v>
      </c>
      <c r="D36" s="33">
        <v>32.43</v>
      </c>
      <c r="E36" s="33">
        <v>4.3899999999999997</v>
      </c>
      <c r="F36" s="33">
        <v>19.04</v>
      </c>
      <c r="G36" s="33">
        <v>1.02</v>
      </c>
      <c r="H36" s="33">
        <v>2.64</v>
      </c>
      <c r="I36" s="33">
        <v>0.57999999999999996</v>
      </c>
      <c r="J36" s="33">
        <v>2.85</v>
      </c>
    </row>
    <row r="37" spans="1:10" hidden="1" x14ac:dyDescent="0.2">
      <c r="A37" s="37">
        <v>44562</v>
      </c>
      <c r="B37" s="33">
        <v>0.06</v>
      </c>
      <c r="C37" s="33">
        <v>40.770000000000003</v>
      </c>
      <c r="D37" s="33">
        <v>53.12</v>
      </c>
      <c r="E37" s="33">
        <v>3.8</v>
      </c>
      <c r="F37" s="33">
        <v>34.67</v>
      </c>
      <c r="G37" s="33">
        <v>1.98</v>
      </c>
      <c r="H37" s="33">
        <v>2.97</v>
      </c>
      <c r="I37" s="33">
        <v>1.9</v>
      </c>
      <c r="J37" s="33">
        <v>0.85</v>
      </c>
    </row>
    <row r="38" spans="1:10" hidden="1" x14ac:dyDescent="0.2">
      <c r="A38" s="37">
        <v>44593</v>
      </c>
      <c r="B38" s="33">
        <v>-1.79</v>
      </c>
      <c r="C38" s="33">
        <v>27.8</v>
      </c>
      <c r="D38" s="33">
        <v>95.79</v>
      </c>
      <c r="E38" s="33">
        <v>-1.35</v>
      </c>
      <c r="F38" s="33">
        <v>33.9</v>
      </c>
      <c r="G38" s="33">
        <v>1.1499999999999999</v>
      </c>
      <c r="H38" s="33">
        <v>4.58</v>
      </c>
      <c r="I38" s="33">
        <v>0.15</v>
      </c>
      <c r="J38" s="33">
        <v>4.4800000000000004</v>
      </c>
    </row>
    <row r="39" spans="1:10" hidden="1" x14ac:dyDescent="0.2">
      <c r="A39" s="37">
        <v>44621</v>
      </c>
      <c r="B39" s="33">
        <v>-2.2200000000000002</v>
      </c>
      <c r="C39" s="33">
        <v>31.99</v>
      </c>
      <c r="D39" s="33">
        <v>122.05</v>
      </c>
      <c r="E39" s="33">
        <v>41.11</v>
      </c>
      <c r="F39" s="33">
        <v>55.04</v>
      </c>
      <c r="G39" s="33">
        <v>2.2000000000000002</v>
      </c>
      <c r="H39" s="33">
        <v>3.88</v>
      </c>
      <c r="I39" s="33">
        <v>1.4</v>
      </c>
      <c r="J39" s="33">
        <v>6.11</v>
      </c>
    </row>
    <row r="40" spans="1:10" x14ac:dyDescent="0.2">
      <c r="A40" s="37">
        <v>44652</v>
      </c>
      <c r="B40" s="33">
        <v>-5.64</v>
      </c>
      <c r="C40" s="33">
        <v>30.44</v>
      </c>
      <c r="D40" s="33">
        <v>87.32</v>
      </c>
      <c r="E40" s="33">
        <v>176.77</v>
      </c>
      <c r="F40" s="33">
        <v>63.03</v>
      </c>
      <c r="G40" s="33">
        <v>6.66</v>
      </c>
      <c r="H40" s="33">
        <v>8.36</v>
      </c>
      <c r="I40" s="33">
        <v>5.62</v>
      </c>
      <c r="J40" s="33">
        <v>11.78</v>
      </c>
    </row>
    <row r="41" spans="1:10" x14ac:dyDescent="0.2">
      <c r="A41" s="37">
        <v>44682</v>
      </c>
      <c r="B41" s="33">
        <v>-5.05</v>
      </c>
      <c r="C41" s="33">
        <v>48.98</v>
      </c>
      <c r="D41" s="33">
        <v>133.82</v>
      </c>
      <c r="E41" s="33">
        <v>122.12</v>
      </c>
      <c r="F41" s="33">
        <v>98.67</v>
      </c>
      <c r="G41" s="33">
        <v>19.72</v>
      </c>
      <c r="H41" s="33">
        <v>11.17</v>
      </c>
      <c r="I41" s="33">
        <v>20.72</v>
      </c>
      <c r="J41" s="33">
        <v>23.47</v>
      </c>
    </row>
    <row r="42" spans="1:10" x14ac:dyDescent="0.2">
      <c r="A42" s="37">
        <v>44713</v>
      </c>
      <c r="B42" s="33">
        <v>-13.64</v>
      </c>
      <c r="C42" s="33">
        <v>20.97</v>
      </c>
      <c r="D42" s="33">
        <v>5.92</v>
      </c>
      <c r="E42" s="33">
        <v>87.54</v>
      </c>
      <c r="F42" s="33">
        <v>73.209999999999994</v>
      </c>
      <c r="G42" s="33">
        <v>12.62</v>
      </c>
      <c r="H42" s="33">
        <v>7.77</v>
      </c>
      <c r="I42" s="33">
        <v>12.87</v>
      </c>
      <c r="J42" s="33">
        <v>16.440000000000001</v>
      </c>
    </row>
    <row r="43" spans="1:10" x14ac:dyDescent="0.2">
      <c r="A43" s="37">
        <v>44743</v>
      </c>
      <c r="B43" s="33">
        <v>-22.04</v>
      </c>
      <c r="C43" s="33">
        <v>8.19</v>
      </c>
      <c r="D43" s="33">
        <v>-4.9000000000000004</v>
      </c>
      <c r="E43" s="33">
        <v>38.409999999999997</v>
      </c>
      <c r="F43" s="33">
        <v>34.11</v>
      </c>
      <c r="G43" s="33">
        <v>2.21</v>
      </c>
      <c r="H43" s="33">
        <v>-3.35</v>
      </c>
      <c r="I43" s="33">
        <v>3.05</v>
      </c>
      <c r="J43" s="33">
        <v>2.27</v>
      </c>
    </row>
    <row r="44" spans="1:10" x14ac:dyDescent="0.2">
      <c r="A44" s="37">
        <v>44774</v>
      </c>
      <c r="B44" s="33">
        <v>-27.3</v>
      </c>
      <c r="C44" s="33">
        <v>-3.24</v>
      </c>
      <c r="D44" s="33">
        <v>-0.86</v>
      </c>
      <c r="E44" s="33">
        <v>-29.7</v>
      </c>
      <c r="F44" s="33">
        <v>26.07</v>
      </c>
      <c r="G44" s="33">
        <v>-0.68</v>
      </c>
      <c r="H44" s="33">
        <v>-3.86</v>
      </c>
      <c r="I44" s="33">
        <v>-0.45</v>
      </c>
      <c r="J44" s="33">
        <v>1.38</v>
      </c>
    </row>
    <row r="45" spans="1:10" x14ac:dyDescent="0.2">
      <c r="A45" s="37">
        <v>44805</v>
      </c>
      <c r="B45" s="33">
        <v>-27.99</v>
      </c>
      <c r="C45" s="33">
        <v>-11.37</v>
      </c>
      <c r="D45" s="33">
        <v>6.94</v>
      </c>
      <c r="E45" s="33">
        <v>-30.59</v>
      </c>
      <c r="F45" s="33">
        <v>42.53</v>
      </c>
      <c r="G45" s="33">
        <v>3.32</v>
      </c>
      <c r="H45" s="33">
        <v>5.15</v>
      </c>
      <c r="I45" s="33">
        <v>2.0499999999999998</v>
      </c>
      <c r="J45" s="33">
        <v>11.61</v>
      </c>
    </row>
    <row r="46" spans="1:10" x14ac:dyDescent="0.2">
      <c r="A46" s="37">
        <v>44835</v>
      </c>
      <c r="B46" s="33">
        <v>-30.4</v>
      </c>
      <c r="C46" s="33">
        <v>-19.84</v>
      </c>
      <c r="D46" s="33">
        <v>-17.149999999999999</v>
      </c>
      <c r="E46" s="33">
        <v>-51.47</v>
      </c>
      <c r="F46" s="33">
        <v>9.25</v>
      </c>
      <c r="G46" s="33">
        <v>-4.07</v>
      </c>
      <c r="H46" s="33">
        <v>2.5499999999999998</v>
      </c>
      <c r="I46" s="33">
        <v>-5.79</v>
      </c>
      <c r="J46" s="33">
        <v>1.2</v>
      </c>
    </row>
    <row r="47" spans="1:10" x14ac:dyDescent="0.2">
      <c r="A47" s="37">
        <v>44866</v>
      </c>
      <c r="B47" s="33">
        <v>-15.37</v>
      </c>
      <c r="C47" s="33">
        <v>-3.16</v>
      </c>
      <c r="D47" s="33">
        <v>14.26</v>
      </c>
      <c r="E47" s="33">
        <v>-16.37</v>
      </c>
      <c r="F47" s="33">
        <v>-10.89</v>
      </c>
      <c r="G47" s="33">
        <v>7.58</v>
      </c>
      <c r="H47" s="33">
        <v>9.75</v>
      </c>
      <c r="I47" s="33">
        <v>6.67</v>
      </c>
      <c r="J47" s="33">
        <v>12.71</v>
      </c>
    </row>
    <row r="48" spans="1:10" x14ac:dyDescent="0.2">
      <c r="A48" s="37">
        <v>44896</v>
      </c>
      <c r="B48" s="33">
        <v>-12.54</v>
      </c>
      <c r="C48" s="33">
        <v>-5.07</v>
      </c>
      <c r="D48" s="33">
        <v>28.6</v>
      </c>
      <c r="E48" s="33">
        <v>-36.97</v>
      </c>
      <c r="F48" s="33">
        <v>-31.36</v>
      </c>
      <c r="G48" s="33">
        <v>5.12</v>
      </c>
      <c r="H48" s="33">
        <v>10.130000000000001</v>
      </c>
      <c r="I48" s="33">
        <v>3.65</v>
      </c>
      <c r="J48" s="33">
        <v>10.4</v>
      </c>
    </row>
    <row r="49" spans="1:10" x14ac:dyDescent="0.2">
      <c r="A49" s="37">
        <v>44927</v>
      </c>
      <c r="B49" s="33">
        <v>-10.58</v>
      </c>
      <c r="C49" s="33">
        <v>-14.09</v>
      </c>
      <c r="D49" s="33">
        <v>2.65</v>
      </c>
      <c r="E49" s="33">
        <v>-28.48</v>
      </c>
      <c r="F49" s="33">
        <v>-31.44</v>
      </c>
      <c r="G49" s="33">
        <v>5.81</v>
      </c>
      <c r="H49" s="33">
        <v>8.9700000000000006</v>
      </c>
      <c r="I49" s="33">
        <v>4.53</v>
      </c>
      <c r="J49" s="33">
        <v>12.68</v>
      </c>
    </row>
    <row r="50" spans="1:10" x14ac:dyDescent="0.2">
      <c r="A50" s="37">
        <v>44958</v>
      </c>
      <c r="B50" s="33">
        <v>-7.83</v>
      </c>
      <c r="C50" s="33">
        <v>-9.44</v>
      </c>
      <c r="D50" s="33">
        <v>10.57</v>
      </c>
      <c r="E50" s="33">
        <v>-18.02</v>
      </c>
      <c r="F50" s="33">
        <v>-35.93</v>
      </c>
      <c r="G50" s="33">
        <v>6.01</v>
      </c>
      <c r="H50" s="33">
        <v>4.79</v>
      </c>
      <c r="I50" s="33">
        <v>5.93</v>
      </c>
      <c r="J50" s="33">
        <v>8.2100000000000009</v>
      </c>
    </row>
    <row r="51" spans="1:10" x14ac:dyDescent="0.2">
      <c r="A51" s="37">
        <v>44986</v>
      </c>
      <c r="B51" s="33">
        <v>-4.75</v>
      </c>
      <c r="C51" s="33">
        <v>-18.72</v>
      </c>
      <c r="D51" s="33">
        <v>-29.09</v>
      </c>
      <c r="E51" s="33">
        <v>-36.33</v>
      </c>
      <c r="F51" s="33">
        <v>-39.03</v>
      </c>
      <c r="G51" s="33">
        <v>1.95</v>
      </c>
      <c r="H51" s="33">
        <v>6.79</v>
      </c>
      <c r="I51" s="33">
        <v>1.51</v>
      </c>
      <c r="J51" s="33">
        <v>-1.57</v>
      </c>
    </row>
    <row r="52" spans="1:10" x14ac:dyDescent="0.2">
      <c r="A52" s="37">
        <v>45017</v>
      </c>
      <c r="B52" s="33">
        <v>-0.6</v>
      </c>
      <c r="C52" s="33">
        <v>-17.93</v>
      </c>
      <c r="D52" s="33">
        <v>-27.72</v>
      </c>
      <c r="E52" s="33">
        <v>-40.9</v>
      </c>
      <c r="F52" s="33">
        <v>-43.6</v>
      </c>
      <c r="G52" s="33">
        <v>4.6100000000000003</v>
      </c>
      <c r="H52" s="33">
        <v>5.15</v>
      </c>
      <c r="I52" s="33">
        <v>5.47</v>
      </c>
      <c r="J52" s="33">
        <v>-1.1299999999999999</v>
      </c>
    </row>
    <row r="53" spans="1:10" x14ac:dyDescent="0.2">
      <c r="A53" s="37">
        <v>45047</v>
      </c>
      <c r="B53" s="33">
        <v>3.83</v>
      </c>
      <c r="C53" s="33">
        <v>-8.0399999999999991</v>
      </c>
      <c r="D53" s="33">
        <v>0.79</v>
      </c>
      <c r="E53" s="33">
        <v>-30.73</v>
      </c>
      <c r="F53" s="33">
        <v>-40.51</v>
      </c>
      <c r="G53" s="33">
        <v>5.66</v>
      </c>
      <c r="H53" s="33">
        <v>6.4</v>
      </c>
      <c r="I53" s="33">
        <v>6.32</v>
      </c>
      <c r="J53" s="33">
        <v>0.85</v>
      </c>
    </row>
    <row r="54" spans="1:10" x14ac:dyDescent="0.2">
      <c r="A54" s="37">
        <v>45078</v>
      </c>
      <c r="B54" s="33">
        <v>10.48</v>
      </c>
      <c r="C54" s="33">
        <v>-17.14</v>
      </c>
      <c r="D54" s="33">
        <v>52.7</v>
      </c>
      <c r="E54" s="33">
        <v>-26.94</v>
      </c>
      <c r="F54" s="33">
        <v>-41.75</v>
      </c>
      <c r="G54" s="33">
        <v>4.05</v>
      </c>
      <c r="H54" s="33">
        <v>7.56</v>
      </c>
      <c r="I54" s="33">
        <v>3.51</v>
      </c>
      <c r="J54" s="33">
        <v>4.22</v>
      </c>
    </row>
    <row r="55" spans="1:10" x14ac:dyDescent="0.2">
      <c r="A55" s="37">
        <v>45108</v>
      </c>
      <c r="B55" s="33">
        <v>17.22</v>
      </c>
      <c r="C55" s="33">
        <v>-22.11</v>
      </c>
      <c r="D55" s="33">
        <v>64.599999999999994</v>
      </c>
      <c r="E55" s="33">
        <v>-25.39</v>
      </c>
      <c r="F55" s="33">
        <v>-25.11</v>
      </c>
      <c r="G55" s="33">
        <v>6.18</v>
      </c>
      <c r="H55" s="33">
        <v>10.68</v>
      </c>
      <c r="I55" s="33">
        <v>5.26</v>
      </c>
      <c r="J55" s="33">
        <v>7.99</v>
      </c>
    </row>
    <row r="56" spans="1:10" x14ac:dyDescent="0.2">
      <c r="A56" s="37">
        <v>45139</v>
      </c>
      <c r="B56" s="33">
        <v>24.46</v>
      </c>
      <c r="C56" s="33">
        <v>-14.93</v>
      </c>
      <c r="D56" s="33">
        <v>45.53</v>
      </c>
      <c r="E56" s="33">
        <v>-25.1</v>
      </c>
      <c r="F56" s="33">
        <v>-9.52</v>
      </c>
      <c r="G56" s="33">
        <v>10.87</v>
      </c>
      <c r="H56" s="33">
        <v>12.35</v>
      </c>
      <c r="I56" s="33">
        <v>9.98</v>
      </c>
      <c r="J56" s="33">
        <v>15.26</v>
      </c>
    </row>
    <row r="57" spans="1:10" x14ac:dyDescent="0.2">
      <c r="A57" s="37">
        <v>45170</v>
      </c>
      <c r="B57" s="33">
        <v>26.19</v>
      </c>
      <c r="C57" s="33">
        <v>-18.649999999999999</v>
      </c>
      <c r="D57" s="33">
        <v>15.78</v>
      </c>
      <c r="E57" s="33">
        <v>-15.72</v>
      </c>
      <c r="F57" s="33">
        <v>-34.61</v>
      </c>
      <c r="G57" s="33">
        <v>6.35</v>
      </c>
      <c r="H57" s="33">
        <v>11.5</v>
      </c>
      <c r="I57" s="33">
        <v>5.13</v>
      </c>
      <c r="J57" s="33">
        <v>9.8699999999999992</v>
      </c>
    </row>
    <row r="58" spans="1:10" x14ac:dyDescent="0.2">
      <c r="A58" s="37">
        <v>45200</v>
      </c>
      <c r="B58" s="33">
        <v>27.9</v>
      </c>
      <c r="C58" s="33">
        <v>-11.01</v>
      </c>
      <c r="D58" s="33">
        <v>45.66</v>
      </c>
      <c r="E58" s="33">
        <v>2.1800000000000002</v>
      </c>
      <c r="F58" s="33">
        <v>-7.85</v>
      </c>
      <c r="G58" s="33">
        <v>11.89</v>
      </c>
      <c r="H58" s="33">
        <v>13.14</v>
      </c>
      <c r="I58" s="33">
        <v>10.58</v>
      </c>
      <c r="J58" s="33">
        <v>20.38</v>
      </c>
    </row>
    <row r="59" spans="1:10" x14ac:dyDescent="0.2">
      <c r="A59" s="37">
        <v>45231</v>
      </c>
      <c r="B59" s="33">
        <v>6.27</v>
      </c>
      <c r="C59" s="33">
        <v>-24.2</v>
      </c>
      <c r="D59" s="33">
        <v>45.48</v>
      </c>
      <c r="E59" s="33">
        <v>-22.45</v>
      </c>
      <c r="F59" s="33">
        <v>-2.06</v>
      </c>
      <c r="G59" s="33">
        <v>2.4700000000000002</v>
      </c>
      <c r="H59" s="33">
        <v>7.01</v>
      </c>
      <c r="I59" s="33">
        <v>1.31</v>
      </c>
      <c r="J59" s="33">
        <v>5.76</v>
      </c>
    </row>
    <row r="60" spans="1:10" x14ac:dyDescent="0.2">
      <c r="A60" s="37">
        <v>45261</v>
      </c>
      <c r="B60" s="33">
        <v>3.35</v>
      </c>
      <c r="C60" s="33">
        <v>-9.5399999999999991</v>
      </c>
      <c r="D60" s="33">
        <v>24.27</v>
      </c>
      <c r="E60" s="33">
        <v>-11.58</v>
      </c>
      <c r="F60" s="33">
        <v>3.85</v>
      </c>
      <c r="G60" s="33">
        <v>4.25</v>
      </c>
      <c r="H60" s="33">
        <v>5.2</v>
      </c>
      <c r="I60" s="33">
        <v>4.49</v>
      </c>
      <c r="J60" s="33">
        <v>1.23</v>
      </c>
    </row>
    <row r="61" spans="1:10" x14ac:dyDescent="0.2">
      <c r="A61" s="37">
        <v>45292</v>
      </c>
      <c r="B61" s="33">
        <v>2.64</v>
      </c>
      <c r="C61" s="33">
        <v>-8.93</v>
      </c>
      <c r="D61" s="33">
        <v>43.79</v>
      </c>
      <c r="E61" s="33">
        <v>7.03</v>
      </c>
      <c r="F61" s="33">
        <v>10.38</v>
      </c>
      <c r="G61" s="33">
        <v>4.1399999999999997</v>
      </c>
      <c r="H61" s="33">
        <v>5.88</v>
      </c>
      <c r="I61" s="33">
        <v>3.57</v>
      </c>
      <c r="J61" s="33">
        <v>5.63</v>
      </c>
    </row>
    <row r="62" spans="1:10" x14ac:dyDescent="0.2">
      <c r="A62" s="37">
        <v>45323</v>
      </c>
      <c r="B62" s="33">
        <v>3.25</v>
      </c>
      <c r="C62" s="33">
        <v>2.87</v>
      </c>
      <c r="D62" s="33">
        <v>28.2</v>
      </c>
      <c r="E62" s="33">
        <v>-12.22</v>
      </c>
      <c r="F62" s="33">
        <v>25.95</v>
      </c>
      <c r="G62" s="33">
        <v>5.67</v>
      </c>
      <c r="H62" s="33">
        <v>8.0500000000000007</v>
      </c>
      <c r="I62" s="33">
        <v>5.01</v>
      </c>
      <c r="J62" s="33">
        <v>7.53</v>
      </c>
    </row>
  </sheetData>
  <conditionalFormatting sqref="B40:J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B239-6E03-7942-9139-46B2D0C22F9F}">
  <dimension ref="A1:G65"/>
  <sheetViews>
    <sheetView topLeftCell="A58" workbookViewId="0">
      <selection activeCell="D76" sqref="D76"/>
    </sheetView>
  </sheetViews>
  <sheetFormatPr baseColWidth="10" defaultRowHeight="16" x14ac:dyDescent="0.2"/>
  <sheetData>
    <row r="1" spans="1:7" x14ac:dyDescent="0.2">
      <c r="A1" t="s">
        <v>1155</v>
      </c>
    </row>
    <row r="2" spans="1:7" x14ac:dyDescent="0.2">
      <c r="A2" t="s">
        <v>1156</v>
      </c>
    </row>
    <row r="3" spans="1:7" x14ac:dyDescent="0.2">
      <c r="A3" t="s">
        <v>289</v>
      </c>
      <c r="B3" t="s">
        <v>1157</v>
      </c>
      <c r="C3" t="s">
        <v>1157</v>
      </c>
      <c r="D3" t="s">
        <v>1157</v>
      </c>
      <c r="E3" t="s">
        <v>1158</v>
      </c>
      <c r="F3" t="s">
        <v>1158</v>
      </c>
      <c r="G3" t="s">
        <v>1158</v>
      </c>
    </row>
    <row r="4" spans="1:7" x14ac:dyDescent="0.2">
      <c r="A4" t="s">
        <v>1159</v>
      </c>
      <c r="B4" t="s">
        <v>1160</v>
      </c>
      <c r="C4" t="s">
        <v>1161</v>
      </c>
      <c r="D4" t="s">
        <v>1162</v>
      </c>
      <c r="E4" t="s">
        <v>1160</v>
      </c>
      <c r="F4" t="s">
        <v>1161</v>
      </c>
      <c r="G4" t="s">
        <v>1162</v>
      </c>
    </row>
    <row r="5" spans="1:7" x14ac:dyDescent="0.2">
      <c r="A5" s="11">
        <v>39873</v>
      </c>
      <c r="E5">
        <v>-3.7</v>
      </c>
      <c r="F5">
        <v>8.1</v>
      </c>
      <c r="G5">
        <v>-0.9</v>
      </c>
    </row>
    <row r="6" spans="1:7" x14ac:dyDescent="0.2">
      <c r="A6" s="11">
        <v>39965</v>
      </c>
      <c r="E6">
        <v>-3.7</v>
      </c>
      <c r="F6">
        <v>10</v>
      </c>
      <c r="G6">
        <v>1.1000000000000001</v>
      </c>
    </row>
    <row r="7" spans="1:7" x14ac:dyDescent="0.2">
      <c r="A7" s="11">
        <v>40057</v>
      </c>
      <c r="E7">
        <v>1.2</v>
      </c>
      <c r="F7">
        <v>9.8000000000000007</v>
      </c>
      <c r="G7">
        <v>2.4</v>
      </c>
    </row>
    <row r="8" spans="1:7" x14ac:dyDescent="0.2">
      <c r="A8" s="11">
        <v>40148</v>
      </c>
      <c r="E8">
        <v>2.8</v>
      </c>
      <c r="F8">
        <v>4.0999999999999996</v>
      </c>
      <c r="G8">
        <v>2.1</v>
      </c>
    </row>
    <row r="9" spans="1:7" x14ac:dyDescent="0.2">
      <c r="A9" s="11">
        <v>40238</v>
      </c>
      <c r="B9">
        <v>2</v>
      </c>
      <c r="C9">
        <v>35.9</v>
      </c>
      <c r="D9">
        <v>3.8</v>
      </c>
      <c r="E9">
        <v>2.6</v>
      </c>
      <c r="F9">
        <v>3.9</v>
      </c>
      <c r="G9">
        <v>0.3</v>
      </c>
    </row>
    <row r="10" spans="1:7" x14ac:dyDescent="0.2">
      <c r="A10" s="11">
        <v>40330</v>
      </c>
      <c r="B10">
        <v>3.9</v>
      </c>
      <c r="C10">
        <v>13.4</v>
      </c>
      <c r="D10">
        <v>3.3</v>
      </c>
      <c r="E10">
        <v>-2.5</v>
      </c>
      <c r="F10">
        <v>-5.6</v>
      </c>
      <c r="G10">
        <v>-1.7</v>
      </c>
    </row>
    <row r="11" spans="1:7" x14ac:dyDescent="0.2">
      <c r="A11" s="11">
        <v>40422</v>
      </c>
      <c r="B11">
        <v>3.4</v>
      </c>
      <c r="C11">
        <v>10.7</v>
      </c>
      <c r="D11">
        <v>4</v>
      </c>
      <c r="E11">
        <v>0.5</v>
      </c>
      <c r="F11">
        <v>8.4</v>
      </c>
      <c r="G11">
        <v>3.2</v>
      </c>
    </row>
    <row r="12" spans="1:7" x14ac:dyDescent="0.2">
      <c r="A12" s="11">
        <v>40513</v>
      </c>
      <c r="B12">
        <v>4</v>
      </c>
      <c r="C12">
        <v>17.7</v>
      </c>
      <c r="D12">
        <v>6.7</v>
      </c>
      <c r="E12">
        <v>3.4</v>
      </c>
      <c r="F12">
        <v>10.6</v>
      </c>
      <c r="G12">
        <v>4.8</v>
      </c>
    </row>
    <row r="13" spans="1:7" x14ac:dyDescent="0.2">
      <c r="A13" s="11">
        <v>40603</v>
      </c>
      <c r="B13">
        <v>6.5</v>
      </c>
      <c r="C13">
        <v>21.8</v>
      </c>
      <c r="D13">
        <v>7.9</v>
      </c>
      <c r="E13">
        <v>5</v>
      </c>
      <c r="F13">
        <v>7.6</v>
      </c>
      <c r="G13">
        <v>1.4</v>
      </c>
    </row>
    <row r="14" spans="1:7" x14ac:dyDescent="0.2">
      <c r="A14" s="11">
        <v>40695</v>
      </c>
      <c r="B14">
        <v>9.1999999999999993</v>
      </c>
      <c r="C14">
        <v>14</v>
      </c>
      <c r="D14">
        <v>7.7</v>
      </c>
      <c r="E14">
        <v>0</v>
      </c>
      <c r="F14">
        <v>-11.7</v>
      </c>
      <c r="G14">
        <v>-1.9</v>
      </c>
    </row>
    <row r="15" spans="1:7" x14ac:dyDescent="0.2">
      <c r="A15" s="11">
        <v>40787</v>
      </c>
      <c r="B15">
        <v>7.8</v>
      </c>
      <c r="C15">
        <v>12.9</v>
      </c>
      <c r="D15">
        <v>2.5</v>
      </c>
      <c r="E15">
        <v>-0.8</v>
      </c>
      <c r="F15">
        <v>7.4</v>
      </c>
      <c r="G15">
        <v>-1.7</v>
      </c>
    </row>
    <row r="16" spans="1:7" x14ac:dyDescent="0.2">
      <c r="A16" s="11">
        <v>40878</v>
      </c>
      <c r="B16">
        <v>6.3</v>
      </c>
      <c r="C16">
        <v>9.6</v>
      </c>
      <c r="D16">
        <v>3.7</v>
      </c>
      <c r="E16">
        <v>-1.1000000000000001</v>
      </c>
      <c r="F16">
        <v>5</v>
      </c>
      <c r="G16">
        <v>2.4</v>
      </c>
    </row>
    <row r="17" spans="1:7" x14ac:dyDescent="0.2">
      <c r="A17" s="11">
        <v>40969</v>
      </c>
      <c r="B17">
        <v>3.1</v>
      </c>
      <c r="C17">
        <v>7.3</v>
      </c>
      <c r="D17">
        <v>0.7</v>
      </c>
      <c r="E17">
        <v>3.6</v>
      </c>
      <c r="F17">
        <v>6.7</v>
      </c>
      <c r="G17">
        <v>-1.5</v>
      </c>
    </row>
    <row r="18" spans="1:7" x14ac:dyDescent="0.2">
      <c r="A18" s="11">
        <v>41061</v>
      </c>
      <c r="B18">
        <v>7.4</v>
      </c>
      <c r="C18">
        <v>22.1</v>
      </c>
      <c r="D18">
        <v>10.3</v>
      </c>
      <c r="E18">
        <v>-0.3</v>
      </c>
      <c r="F18">
        <v>-0.2</v>
      </c>
      <c r="G18">
        <v>4.4000000000000004</v>
      </c>
    </row>
    <row r="19" spans="1:7" x14ac:dyDescent="0.2">
      <c r="A19" s="11">
        <v>41153</v>
      </c>
      <c r="B19">
        <v>12.3</v>
      </c>
      <c r="C19">
        <v>5.6</v>
      </c>
      <c r="D19">
        <v>11</v>
      </c>
      <c r="E19">
        <v>3.8</v>
      </c>
      <c r="F19">
        <v>-4</v>
      </c>
      <c r="G19">
        <v>-0.7</v>
      </c>
    </row>
    <row r="20" spans="1:7" x14ac:dyDescent="0.2">
      <c r="A20" s="11">
        <v>41244</v>
      </c>
      <c r="B20">
        <v>11.7</v>
      </c>
      <c r="C20">
        <v>-4.9000000000000004</v>
      </c>
      <c r="D20">
        <v>3.1</v>
      </c>
      <c r="E20">
        <v>-0.5</v>
      </c>
      <c r="F20">
        <v>1.6</v>
      </c>
      <c r="G20">
        <v>-1.2</v>
      </c>
    </row>
    <row r="21" spans="1:7" x14ac:dyDescent="0.2">
      <c r="A21" s="11">
        <v>41334</v>
      </c>
      <c r="B21">
        <v>2.6</v>
      </c>
      <c r="C21">
        <v>-6.7</v>
      </c>
      <c r="D21">
        <v>-7.6</v>
      </c>
      <c r="E21">
        <v>-4.7</v>
      </c>
      <c r="F21">
        <v>3.5</v>
      </c>
      <c r="G21">
        <v>-9.1</v>
      </c>
    </row>
    <row r="22" spans="1:7" x14ac:dyDescent="0.2">
      <c r="A22" s="11">
        <v>41426</v>
      </c>
      <c r="B22">
        <v>-4.4000000000000004</v>
      </c>
      <c r="C22">
        <v>-3.8</v>
      </c>
      <c r="D22">
        <v>-7.1</v>
      </c>
      <c r="E22">
        <v>-7.5</v>
      </c>
      <c r="F22">
        <v>-3.8</v>
      </c>
      <c r="G22">
        <v>0.5</v>
      </c>
    </row>
    <row r="23" spans="1:7" x14ac:dyDescent="0.2">
      <c r="A23" s="11">
        <v>41518</v>
      </c>
      <c r="B23">
        <v>-6.3</v>
      </c>
      <c r="C23">
        <v>9.5</v>
      </c>
      <c r="D23">
        <v>-3</v>
      </c>
      <c r="E23">
        <v>1.5</v>
      </c>
      <c r="F23">
        <v>6.8</v>
      </c>
      <c r="G23">
        <v>1.5</v>
      </c>
    </row>
    <row r="24" spans="1:7" x14ac:dyDescent="0.2">
      <c r="A24" s="11">
        <v>41609</v>
      </c>
      <c r="B24">
        <v>-4.4000000000000004</v>
      </c>
      <c r="C24">
        <v>12.1</v>
      </c>
      <c r="D24">
        <v>-2.5</v>
      </c>
      <c r="E24">
        <v>1.5</v>
      </c>
      <c r="F24">
        <v>7.5</v>
      </c>
      <c r="G24">
        <v>2.6</v>
      </c>
    </row>
    <row r="25" spans="1:7" x14ac:dyDescent="0.2">
      <c r="A25" s="11">
        <v>41699</v>
      </c>
      <c r="B25">
        <v>-2.1</v>
      </c>
      <c r="C25">
        <v>9.8000000000000007</v>
      </c>
      <c r="D25">
        <v>5.6</v>
      </c>
      <c r="E25">
        <v>3</v>
      </c>
      <c r="F25">
        <v>-1</v>
      </c>
      <c r="G25">
        <v>-0.2</v>
      </c>
    </row>
    <row r="26" spans="1:7" x14ac:dyDescent="0.2">
      <c r="A26" s="11">
        <v>41791</v>
      </c>
      <c r="B26">
        <v>3.5</v>
      </c>
      <c r="C26">
        <v>10.199999999999999</v>
      </c>
      <c r="D26">
        <v>5.2</v>
      </c>
      <c r="E26">
        <v>-3.6</v>
      </c>
      <c r="F26">
        <v>-1.5</v>
      </c>
      <c r="G26">
        <v>1.1000000000000001</v>
      </c>
    </row>
    <row r="27" spans="1:7" x14ac:dyDescent="0.2">
      <c r="A27" s="11">
        <v>41883</v>
      </c>
      <c r="B27">
        <v>6.1</v>
      </c>
      <c r="C27">
        <v>12.6</v>
      </c>
      <c r="D27">
        <v>6.5</v>
      </c>
      <c r="E27">
        <v>3.7</v>
      </c>
      <c r="F27">
        <v>6.5</v>
      </c>
      <c r="G27">
        <v>2</v>
      </c>
    </row>
    <row r="28" spans="1:7" x14ac:dyDescent="0.2">
      <c r="A28" s="11">
        <v>41974</v>
      </c>
      <c r="B28">
        <v>7.8</v>
      </c>
      <c r="C28">
        <v>-8.9</v>
      </c>
      <c r="D28">
        <v>-0.7</v>
      </c>
      <c r="E28">
        <v>2.1</v>
      </c>
      <c r="F28">
        <v>-9.1</v>
      </c>
      <c r="G28">
        <v>-2.4</v>
      </c>
    </row>
    <row r="29" spans="1:7" x14ac:dyDescent="0.2">
      <c r="A29" s="11">
        <v>42064</v>
      </c>
      <c r="B29">
        <v>6.5</v>
      </c>
      <c r="C29">
        <v>1.2</v>
      </c>
      <c r="D29">
        <v>1.3</v>
      </c>
      <c r="E29">
        <v>-2.5</v>
      </c>
      <c r="F29">
        <v>8.4</v>
      </c>
      <c r="G29">
        <v>-4.0999999999999996</v>
      </c>
    </row>
    <row r="30" spans="1:7" x14ac:dyDescent="0.2">
      <c r="A30" s="11">
        <v>42156</v>
      </c>
      <c r="B30">
        <v>4.4000000000000004</v>
      </c>
      <c r="C30">
        <v>-1.3</v>
      </c>
      <c r="D30">
        <v>-0.9</v>
      </c>
      <c r="E30">
        <v>-3</v>
      </c>
      <c r="F30">
        <v>-6.6</v>
      </c>
      <c r="G30">
        <v>0.7</v>
      </c>
    </row>
    <row r="31" spans="1:7" x14ac:dyDescent="0.2">
      <c r="A31" s="11">
        <v>42248</v>
      </c>
      <c r="B31">
        <v>-0.5</v>
      </c>
      <c r="C31">
        <v>-3.3</v>
      </c>
      <c r="D31">
        <v>-3.1</v>
      </c>
      <c r="E31">
        <v>-0.3</v>
      </c>
      <c r="F31">
        <v>1.1000000000000001</v>
      </c>
      <c r="G31">
        <v>1.9</v>
      </c>
    </row>
    <row r="32" spans="1:7" x14ac:dyDescent="0.2">
      <c r="A32" s="11">
        <v>42339</v>
      </c>
      <c r="B32">
        <v>4.9000000000000004</v>
      </c>
      <c r="C32">
        <v>5.6</v>
      </c>
      <c r="D32">
        <v>7.7</v>
      </c>
      <c r="E32">
        <v>7.9</v>
      </c>
      <c r="F32">
        <v>-1.3</v>
      </c>
      <c r="G32">
        <v>-0.2</v>
      </c>
    </row>
    <row r="33" spans="1:7" x14ac:dyDescent="0.2">
      <c r="A33" s="11">
        <v>42430</v>
      </c>
      <c r="B33">
        <v>0.3</v>
      </c>
      <c r="C33">
        <v>4.9000000000000004</v>
      </c>
      <c r="D33">
        <v>2</v>
      </c>
      <c r="E33">
        <v>-2.5</v>
      </c>
      <c r="F33">
        <v>4.7</v>
      </c>
      <c r="G33">
        <v>-8.1999999999999993</v>
      </c>
    </row>
    <row r="34" spans="1:7" x14ac:dyDescent="0.2">
      <c r="A34" s="11">
        <v>42522</v>
      </c>
      <c r="B34">
        <v>2.9</v>
      </c>
      <c r="C34">
        <v>-2.9</v>
      </c>
      <c r="D34">
        <v>-3.3</v>
      </c>
      <c r="E34">
        <v>-6</v>
      </c>
      <c r="F34">
        <v>-10</v>
      </c>
      <c r="G34">
        <v>-1.9</v>
      </c>
    </row>
    <row r="35" spans="1:7" x14ac:dyDescent="0.2">
      <c r="A35" s="11">
        <v>42614</v>
      </c>
      <c r="B35">
        <v>-11.3</v>
      </c>
      <c r="C35">
        <v>1</v>
      </c>
      <c r="D35">
        <v>-4.7</v>
      </c>
      <c r="E35">
        <v>2.9</v>
      </c>
      <c r="F35">
        <v>-2.9</v>
      </c>
      <c r="G35">
        <v>-2.9</v>
      </c>
    </row>
    <row r="36" spans="1:7" x14ac:dyDescent="0.2">
      <c r="A36" s="11">
        <v>42705</v>
      </c>
      <c r="B36">
        <v>-14</v>
      </c>
      <c r="C36">
        <v>-4.7</v>
      </c>
      <c r="D36">
        <v>-21.6</v>
      </c>
      <c r="E36">
        <v>-3</v>
      </c>
      <c r="F36">
        <v>6</v>
      </c>
      <c r="G36">
        <v>-3</v>
      </c>
    </row>
    <row r="37" spans="1:7" x14ac:dyDescent="0.2">
      <c r="A37" s="11">
        <v>42795</v>
      </c>
      <c r="B37">
        <v>-20.7</v>
      </c>
      <c r="C37">
        <v>30.2</v>
      </c>
      <c r="D37">
        <v>-16</v>
      </c>
      <c r="E37">
        <v>-2.1</v>
      </c>
      <c r="F37">
        <v>17.2</v>
      </c>
      <c r="G37">
        <v>-12.5</v>
      </c>
    </row>
    <row r="38" spans="1:7" x14ac:dyDescent="0.2">
      <c r="A38" s="11">
        <v>42887</v>
      </c>
      <c r="B38">
        <v>-16.7</v>
      </c>
      <c r="C38">
        <v>15.6</v>
      </c>
      <c r="D38">
        <v>-11.3</v>
      </c>
      <c r="E38">
        <v>-16.2</v>
      </c>
      <c r="F38">
        <v>6.4</v>
      </c>
      <c r="G38">
        <v>13.5</v>
      </c>
    </row>
    <row r="39" spans="1:7" x14ac:dyDescent="0.2">
      <c r="A39" s="11">
        <v>42979</v>
      </c>
      <c r="B39">
        <v>-10.6</v>
      </c>
      <c r="C39">
        <v>45.8</v>
      </c>
      <c r="D39">
        <v>18.8</v>
      </c>
      <c r="E39">
        <v>12.5</v>
      </c>
      <c r="F39">
        <v>20.100000000000001</v>
      </c>
      <c r="G39">
        <v>28.9</v>
      </c>
    </row>
    <row r="40" spans="1:7" x14ac:dyDescent="0.2">
      <c r="A40" s="11">
        <v>43070</v>
      </c>
      <c r="B40">
        <v>18.5</v>
      </c>
      <c r="C40">
        <v>76.5</v>
      </c>
      <c r="D40">
        <v>73.3</v>
      </c>
      <c r="E40">
        <v>32.5</v>
      </c>
      <c r="F40">
        <v>18.899999999999999</v>
      </c>
      <c r="G40">
        <v>43.9</v>
      </c>
    </row>
    <row r="41" spans="1:7" x14ac:dyDescent="0.2">
      <c r="A41" s="11">
        <v>43160</v>
      </c>
      <c r="B41">
        <v>62.6</v>
      </c>
      <c r="C41">
        <v>12.7</v>
      </c>
      <c r="D41">
        <v>74.7</v>
      </c>
      <c r="E41">
        <v>42.7</v>
      </c>
      <c r="F41">
        <v>-29.8</v>
      </c>
      <c r="G41">
        <v>-11.8</v>
      </c>
    </row>
    <row r="42" spans="1:7" x14ac:dyDescent="0.2">
      <c r="A42" s="11">
        <v>43252</v>
      </c>
      <c r="B42">
        <v>68.05</v>
      </c>
      <c r="C42">
        <v>43.57</v>
      </c>
      <c r="D42">
        <v>79.459999999999994</v>
      </c>
      <c r="E42">
        <v>-6.62</v>
      </c>
      <c r="F42">
        <v>31.03</v>
      </c>
      <c r="G42">
        <v>20.440000000000001</v>
      </c>
    </row>
    <row r="43" spans="1:7" x14ac:dyDescent="0.2">
      <c r="A43" s="11">
        <v>43344</v>
      </c>
      <c r="B43">
        <v>34.78</v>
      </c>
      <c r="C43">
        <v>13.07</v>
      </c>
      <c r="D43">
        <v>13.56</v>
      </c>
      <c r="E43">
        <v>-3.46</v>
      </c>
      <c r="F43">
        <v>18.18</v>
      </c>
      <c r="G43">
        <v>10.43</v>
      </c>
    </row>
    <row r="44" spans="1:7" x14ac:dyDescent="0.2">
      <c r="A44" s="11">
        <v>43435</v>
      </c>
      <c r="B44">
        <v>13.2</v>
      </c>
      <c r="C44">
        <v>0.5</v>
      </c>
      <c r="D44">
        <v>3.8</v>
      </c>
      <c r="E44">
        <v>8.8000000000000007</v>
      </c>
      <c r="F44">
        <v>-7.8</v>
      </c>
      <c r="G44">
        <v>-1</v>
      </c>
    </row>
    <row r="45" spans="1:7" x14ac:dyDescent="0.2">
      <c r="A45" s="11">
        <v>43525</v>
      </c>
      <c r="B45">
        <v>0.7</v>
      </c>
      <c r="C45">
        <v>1</v>
      </c>
      <c r="D45">
        <v>3.8</v>
      </c>
      <c r="E45">
        <v>-0.1</v>
      </c>
      <c r="F45">
        <v>7.7</v>
      </c>
      <c r="G45">
        <v>1.2</v>
      </c>
    </row>
    <row r="46" spans="1:7" x14ac:dyDescent="0.2">
      <c r="A46" s="11">
        <v>43617</v>
      </c>
      <c r="B46">
        <v>0.55000000000000004</v>
      </c>
      <c r="C46">
        <v>7.45</v>
      </c>
      <c r="D46">
        <v>9.08</v>
      </c>
      <c r="E46">
        <v>0.46</v>
      </c>
      <c r="F46">
        <v>-5.98</v>
      </c>
      <c r="G46">
        <v>2.62</v>
      </c>
    </row>
    <row r="47" spans="1:7" x14ac:dyDescent="0.2">
      <c r="A47" s="11">
        <v>43709</v>
      </c>
      <c r="B47">
        <v>11.9</v>
      </c>
      <c r="C47">
        <v>-14.7</v>
      </c>
      <c r="D47">
        <v>3.6</v>
      </c>
      <c r="E47">
        <v>7.8</v>
      </c>
      <c r="F47">
        <v>-15.1</v>
      </c>
      <c r="G47">
        <v>-2.2999999999999998</v>
      </c>
    </row>
    <row r="48" spans="1:7" x14ac:dyDescent="0.2">
      <c r="A48" s="11">
        <v>43800</v>
      </c>
      <c r="B48">
        <v>7.98</v>
      </c>
      <c r="C48">
        <v>-30.03</v>
      </c>
      <c r="D48">
        <v>11.76</v>
      </c>
      <c r="E48">
        <v>4.38</v>
      </c>
      <c r="F48">
        <v>6</v>
      </c>
      <c r="G48">
        <v>3.81</v>
      </c>
    </row>
    <row r="49" spans="1:7" x14ac:dyDescent="0.2">
      <c r="A49" s="11">
        <v>43891</v>
      </c>
      <c r="B49">
        <v>4.5</v>
      </c>
      <c r="C49">
        <v>-16.78</v>
      </c>
      <c r="D49">
        <v>-1.77</v>
      </c>
      <c r="E49">
        <v>-1.65</v>
      </c>
      <c r="F49">
        <v>-0.91</v>
      </c>
      <c r="G49">
        <v>-2.83</v>
      </c>
    </row>
    <row r="50" spans="1:7" x14ac:dyDescent="0.2">
      <c r="A50" s="11">
        <v>43983</v>
      </c>
      <c r="B50">
        <v>1.34</v>
      </c>
      <c r="C50">
        <v>-48.47</v>
      </c>
      <c r="D50">
        <v>4.97</v>
      </c>
      <c r="E50">
        <v>-0.78</v>
      </c>
      <c r="F50">
        <v>-41.1</v>
      </c>
      <c r="G50">
        <v>5.37</v>
      </c>
    </row>
    <row r="51" spans="1:7" x14ac:dyDescent="0.2">
      <c r="A51" s="11">
        <v>44075</v>
      </c>
      <c r="B51">
        <v>6</v>
      </c>
      <c r="C51">
        <v>10.41</v>
      </c>
      <c r="D51">
        <v>8.59</v>
      </c>
      <c r="E51">
        <v>0.5</v>
      </c>
      <c r="F51">
        <v>108.59</v>
      </c>
      <c r="G51">
        <v>5.2</v>
      </c>
    </row>
    <row r="52" spans="1:7" x14ac:dyDescent="0.2">
      <c r="A52" s="11">
        <v>44166</v>
      </c>
      <c r="B52">
        <v>-13.79</v>
      </c>
      <c r="C52">
        <v>22.08</v>
      </c>
      <c r="D52">
        <v>-7.69</v>
      </c>
      <c r="E52">
        <v>0.32</v>
      </c>
      <c r="F52">
        <v>15.37</v>
      </c>
      <c r="G52">
        <v>7.18</v>
      </c>
    </row>
    <row r="53" spans="1:7" x14ac:dyDescent="0.2">
      <c r="A53" s="11">
        <v>44256</v>
      </c>
      <c r="B53">
        <v>7.25</v>
      </c>
      <c r="C53">
        <v>32.9</v>
      </c>
      <c r="D53">
        <v>2.31</v>
      </c>
      <c r="E53">
        <v>7.58</v>
      </c>
      <c r="F53">
        <v>2.2799999999999998</v>
      </c>
      <c r="G53">
        <v>-1.77</v>
      </c>
    </row>
    <row r="54" spans="1:7" x14ac:dyDescent="0.2">
      <c r="A54" s="11">
        <v>44348</v>
      </c>
      <c r="B54">
        <v>11.82</v>
      </c>
      <c r="C54">
        <v>105.73</v>
      </c>
      <c r="D54">
        <v>17.329999999999998</v>
      </c>
      <c r="E54">
        <v>-0.45</v>
      </c>
      <c r="F54">
        <v>-19.010000000000002</v>
      </c>
      <c r="G54">
        <v>5.28</v>
      </c>
    </row>
    <row r="55" spans="1:7" x14ac:dyDescent="0.2">
      <c r="A55" s="11">
        <v>44440</v>
      </c>
      <c r="B55">
        <v>10.17</v>
      </c>
      <c r="C55">
        <v>16.95</v>
      </c>
      <c r="D55">
        <v>15.06</v>
      </c>
      <c r="E55">
        <v>10.84</v>
      </c>
      <c r="F55">
        <v>2.0699999999999998</v>
      </c>
      <c r="G55">
        <v>3.87</v>
      </c>
    </row>
    <row r="56" spans="1:7" x14ac:dyDescent="0.2">
      <c r="A56" s="11">
        <v>44531</v>
      </c>
      <c r="B56">
        <v>19.46</v>
      </c>
      <c r="C56">
        <v>20.95</v>
      </c>
      <c r="D56">
        <v>20.5</v>
      </c>
      <c r="E56">
        <v>3.52</v>
      </c>
      <c r="F56">
        <v>10.48</v>
      </c>
      <c r="G56">
        <v>7.81</v>
      </c>
    </row>
    <row r="57" spans="1:7" x14ac:dyDescent="0.2">
      <c r="A57" s="11">
        <v>44621</v>
      </c>
      <c r="B57">
        <v>14.2</v>
      </c>
      <c r="C57">
        <v>28.4</v>
      </c>
      <c r="D57">
        <v>25.1</v>
      </c>
      <c r="E57">
        <v>4.7</v>
      </c>
      <c r="F57">
        <v>5.6</v>
      </c>
      <c r="G57">
        <v>4.5999999999999996</v>
      </c>
    </row>
    <row r="58" spans="1:7" x14ac:dyDescent="0.2">
      <c r="A58" s="11">
        <v>44713</v>
      </c>
      <c r="B58">
        <v>15.21</v>
      </c>
      <c r="C58">
        <v>38.68</v>
      </c>
      <c r="D58">
        <v>10.3</v>
      </c>
      <c r="E58">
        <v>0.33</v>
      </c>
      <c r="F58">
        <v>3.37</v>
      </c>
      <c r="G58">
        <v>4.2</v>
      </c>
    </row>
    <row r="59" spans="1:7" x14ac:dyDescent="0.2">
      <c r="A59" s="11">
        <v>44805</v>
      </c>
      <c r="B59">
        <v>11.39</v>
      </c>
      <c r="C59">
        <v>25.92</v>
      </c>
      <c r="D59">
        <v>20.059999999999999</v>
      </c>
      <c r="E59">
        <v>4.57</v>
      </c>
      <c r="F59">
        <v>-7.0000000000000007E-2</v>
      </c>
      <c r="G59">
        <v>10.77</v>
      </c>
    </row>
    <row r="60" spans="1:7" x14ac:dyDescent="0.2">
      <c r="A60" s="11">
        <v>44896</v>
      </c>
      <c r="B60">
        <v>14.7</v>
      </c>
      <c r="C60">
        <v>8.4</v>
      </c>
      <c r="D60">
        <v>18.399999999999999</v>
      </c>
      <c r="E60">
        <v>1.8</v>
      </c>
      <c r="F60">
        <v>0.5</v>
      </c>
      <c r="G60">
        <v>3.9</v>
      </c>
    </row>
    <row r="61" spans="1:7" x14ac:dyDescent="0.2">
      <c r="A61" s="11">
        <v>44986</v>
      </c>
      <c r="B61">
        <v>15.76</v>
      </c>
      <c r="C61">
        <v>6</v>
      </c>
      <c r="D61">
        <v>15.33</v>
      </c>
      <c r="E61">
        <v>3.95</v>
      </c>
      <c r="F61">
        <v>7.39</v>
      </c>
      <c r="G61">
        <v>2.92</v>
      </c>
    </row>
    <row r="62" spans="1:7" x14ac:dyDescent="0.2">
      <c r="A62" s="11">
        <v>45078</v>
      </c>
      <c r="B62">
        <v>22.7</v>
      </c>
      <c r="C62">
        <v>1.46</v>
      </c>
      <c r="D62">
        <v>9.33</v>
      </c>
      <c r="E62">
        <v>-5.25</v>
      </c>
      <c r="F62">
        <v>-1.28</v>
      </c>
      <c r="G62">
        <v>-4.54</v>
      </c>
    </row>
    <row r="63" spans="1:7" x14ac:dyDescent="0.2">
      <c r="A63" s="11">
        <v>45170</v>
      </c>
      <c r="B63">
        <v>24.12</v>
      </c>
      <c r="C63">
        <v>7.28</v>
      </c>
      <c r="D63">
        <v>15.72</v>
      </c>
      <c r="E63">
        <v>3.08</v>
      </c>
      <c r="F63">
        <v>3.5</v>
      </c>
      <c r="G63">
        <v>5.59</v>
      </c>
    </row>
    <row r="64" spans="1:7" x14ac:dyDescent="0.2">
      <c r="A64" s="11">
        <v>45261</v>
      </c>
      <c r="B64">
        <v>13.75</v>
      </c>
      <c r="C64">
        <v>10.08</v>
      </c>
      <c r="D64">
        <v>19.010000000000002</v>
      </c>
      <c r="E64">
        <v>4.68</v>
      </c>
      <c r="F64">
        <v>-0.43</v>
      </c>
      <c r="G64">
        <v>4.0999999999999996</v>
      </c>
    </row>
    <row r="65" spans="1:1" x14ac:dyDescent="0.2">
      <c r="A65" t="s">
        <v>1163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45D-D6A5-7946-A9CC-4E34193223A6}">
  <dimension ref="A1:G67"/>
  <sheetViews>
    <sheetView topLeftCell="A48" workbookViewId="0">
      <selection activeCell="D3" sqref="D3"/>
    </sheetView>
  </sheetViews>
  <sheetFormatPr baseColWidth="10" defaultRowHeight="16" x14ac:dyDescent="0.2"/>
  <cols>
    <col min="2" max="2" width="30.5" bestFit="1" customWidth="1"/>
    <col min="5" max="5" width="31.1640625" bestFit="1" customWidth="1"/>
    <col min="6" max="6" width="33.33203125" bestFit="1" customWidth="1"/>
    <col min="7" max="7" width="30" bestFit="1" customWidth="1"/>
  </cols>
  <sheetData>
    <row r="1" spans="1:7" x14ac:dyDescent="0.2">
      <c r="A1" t="s">
        <v>378</v>
      </c>
    </row>
    <row r="2" spans="1:7" x14ac:dyDescent="0.2">
      <c r="A2" t="s">
        <v>379</v>
      </c>
    </row>
    <row r="3" spans="1:7" x14ac:dyDescent="0.2">
      <c r="A3" t="s">
        <v>289</v>
      </c>
      <c r="B3" t="s">
        <v>380</v>
      </c>
      <c r="C3" t="s">
        <v>381</v>
      </c>
      <c r="D3" t="s">
        <v>382</v>
      </c>
      <c r="E3" t="s">
        <v>383</v>
      </c>
      <c r="F3" t="s">
        <v>384</v>
      </c>
      <c r="G3" t="s">
        <v>385</v>
      </c>
    </row>
    <row r="4" spans="1:7" x14ac:dyDescent="0.2">
      <c r="A4" t="s">
        <v>55</v>
      </c>
      <c r="B4" t="s">
        <v>386</v>
      </c>
      <c r="C4" t="s">
        <v>387</v>
      </c>
      <c r="D4" t="s">
        <v>387</v>
      </c>
      <c r="E4" t="s">
        <v>387</v>
      </c>
      <c r="F4" t="s">
        <v>387</v>
      </c>
      <c r="G4" t="s">
        <v>387</v>
      </c>
    </row>
    <row r="5" spans="1:7" x14ac:dyDescent="0.2">
      <c r="A5" s="11">
        <v>39600</v>
      </c>
      <c r="B5" s="14">
        <v>1232</v>
      </c>
      <c r="C5" s="7">
        <v>2477</v>
      </c>
      <c r="D5" s="7">
        <v>1416</v>
      </c>
      <c r="E5">
        <v>489</v>
      </c>
      <c r="F5">
        <v>199</v>
      </c>
      <c r="G5">
        <v>728</v>
      </c>
    </row>
    <row r="6" spans="1:7" x14ac:dyDescent="0.2">
      <c r="A6" s="11">
        <v>39692</v>
      </c>
      <c r="B6" s="14">
        <v>1386</v>
      </c>
      <c r="C6" s="7">
        <v>2670</v>
      </c>
      <c r="D6" s="7">
        <v>1560</v>
      </c>
      <c r="E6">
        <v>560</v>
      </c>
      <c r="F6">
        <v>210</v>
      </c>
      <c r="G6">
        <v>790</v>
      </c>
    </row>
    <row r="7" spans="1:7" x14ac:dyDescent="0.2">
      <c r="A7" s="11">
        <v>39783</v>
      </c>
      <c r="B7">
        <v>933</v>
      </c>
      <c r="C7" s="7">
        <v>2350</v>
      </c>
      <c r="D7" s="7">
        <v>1250</v>
      </c>
      <c r="E7">
        <v>420</v>
      </c>
      <c r="F7">
        <v>170</v>
      </c>
      <c r="G7">
        <v>650</v>
      </c>
    </row>
    <row r="8" spans="1:7" x14ac:dyDescent="0.2">
      <c r="A8" s="11">
        <v>39873</v>
      </c>
      <c r="B8">
        <v>894</v>
      </c>
      <c r="C8" s="7">
        <v>2630</v>
      </c>
      <c r="D8" s="7">
        <v>1290</v>
      </c>
      <c r="E8">
        <v>460</v>
      </c>
      <c r="F8">
        <v>180</v>
      </c>
      <c r="G8">
        <v>650</v>
      </c>
    </row>
    <row r="9" spans="1:7" x14ac:dyDescent="0.2">
      <c r="A9" s="11">
        <v>39965</v>
      </c>
      <c r="B9">
        <v>906</v>
      </c>
      <c r="C9" s="7">
        <v>2450</v>
      </c>
      <c r="D9" s="7">
        <v>1360</v>
      </c>
      <c r="E9">
        <v>460</v>
      </c>
      <c r="F9">
        <v>210</v>
      </c>
      <c r="G9">
        <v>690</v>
      </c>
    </row>
    <row r="10" spans="1:7" x14ac:dyDescent="0.2">
      <c r="A10" s="11">
        <v>40057</v>
      </c>
      <c r="B10">
        <v>891</v>
      </c>
      <c r="C10" s="7">
        <v>2880</v>
      </c>
      <c r="D10" s="7">
        <v>1480</v>
      </c>
      <c r="E10">
        <v>540</v>
      </c>
      <c r="F10">
        <v>220</v>
      </c>
      <c r="G10">
        <v>720</v>
      </c>
    </row>
    <row r="11" spans="1:7" x14ac:dyDescent="0.2">
      <c r="A11" s="11">
        <v>40148</v>
      </c>
      <c r="B11">
        <v>891</v>
      </c>
      <c r="C11" s="7">
        <v>3080</v>
      </c>
      <c r="D11" s="7">
        <v>1520</v>
      </c>
      <c r="E11">
        <v>510</v>
      </c>
      <c r="F11">
        <v>240</v>
      </c>
      <c r="G11">
        <v>770</v>
      </c>
    </row>
    <row r="12" spans="1:7" x14ac:dyDescent="0.2">
      <c r="A12" s="11">
        <v>40238</v>
      </c>
      <c r="B12">
        <v>891</v>
      </c>
      <c r="C12" s="7">
        <v>3300</v>
      </c>
      <c r="D12" s="7">
        <v>1620</v>
      </c>
      <c r="E12">
        <v>530</v>
      </c>
      <c r="F12">
        <v>230</v>
      </c>
      <c r="G12">
        <v>860</v>
      </c>
    </row>
    <row r="13" spans="1:7" x14ac:dyDescent="0.2">
      <c r="A13" s="11">
        <v>40330</v>
      </c>
      <c r="B13">
        <v>891</v>
      </c>
      <c r="C13" s="7">
        <v>3230</v>
      </c>
      <c r="D13" s="7">
        <v>1680</v>
      </c>
      <c r="E13">
        <v>580</v>
      </c>
      <c r="F13">
        <v>250</v>
      </c>
      <c r="G13">
        <v>850</v>
      </c>
    </row>
    <row r="14" spans="1:7" x14ac:dyDescent="0.2">
      <c r="A14" s="11">
        <v>40422</v>
      </c>
      <c r="B14">
        <v>891</v>
      </c>
      <c r="C14" s="7">
        <v>3380</v>
      </c>
      <c r="D14" s="7">
        <v>1750</v>
      </c>
      <c r="E14">
        <v>600</v>
      </c>
      <c r="F14">
        <v>270</v>
      </c>
      <c r="G14">
        <v>880</v>
      </c>
    </row>
    <row r="15" spans="1:7" x14ac:dyDescent="0.2">
      <c r="A15" s="11">
        <v>40513</v>
      </c>
      <c r="B15">
        <v>891</v>
      </c>
      <c r="C15" s="7">
        <v>3630</v>
      </c>
      <c r="D15" s="7">
        <v>1860</v>
      </c>
      <c r="E15">
        <v>520</v>
      </c>
      <c r="F15">
        <v>270</v>
      </c>
      <c r="G15" s="7">
        <v>1080</v>
      </c>
    </row>
    <row r="16" spans="1:7" x14ac:dyDescent="0.2">
      <c r="A16" s="11">
        <v>40603</v>
      </c>
      <c r="B16">
        <v>891</v>
      </c>
      <c r="C16" s="7">
        <v>4070</v>
      </c>
      <c r="D16" s="7">
        <v>2020</v>
      </c>
      <c r="E16">
        <v>680</v>
      </c>
      <c r="F16">
        <v>310</v>
      </c>
      <c r="G16" s="7">
        <v>1020</v>
      </c>
    </row>
    <row r="17" spans="1:7" x14ac:dyDescent="0.2">
      <c r="A17" s="11">
        <v>40695</v>
      </c>
      <c r="B17">
        <v>891</v>
      </c>
      <c r="C17" s="7">
        <v>4070</v>
      </c>
      <c r="D17" s="7">
        <v>2100</v>
      </c>
      <c r="E17">
        <v>740</v>
      </c>
      <c r="F17">
        <v>300</v>
      </c>
      <c r="G17" s="7">
        <v>1060</v>
      </c>
    </row>
    <row r="18" spans="1:7" x14ac:dyDescent="0.2">
      <c r="A18" s="11">
        <v>40787</v>
      </c>
      <c r="B18">
        <v>891</v>
      </c>
      <c r="C18" s="7">
        <v>4100</v>
      </c>
      <c r="D18" s="7">
        <v>2120</v>
      </c>
      <c r="E18">
        <v>770</v>
      </c>
      <c r="F18">
        <v>330</v>
      </c>
      <c r="G18" s="7">
        <v>1020</v>
      </c>
    </row>
    <row r="19" spans="1:7" x14ac:dyDescent="0.2">
      <c r="A19" s="11">
        <v>40878</v>
      </c>
      <c r="B19">
        <v>991</v>
      </c>
      <c r="C19" s="7">
        <v>3750</v>
      </c>
      <c r="D19" s="7">
        <v>1970</v>
      </c>
      <c r="E19">
        <v>730</v>
      </c>
      <c r="F19">
        <v>310</v>
      </c>
      <c r="G19">
        <v>920</v>
      </c>
    </row>
    <row r="20" spans="1:7" x14ac:dyDescent="0.2">
      <c r="A20" s="11">
        <v>40969</v>
      </c>
      <c r="B20">
        <v>865</v>
      </c>
      <c r="C20" s="7">
        <v>4550</v>
      </c>
      <c r="D20" s="7">
        <v>2220</v>
      </c>
      <c r="E20">
        <v>720</v>
      </c>
      <c r="F20">
        <v>360</v>
      </c>
      <c r="G20" s="7">
        <v>1150</v>
      </c>
    </row>
    <row r="21" spans="1:7" x14ac:dyDescent="0.2">
      <c r="A21" s="11">
        <v>41061</v>
      </c>
      <c r="B21">
        <v>904</v>
      </c>
      <c r="C21" s="7">
        <v>4390</v>
      </c>
      <c r="D21" s="7">
        <v>2340</v>
      </c>
      <c r="E21">
        <v>790</v>
      </c>
      <c r="F21">
        <v>380</v>
      </c>
      <c r="G21" s="7">
        <v>1180</v>
      </c>
    </row>
    <row r="22" spans="1:7" x14ac:dyDescent="0.2">
      <c r="A22" s="11">
        <v>41153</v>
      </c>
      <c r="B22">
        <v>979</v>
      </c>
      <c r="C22" s="7">
        <v>4100</v>
      </c>
      <c r="D22" s="7">
        <v>2360</v>
      </c>
      <c r="E22">
        <v>850</v>
      </c>
      <c r="F22">
        <v>370</v>
      </c>
      <c r="G22" s="7">
        <v>1130</v>
      </c>
    </row>
    <row r="23" spans="1:7" x14ac:dyDescent="0.2">
      <c r="A23" s="11">
        <v>41244</v>
      </c>
      <c r="B23">
        <v>986</v>
      </c>
      <c r="C23" s="7">
        <v>4455</v>
      </c>
      <c r="D23" s="7">
        <v>2403</v>
      </c>
      <c r="E23">
        <v>691</v>
      </c>
      <c r="F23">
        <v>374</v>
      </c>
      <c r="G23" s="7">
        <v>1338</v>
      </c>
    </row>
    <row r="24" spans="1:7" x14ac:dyDescent="0.2">
      <c r="A24" s="11">
        <v>41334</v>
      </c>
      <c r="B24">
        <v>879</v>
      </c>
      <c r="C24" s="7">
        <v>3821</v>
      </c>
      <c r="D24" s="7">
        <v>2221</v>
      </c>
      <c r="E24">
        <v>718</v>
      </c>
      <c r="F24">
        <v>354</v>
      </c>
      <c r="G24" s="7">
        <v>1149</v>
      </c>
    </row>
    <row r="25" spans="1:7" x14ac:dyDescent="0.2">
      <c r="A25" s="11">
        <v>41426</v>
      </c>
      <c r="B25" s="14">
        <v>1017</v>
      </c>
      <c r="C25" s="7">
        <v>4120</v>
      </c>
      <c r="D25" s="7">
        <v>2312</v>
      </c>
      <c r="E25">
        <v>812</v>
      </c>
      <c r="F25">
        <v>356</v>
      </c>
      <c r="G25" s="7">
        <v>1144</v>
      </c>
    </row>
    <row r="26" spans="1:7" x14ac:dyDescent="0.2">
      <c r="A26" s="11">
        <v>41518</v>
      </c>
      <c r="B26" s="14">
        <v>1074</v>
      </c>
      <c r="C26" s="7">
        <v>4591</v>
      </c>
      <c r="D26" s="7">
        <v>2517</v>
      </c>
      <c r="E26">
        <v>884</v>
      </c>
      <c r="F26">
        <v>414</v>
      </c>
      <c r="G26" s="7">
        <v>1219</v>
      </c>
    </row>
    <row r="27" spans="1:7" x14ac:dyDescent="0.2">
      <c r="A27" s="11">
        <v>41609</v>
      </c>
      <c r="B27" s="14">
        <v>1090</v>
      </c>
      <c r="C27" s="7">
        <v>4771</v>
      </c>
      <c r="D27" s="7">
        <v>2420</v>
      </c>
      <c r="E27">
        <v>822</v>
      </c>
      <c r="F27">
        <v>411</v>
      </c>
      <c r="G27" s="7">
        <v>1187</v>
      </c>
    </row>
    <row r="28" spans="1:7" x14ac:dyDescent="0.2">
      <c r="A28" s="11">
        <v>41699</v>
      </c>
      <c r="B28" s="14">
        <v>1070</v>
      </c>
      <c r="C28" s="7">
        <v>5712</v>
      </c>
      <c r="D28" s="7">
        <v>2561</v>
      </c>
      <c r="E28">
        <v>952</v>
      </c>
      <c r="F28">
        <v>376</v>
      </c>
      <c r="G28" s="7">
        <v>1232</v>
      </c>
    </row>
    <row r="29" spans="1:7" x14ac:dyDescent="0.2">
      <c r="A29" s="11">
        <v>41791</v>
      </c>
      <c r="B29" s="14">
        <v>1070</v>
      </c>
      <c r="C29" s="7">
        <v>5335</v>
      </c>
      <c r="D29" s="7">
        <v>2573</v>
      </c>
      <c r="E29">
        <v>923</v>
      </c>
      <c r="F29">
        <v>410</v>
      </c>
      <c r="G29" s="7">
        <v>1240</v>
      </c>
    </row>
    <row r="30" spans="1:7" x14ac:dyDescent="0.2">
      <c r="A30" s="11">
        <v>41883</v>
      </c>
      <c r="B30">
        <v>723</v>
      </c>
      <c r="C30" s="7">
        <v>6408</v>
      </c>
      <c r="D30" s="7">
        <v>3184</v>
      </c>
      <c r="E30" s="7">
        <v>1259</v>
      </c>
      <c r="F30">
        <v>439</v>
      </c>
      <c r="G30" s="7">
        <v>1486</v>
      </c>
    </row>
    <row r="31" spans="1:7" x14ac:dyDescent="0.2">
      <c r="A31" s="11">
        <v>41974</v>
      </c>
      <c r="B31">
        <v>743</v>
      </c>
      <c r="C31" s="7">
        <v>6029</v>
      </c>
      <c r="D31" s="7">
        <v>2741</v>
      </c>
      <c r="E31" s="7">
        <v>1082</v>
      </c>
      <c r="F31">
        <v>411</v>
      </c>
      <c r="G31" s="7">
        <v>1248</v>
      </c>
    </row>
    <row r="32" spans="1:7" x14ac:dyDescent="0.2">
      <c r="A32" s="11">
        <v>42064</v>
      </c>
      <c r="B32">
        <v>615</v>
      </c>
      <c r="C32" s="7">
        <v>5890</v>
      </c>
      <c r="D32" s="7">
        <v>2677</v>
      </c>
      <c r="E32" s="7">
        <v>1132</v>
      </c>
      <c r="F32">
        <v>323</v>
      </c>
      <c r="G32" s="7">
        <v>1221</v>
      </c>
    </row>
    <row r="33" spans="1:7" x14ac:dyDescent="0.2">
      <c r="A33" s="11">
        <v>42156</v>
      </c>
      <c r="B33">
        <v>568</v>
      </c>
      <c r="C33" s="7">
        <v>6186</v>
      </c>
      <c r="D33" s="7">
        <v>2851</v>
      </c>
      <c r="E33" s="7">
        <v>1280</v>
      </c>
      <c r="F33">
        <v>361</v>
      </c>
      <c r="G33" s="7">
        <v>1210</v>
      </c>
    </row>
    <row r="34" spans="1:7" x14ac:dyDescent="0.2">
      <c r="A34" s="11">
        <v>42248</v>
      </c>
      <c r="B34">
        <v>557</v>
      </c>
      <c r="C34" s="7">
        <v>5721</v>
      </c>
      <c r="D34" s="7">
        <v>2926</v>
      </c>
      <c r="E34" s="7">
        <v>1238</v>
      </c>
      <c r="F34">
        <v>343</v>
      </c>
      <c r="G34" s="7">
        <v>1344</v>
      </c>
    </row>
    <row r="35" spans="1:7" x14ac:dyDescent="0.2">
      <c r="A35" s="11">
        <v>42339</v>
      </c>
      <c r="B35">
        <v>485</v>
      </c>
      <c r="C35" s="7">
        <v>6703</v>
      </c>
      <c r="D35" s="7">
        <v>3177</v>
      </c>
      <c r="E35" s="7">
        <v>1467</v>
      </c>
      <c r="F35">
        <v>339</v>
      </c>
      <c r="G35" s="7">
        <v>1372</v>
      </c>
    </row>
    <row r="36" spans="1:7" x14ac:dyDescent="0.2">
      <c r="A36" s="11">
        <v>42430</v>
      </c>
      <c r="B36">
        <v>389</v>
      </c>
      <c r="C36" s="7">
        <v>3228</v>
      </c>
      <c r="D36" s="7">
        <v>1504</v>
      </c>
      <c r="E36">
        <v>620</v>
      </c>
      <c r="F36">
        <v>202</v>
      </c>
      <c r="G36">
        <v>682</v>
      </c>
    </row>
    <row r="37" spans="1:7" x14ac:dyDescent="0.2">
      <c r="A37" s="11">
        <v>42522</v>
      </c>
      <c r="B37">
        <v>372</v>
      </c>
      <c r="C37" s="7">
        <v>3664</v>
      </c>
      <c r="D37" s="7">
        <v>1658</v>
      </c>
      <c r="E37">
        <v>670</v>
      </c>
      <c r="F37">
        <v>237</v>
      </c>
      <c r="G37">
        <v>751</v>
      </c>
    </row>
    <row r="38" spans="1:7" x14ac:dyDescent="0.2">
      <c r="A38" s="11">
        <v>42614</v>
      </c>
      <c r="B38">
        <v>363</v>
      </c>
      <c r="C38" s="7">
        <v>2869</v>
      </c>
      <c r="D38" s="7">
        <v>1548</v>
      </c>
      <c r="E38">
        <v>619</v>
      </c>
      <c r="F38">
        <v>214</v>
      </c>
      <c r="G38">
        <v>715</v>
      </c>
    </row>
    <row r="39" spans="1:7" x14ac:dyDescent="0.2">
      <c r="A39" s="11">
        <v>42705</v>
      </c>
      <c r="B39">
        <v>302</v>
      </c>
      <c r="C39" s="7">
        <v>2822</v>
      </c>
      <c r="D39" s="7">
        <v>1612</v>
      </c>
      <c r="E39">
        <v>582</v>
      </c>
      <c r="F39">
        <v>248</v>
      </c>
      <c r="G39">
        <v>782</v>
      </c>
    </row>
    <row r="40" spans="1:7" x14ac:dyDescent="0.2">
      <c r="A40" s="11">
        <v>42795</v>
      </c>
      <c r="B40">
        <v>289</v>
      </c>
      <c r="C40" s="7">
        <v>8899</v>
      </c>
      <c r="D40" s="7">
        <v>3852</v>
      </c>
      <c r="E40" s="7">
        <v>1262</v>
      </c>
      <c r="F40">
        <v>432</v>
      </c>
      <c r="G40" s="7">
        <v>2158</v>
      </c>
    </row>
    <row r="41" spans="1:7" x14ac:dyDescent="0.2">
      <c r="A41" s="11">
        <v>42887</v>
      </c>
      <c r="B41">
        <v>302</v>
      </c>
      <c r="C41" s="7">
        <v>9730</v>
      </c>
      <c r="D41" s="7">
        <v>4179</v>
      </c>
      <c r="E41" s="7">
        <v>1537</v>
      </c>
      <c r="F41">
        <v>442</v>
      </c>
      <c r="G41" s="7">
        <v>2200</v>
      </c>
    </row>
    <row r="42" spans="1:7" x14ac:dyDescent="0.2">
      <c r="A42" s="11">
        <v>42979</v>
      </c>
      <c r="B42">
        <v>299</v>
      </c>
      <c r="C42" s="7">
        <v>10487</v>
      </c>
      <c r="D42" s="7">
        <v>3926</v>
      </c>
      <c r="E42" s="7">
        <v>1423</v>
      </c>
      <c r="F42">
        <v>381</v>
      </c>
      <c r="G42" s="7">
        <v>2122</v>
      </c>
    </row>
    <row r="43" spans="1:7" x14ac:dyDescent="0.2">
      <c r="A43" s="11">
        <v>43070</v>
      </c>
      <c r="B43">
        <v>347</v>
      </c>
      <c r="C43" s="7">
        <v>7333</v>
      </c>
      <c r="D43" s="7">
        <v>3260</v>
      </c>
      <c r="E43" s="7">
        <v>1043</v>
      </c>
      <c r="F43">
        <v>341</v>
      </c>
      <c r="G43" s="7">
        <v>1876</v>
      </c>
    </row>
    <row r="44" spans="1:7" x14ac:dyDescent="0.2">
      <c r="A44" s="11">
        <v>43160</v>
      </c>
      <c r="B44">
        <v>360</v>
      </c>
      <c r="C44" s="7">
        <v>9557</v>
      </c>
      <c r="D44" s="7">
        <v>3918</v>
      </c>
      <c r="E44" s="7">
        <v>1441</v>
      </c>
      <c r="F44">
        <v>417</v>
      </c>
      <c r="G44" s="7">
        <v>2061</v>
      </c>
    </row>
    <row r="45" spans="1:7" x14ac:dyDescent="0.2">
      <c r="A45" s="11">
        <v>43252</v>
      </c>
      <c r="B45">
        <v>362</v>
      </c>
      <c r="C45" s="7">
        <v>10480.1</v>
      </c>
      <c r="D45" s="7">
        <v>4266.1000000000004</v>
      </c>
      <c r="E45" s="7">
        <v>1549.9</v>
      </c>
      <c r="F45">
        <v>593.9</v>
      </c>
      <c r="G45" s="7">
        <v>2122.3000000000002</v>
      </c>
    </row>
    <row r="46" spans="1:7" x14ac:dyDescent="0.2">
      <c r="A46" s="11">
        <v>43344</v>
      </c>
      <c r="B46">
        <v>347</v>
      </c>
      <c r="C46" s="7">
        <v>7274.9</v>
      </c>
      <c r="D46" s="7">
        <v>3823.9</v>
      </c>
      <c r="E46" s="7">
        <v>1195.4000000000001</v>
      </c>
      <c r="F46">
        <v>508.6</v>
      </c>
      <c r="G46" s="7">
        <v>2119.8000000000002</v>
      </c>
    </row>
    <row r="47" spans="1:7" x14ac:dyDescent="0.2">
      <c r="A47" s="11">
        <v>43435</v>
      </c>
      <c r="B47">
        <v>344</v>
      </c>
      <c r="C47" s="7">
        <v>7833</v>
      </c>
      <c r="D47" s="7">
        <v>4210</v>
      </c>
      <c r="E47" s="7">
        <v>1168</v>
      </c>
      <c r="F47">
        <v>798</v>
      </c>
      <c r="G47" s="7">
        <v>2244</v>
      </c>
    </row>
    <row r="48" spans="1:7" x14ac:dyDescent="0.2">
      <c r="A48" s="11">
        <v>43525</v>
      </c>
      <c r="B48">
        <v>194</v>
      </c>
      <c r="C48" s="7">
        <v>8460</v>
      </c>
      <c r="D48" s="7">
        <v>4581</v>
      </c>
      <c r="E48" s="7">
        <v>1922</v>
      </c>
      <c r="F48">
        <v>599</v>
      </c>
      <c r="G48" s="7">
        <v>2471</v>
      </c>
    </row>
    <row r="49" spans="1:7" x14ac:dyDescent="0.2">
      <c r="A49" s="11">
        <v>43617</v>
      </c>
      <c r="B49">
        <v>177</v>
      </c>
      <c r="C49" s="7">
        <v>9088.1</v>
      </c>
      <c r="D49" s="7">
        <v>5312.1</v>
      </c>
      <c r="E49" s="7">
        <v>1577.9</v>
      </c>
      <c r="F49">
        <v>688</v>
      </c>
      <c r="G49" s="7">
        <v>3046.2</v>
      </c>
    </row>
    <row r="50" spans="1:7" x14ac:dyDescent="0.2">
      <c r="A50" s="11">
        <v>43709</v>
      </c>
      <c r="B50">
        <v>174</v>
      </c>
      <c r="C50" s="7">
        <v>9359</v>
      </c>
      <c r="D50" s="7">
        <v>4831</v>
      </c>
      <c r="E50" s="7">
        <v>1447</v>
      </c>
      <c r="F50">
        <v>713</v>
      </c>
      <c r="G50" s="7">
        <v>2671</v>
      </c>
    </row>
    <row r="51" spans="1:7" x14ac:dyDescent="0.2">
      <c r="A51" s="11">
        <v>43800</v>
      </c>
      <c r="B51">
        <v>156</v>
      </c>
      <c r="C51" s="7">
        <v>10378</v>
      </c>
      <c r="D51" s="7">
        <v>5365</v>
      </c>
      <c r="E51" s="7">
        <v>1583</v>
      </c>
      <c r="F51">
        <v>729</v>
      </c>
      <c r="G51" s="7">
        <v>3053</v>
      </c>
    </row>
    <row r="52" spans="1:7" x14ac:dyDescent="0.2">
      <c r="A52" s="11">
        <v>43891</v>
      </c>
      <c r="B52">
        <v>145</v>
      </c>
      <c r="C52" s="7">
        <v>11134.3</v>
      </c>
      <c r="D52" s="7">
        <v>6099.3</v>
      </c>
      <c r="E52" s="7">
        <v>1938.4</v>
      </c>
      <c r="F52">
        <v>472.9</v>
      </c>
      <c r="G52" s="7">
        <v>3690.9</v>
      </c>
    </row>
    <row r="53" spans="1:7" x14ac:dyDescent="0.2">
      <c r="A53" s="11">
        <v>43983</v>
      </c>
      <c r="B53">
        <v>352</v>
      </c>
      <c r="C53" s="7">
        <v>5530.5</v>
      </c>
      <c r="D53" s="7">
        <v>4399.1000000000004</v>
      </c>
      <c r="E53" s="7">
        <v>1697.6</v>
      </c>
      <c r="F53">
        <v>742.6</v>
      </c>
      <c r="G53" s="7">
        <v>1958.8</v>
      </c>
    </row>
    <row r="54" spans="1:7" x14ac:dyDescent="0.2">
      <c r="A54" s="11">
        <v>44075</v>
      </c>
      <c r="B54">
        <v>416</v>
      </c>
      <c r="C54" s="7">
        <v>6859.8</v>
      </c>
      <c r="D54" s="7">
        <v>4095.4</v>
      </c>
      <c r="E54" s="7">
        <v>1595.5</v>
      </c>
      <c r="F54">
        <v>697</v>
      </c>
      <c r="G54" s="7">
        <v>1802.9</v>
      </c>
    </row>
    <row r="55" spans="1:7" x14ac:dyDescent="0.2">
      <c r="A55" s="11">
        <v>44166</v>
      </c>
      <c r="B55">
        <v>471</v>
      </c>
      <c r="C55" s="7">
        <v>7196.5</v>
      </c>
      <c r="D55" s="7">
        <v>3723.2</v>
      </c>
      <c r="E55" s="7">
        <v>1435.1</v>
      </c>
      <c r="F55">
        <v>600.4</v>
      </c>
      <c r="G55" s="7">
        <v>1687.6</v>
      </c>
    </row>
    <row r="56" spans="1:7" x14ac:dyDescent="0.2">
      <c r="A56" s="11">
        <v>44256</v>
      </c>
      <c r="B56">
        <v>418</v>
      </c>
      <c r="C56" s="7">
        <v>9592.1</v>
      </c>
      <c r="D56" s="7">
        <v>4611.5</v>
      </c>
      <c r="E56" s="7">
        <v>1833.5</v>
      </c>
      <c r="F56">
        <v>662.2</v>
      </c>
      <c r="G56" s="7">
        <v>1401</v>
      </c>
    </row>
    <row r="57" spans="1:7" x14ac:dyDescent="0.2">
      <c r="A57" s="11">
        <v>44348</v>
      </c>
      <c r="B57">
        <v>478</v>
      </c>
      <c r="C57" s="7">
        <v>8691.9</v>
      </c>
      <c r="D57" s="7">
        <v>4896.8</v>
      </c>
      <c r="E57" s="7">
        <v>2087.5</v>
      </c>
      <c r="F57">
        <v>797.3</v>
      </c>
      <c r="G57" s="7">
        <v>1550</v>
      </c>
    </row>
    <row r="58" spans="1:7" x14ac:dyDescent="0.2">
      <c r="A58" s="11">
        <v>44440</v>
      </c>
      <c r="B58">
        <v>537</v>
      </c>
      <c r="C58" s="7">
        <v>10125.799999999999</v>
      </c>
      <c r="D58" s="7">
        <v>4944.1000000000004</v>
      </c>
      <c r="E58" s="7">
        <v>1999.6</v>
      </c>
      <c r="F58">
        <v>786.5</v>
      </c>
      <c r="G58" s="7">
        <v>1632</v>
      </c>
    </row>
    <row r="59" spans="1:7" x14ac:dyDescent="0.2">
      <c r="A59" s="11">
        <v>44531</v>
      </c>
      <c r="B59">
        <v>681</v>
      </c>
      <c r="C59" s="7">
        <v>10279</v>
      </c>
      <c r="D59" s="7">
        <v>4650</v>
      </c>
      <c r="E59" s="7">
        <v>1935</v>
      </c>
      <c r="F59">
        <v>620</v>
      </c>
      <c r="G59" s="7">
        <v>1533</v>
      </c>
    </row>
    <row r="60" spans="1:7" x14ac:dyDescent="0.2">
      <c r="A60" s="11">
        <v>44621</v>
      </c>
      <c r="B60">
        <v>651</v>
      </c>
      <c r="C60" s="7">
        <v>11232</v>
      </c>
      <c r="D60" s="7">
        <v>5302</v>
      </c>
      <c r="E60" s="7">
        <v>2192</v>
      </c>
      <c r="F60">
        <v>798</v>
      </c>
      <c r="G60" s="7">
        <v>1820</v>
      </c>
    </row>
    <row r="61" spans="1:7" x14ac:dyDescent="0.2">
      <c r="A61" s="11">
        <v>44713</v>
      </c>
      <c r="B61">
        <v>630</v>
      </c>
      <c r="C61" s="7">
        <v>12383</v>
      </c>
      <c r="D61" s="7">
        <v>5918</v>
      </c>
      <c r="E61" s="7">
        <v>2383</v>
      </c>
      <c r="F61">
        <v>873</v>
      </c>
      <c r="G61" s="7">
        <v>1989</v>
      </c>
    </row>
    <row r="62" spans="1:7" x14ac:dyDescent="0.2">
      <c r="A62" s="11">
        <v>44805</v>
      </c>
      <c r="B62">
        <v>721</v>
      </c>
      <c r="C62" s="7">
        <v>12858</v>
      </c>
      <c r="D62" s="7">
        <v>5082</v>
      </c>
      <c r="E62" s="7">
        <v>2176</v>
      </c>
      <c r="F62">
        <v>732</v>
      </c>
      <c r="G62" s="7">
        <v>1653</v>
      </c>
    </row>
    <row r="63" spans="1:7" x14ac:dyDescent="0.2">
      <c r="A63" s="11">
        <v>44896</v>
      </c>
      <c r="B63">
        <v>675</v>
      </c>
      <c r="C63" s="7">
        <v>11067</v>
      </c>
      <c r="D63" s="7">
        <v>5199</v>
      </c>
      <c r="E63" s="7">
        <v>1955</v>
      </c>
      <c r="F63">
        <v>671</v>
      </c>
      <c r="G63" s="7">
        <v>2024</v>
      </c>
    </row>
    <row r="64" spans="1:7" x14ac:dyDescent="0.2">
      <c r="A64" s="11">
        <v>44986</v>
      </c>
      <c r="B64">
        <v>658</v>
      </c>
      <c r="C64" s="7">
        <v>11721.8</v>
      </c>
      <c r="D64" s="7">
        <v>5465.9</v>
      </c>
      <c r="E64" s="7">
        <v>2254.3000000000002</v>
      </c>
      <c r="F64">
        <v>626.9</v>
      </c>
      <c r="G64" s="7">
        <v>2062</v>
      </c>
    </row>
    <row r="65" spans="1:7" x14ac:dyDescent="0.2">
      <c r="A65" s="11">
        <v>45078</v>
      </c>
      <c r="B65">
        <v>622</v>
      </c>
      <c r="C65" s="7">
        <v>11631</v>
      </c>
      <c r="D65" s="7">
        <v>5343</v>
      </c>
      <c r="E65" s="7">
        <v>2269</v>
      </c>
      <c r="F65">
        <v>628</v>
      </c>
      <c r="G65" s="7">
        <v>1957</v>
      </c>
    </row>
    <row r="66" spans="1:7" x14ac:dyDescent="0.2">
      <c r="A66" s="11">
        <v>45170</v>
      </c>
      <c r="B66">
        <v>688</v>
      </c>
      <c r="C66" s="7">
        <v>10917.5</v>
      </c>
      <c r="D66" s="7">
        <v>6080.7</v>
      </c>
      <c r="E66" s="7">
        <v>2266.6999999999998</v>
      </c>
      <c r="F66" s="7">
        <v>1204.4000000000001</v>
      </c>
      <c r="G66" s="7">
        <v>2038</v>
      </c>
    </row>
    <row r="67" spans="1:7" x14ac:dyDescent="0.2">
      <c r="A67" s="11">
        <v>45261</v>
      </c>
      <c r="B67">
        <v>714</v>
      </c>
      <c r="C67" s="7">
        <v>10695.5</v>
      </c>
      <c r="D67" s="7">
        <v>5814.3</v>
      </c>
      <c r="E67" s="7">
        <v>2259.9</v>
      </c>
      <c r="F67" s="7">
        <v>1102.7</v>
      </c>
      <c r="G67" s="7">
        <v>1874.7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F02D-856D-9F40-BBC5-7D69739F7B2A}">
  <dimension ref="A1:F16"/>
  <sheetViews>
    <sheetView workbookViewId="0">
      <selection sqref="A1:E16"/>
    </sheetView>
  </sheetViews>
  <sheetFormatPr baseColWidth="10" defaultRowHeight="16" x14ac:dyDescent="0.2"/>
  <cols>
    <col min="1" max="1" width="12.6640625" bestFit="1" customWidth="1"/>
    <col min="2" max="2" width="50.33203125" customWidth="1"/>
    <col min="4" max="4" width="14.33203125" bestFit="1" customWidth="1"/>
    <col min="5" max="5" width="11.83203125" bestFit="1" customWidth="1"/>
  </cols>
  <sheetData>
    <row r="1" spans="1:6" x14ac:dyDescent="0.2">
      <c r="A1" s="16" t="s">
        <v>1182</v>
      </c>
      <c r="B1" s="16" t="s">
        <v>1183</v>
      </c>
      <c r="C1" t="s">
        <v>1184</v>
      </c>
      <c r="D1" t="s">
        <v>1185</v>
      </c>
      <c r="E1" t="s">
        <v>1186</v>
      </c>
      <c r="F1" t="s">
        <v>262</v>
      </c>
    </row>
    <row r="2" spans="1:6" x14ac:dyDescent="0.2">
      <c r="A2" s="16">
        <v>264</v>
      </c>
      <c r="B2" s="16" t="s">
        <v>1187</v>
      </c>
      <c r="C2">
        <v>3.2</v>
      </c>
      <c r="D2">
        <v>391.8</v>
      </c>
      <c r="E2">
        <v>0.3</v>
      </c>
      <c r="F2">
        <v>2022</v>
      </c>
    </row>
    <row r="3" spans="1:6" x14ac:dyDescent="0.2">
      <c r="A3" s="16">
        <v>265</v>
      </c>
      <c r="B3" s="16" t="s">
        <v>1188</v>
      </c>
      <c r="C3">
        <v>8.5</v>
      </c>
      <c r="D3">
        <v>0.3</v>
      </c>
      <c r="E3">
        <v>190.6</v>
      </c>
    </row>
    <row r="4" spans="1:6" x14ac:dyDescent="0.2">
      <c r="A4" s="16">
        <v>269</v>
      </c>
      <c r="B4" s="16" t="s">
        <v>1189</v>
      </c>
      <c r="C4">
        <v>1.1000000000000001</v>
      </c>
      <c r="D4">
        <v>8.5</v>
      </c>
      <c r="E4">
        <v>1.3</v>
      </c>
    </row>
    <row r="5" spans="1:6" x14ac:dyDescent="0.2">
      <c r="A5" s="16">
        <v>651</v>
      </c>
      <c r="B5" s="16" t="s">
        <v>1190</v>
      </c>
      <c r="C5">
        <v>5.0999999999999996</v>
      </c>
      <c r="D5">
        <v>4.9000000000000004</v>
      </c>
      <c r="E5">
        <v>1.1000000000000001</v>
      </c>
    </row>
    <row r="6" spans="1:6" x14ac:dyDescent="0.2">
      <c r="A6" s="16">
        <v>654</v>
      </c>
      <c r="B6" s="16" t="s">
        <v>1191</v>
      </c>
      <c r="C6">
        <v>1.9</v>
      </c>
      <c r="D6">
        <v>5.6</v>
      </c>
      <c r="E6">
        <v>1</v>
      </c>
    </row>
    <row r="7" spans="1:6" x14ac:dyDescent="0.2">
      <c r="A7" s="16">
        <v>657</v>
      </c>
      <c r="B7" s="16" t="s">
        <v>1192</v>
      </c>
      <c r="C7">
        <v>0.8</v>
      </c>
      <c r="D7">
        <v>0.4</v>
      </c>
      <c r="E7">
        <v>2.7</v>
      </c>
    </row>
    <row r="8" spans="1:6" x14ac:dyDescent="0.2">
      <c r="A8" s="16">
        <v>658</v>
      </c>
      <c r="B8" s="16" t="s">
        <v>1193</v>
      </c>
      <c r="C8">
        <v>4.2</v>
      </c>
      <c r="D8">
        <v>9.9</v>
      </c>
      <c r="E8">
        <v>2.5</v>
      </c>
    </row>
    <row r="9" spans="1:6" x14ac:dyDescent="0.2">
      <c r="A9" s="16">
        <v>724</v>
      </c>
      <c r="B9" s="16" t="s">
        <v>1194</v>
      </c>
      <c r="C9">
        <v>1.4</v>
      </c>
      <c r="D9">
        <v>0.1</v>
      </c>
      <c r="E9">
        <v>0.4</v>
      </c>
    </row>
    <row r="10" spans="1:6" x14ac:dyDescent="0.2">
      <c r="A10" s="16">
        <v>841</v>
      </c>
      <c r="B10" s="16" t="s">
        <v>1195</v>
      </c>
      <c r="C10">
        <v>1.5</v>
      </c>
      <c r="D10">
        <v>67.2</v>
      </c>
      <c r="E10">
        <v>14.2</v>
      </c>
    </row>
    <row r="11" spans="1:6" x14ac:dyDescent="0.2">
      <c r="A11" s="16">
        <v>842</v>
      </c>
      <c r="B11" s="16" t="s">
        <v>1196</v>
      </c>
      <c r="C11">
        <v>2.1</v>
      </c>
      <c r="D11">
        <v>28.1</v>
      </c>
      <c r="E11">
        <v>12.3</v>
      </c>
    </row>
    <row r="12" spans="1:6" x14ac:dyDescent="0.2">
      <c r="A12" s="16">
        <v>843</v>
      </c>
      <c r="B12" s="16" t="s">
        <v>1197</v>
      </c>
      <c r="C12">
        <v>2.7</v>
      </c>
      <c r="D12">
        <v>38.9</v>
      </c>
      <c r="E12">
        <v>25.6</v>
      </c>
    </row>
    <row r="13" spans="1:6" x14ac:dyDescent="0.2">
      <c r="A13" s="16">
        <v>844</v>
      </c>
      <c r="B13" s="16" t="s">
        <v>1198</v>
      </c>
      <c r="C13">
        <v>1.2</v>
      </c>
      <c r="D13">
        <v>27.2</v>
      </c>
      <c r="E13">
        <v>32.799999999999997</v>
      </c>
    </row>
    <row r="14" spans="1:6" x14ac:dyDescent="0.2">
      <c r="A14" s="16">
        <v>845</v>
      </c>
      <c r="B14" s="16" t="s">
        <v>1199</v>
      </c>
      <c r="C14">
        <v>1.7</v>
      </c>
      <c r="D14">
        <v>41.6</v>
      </c>
      <c r="E14">
        <v>19.399999999999999</v>
      </c>
    </row>
    <row r="15" spans="1:6" x14ac:dyDescent="0.2">
      <c r="A15" s="16">
        <v>846</v>
      </c>
      <c r="B15" s="16" t="s">
        <v>1200</v>
      </c>
      <c r="C15">
        <v>1</v>
      </c>
      <c r="D15">
        <v>1.5</v>
      </c>
      <c r="E15">
        <v>25.6</v>
      </c>
    </row>
    <row r="16" spans="1:6" x14ac:dyDescent="0.2">
      <c r="A16" s="16">
        <v>848</v>
      </c>
      <c r="B16" s="16" t="s">
        <v>1201</v>
      </c>
      <c r="C16">
        <v>1.1000000000000001</v>
      </c>
      <c r="D16">
        <v>4.5999999999999996</v>
      </c>
      <c r="E16">
        <v>13.9</v>
      </c>
    </row>
  </sheetData>
  <conditionalFormatting sqref="C2:E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3F4F-F55C-504D-A723-C86F538B14A1}">
  <dimension ref="A1:G14"/>
  <sheetViews>
    <sheetView workbookViewId="0">
      <selection activeCell="X34" sqref="X34"/>
    </sheetView>
  </sheetViews>
  <sheetFormatPr baseColWidth="10" defaultRowHeight="16" x14ac:dyDescent="0.2"/>
  <sheetData>
    <row r="1" spans="1:7" x14ac:dyDescent="0.2">
      <c r="A1" t="s">
        <v>517</v>
      </c>
    </row>
    <row r="2" spans="1:7" x14ac:dyDescent="0.2">
      <c r="A2" t="s">
        <v>518</v>
      </c>
    </row>
    <row r="3" spans="1:7" x14ac:dyDescent="0.2">
      <c r="A3" t="s">
        <v>46</v>
      </c>
      <c r="B3" t="s">
        <v>47</v>
      </c>
      <c r="C3" t="s">
        <v>519</v>
      </c>
      <c r="D3" t="s">
        <v>520</v>
      </c>
      <c r="E3" t="s">
        <v>521</v>
      </c>
      <c r="F3" t="s">
        <v>522</v>
      </c>
      <c r="G3" t="s">
        <v>523</v>
      </c>
    </row>
    <row r="4" spans="1:7" x14ac:dyDescent="0.2">
      <c r="A4" t="s">
        <v>115</v>
      </c>
      <c r="B4" s="7">
        <v>80673</v>
      </c>
      <c r="C4" s="7">
        <v>22061</v>
      </c>
      <c r="D4" s="7">
        <v>16573</v>
      </c>
      <c r="F4" s="7">
        <v>29208</v>
      </c>
      <c r="G4" s="7">
        <v>12831</v>
      </c>
    </row>
    <row r="5" spans="1:7" x14ac:dyDescent="0.2">
      <c r="A5" t="s">
        <v>116</v>
      </c>
      <c r="B5" s="7">
        <v>85448.7</v>
      </c>
      <c r="C5" s="7">
        <v>19819.400000000001</v>
      </c>
      <c r="D5" s="7">
        <v>26704</v>
      </c>
      <c r="E5" s="7">
        <v>-2314.5</v>
      </c>
      <c r="F5" s="7">
        <v>45173.3</v>
      </c>
      <c r="G5" s="7">
        <v>-3826</v>
      </c>
    </row>
    <row r="6" spans="1:7" x14ac:dyDescent="0.2">
      <c r="A6" t="s">
        <v>117</v>
      </c>
      <c r="B6" s="7">
        <v>32580.9</v>
      </c>
      <c r="C6" s="7">
        <v>21564.1</v>
      </c>
      <c r="D6" s="7">
        <v>4801.8999999999996</v>
      </c>
      <c r="E6" s="7">
        <v>2006.3</v>
      </c>
      <c r="F6" s="7">
        <v>19717.099999999999</v>
      </c>
      <c r="G6" s="7">
        <v>-15508.4</v>
      </c>
    </row>
    <row r="7" spans="1:7" x14ac:dyDescent="0.2">
      <c r="A7" t="s">
        <v>118</v>
      </c>
      <c r="B7" s="7">
        <v>27724.7</v>
      </c>
      <c r="C7" s="7">
        <v>31251.4</v>
      </c>
      <c r="D7" s="7">
        <v>40934</v>
      </c>
      <c r="E7" s="7">
        <v>-1563.2</v>
      </c>
      <c r="F7" s="7">
        <v>18508.8</v>
      </c>
      <c r="G7" s="7">
        <v>-61406.400000000001</v>
      </c>
    </row>
    <row r="8" spans="1:7" x14ac:dyDescent="0.2">
      <c r="A8" t="s">
        <v>119</v>
      </c>
      <c r="B8" s="7">
        <v>23120.2</v>
      </c>
      <c r="C8" s="7">
        <v>36021</v>
      </c>
      <c r="D8" s="7">
        <v>-4503.2</v>
      </c>
      <c r="E8">
        <v>631</v>
      </c>
      <c r="F8" s="7">
        <v>8876</v>
      </c>
      <c r="G8" s="7">
        <v>-17904.7</v>
      </c>
    </row>
    <row r="9" spans="1:7" x14ac:dyDescent="0.2">
      <c r="A9" t="s">
        <v>120</v>
      </c>
      <c r="B9" s="7">
        <v>14715.2</v>
      </c>
      <c r="C9" s="7">
        <v>35612.199999999997</v>
      </c>
      <c r="D9" s="7">
        <v>7611.6</v>
      </c>
      <c r="E9" s="7">
        <v>9821.7999999999993</v>
      </c>
      <c r="F9" s="7">
        <v>-16780</v>
      </c>
      <c r="G9" s="7">
        <v>-21550.3</v>
      </c>
    </row>
    <row r="10" spans="1:7" x14ac:dyDescent="0.2">
      <c r="A10" t="s">
        <v>121</v>
      </c>
      <c r="B10" s="7">
        <v>47788.4</v>
      </c>
      <c r="C10" s="7">
        <v>30286.1</v>
      </c>
      <c r="D10" s="7">
        <v>22114.9</v>
      </c>
      <c r="E10" s="7">
        <v>-2870</v>
      </c>
      <c r="F10" s="7">
        <v>41831.699999999997</v>
      </c>
      <c r="G10" s="7">
        <v>-43574.400000000001</v>
      </c>
    </row>
    <row r="11" spans="1:7" x14ac:dyDescent="0.2">
      <c r="A11" t="s">
        <v>122</v>
      </c>
      <c r="B11" s="7">
        <v>57829.599999999999</v>
      </c>
      <c r="C11" s="7">
        <v>30712</v>
      </c>
      <c r="D11" s="7">
        <v>-2438</v>
      </c>
      <c r="E11" s="7">
        <v>1032.0999999999999</v>
      </c>
      <c r="F11" s="7">
        <v>25184.2</v>
      </c>
      <c r="G11" s="7">
        <v>3339.4</v>
      </c>
    </row>
    <row r="12" spans="1:7" x14ac:dyDescent="0.2">
      <c r="A12" t="s">
        <v>123</v>
      </c>
      <c r="B12" s="7">
        <v>24667.599999999999</v>
      </c>
      <c r="C12" s="7">
        <v>43013.2</v>
      </c>
      <c r="D12" s="7">
        <v>1403.4</v>
      </c>
      <c r="E12" s="7">
        <v>4098.8999999999996</v>
      </c>
      <c r="F12" s="7">
        <v>35650.199999999997</v>
      </c>
      <c r="G12" s="7">
        <v>-59498.1</v>
      </c>
    </row>
    <row r="13" spans="1:7" x14ac:dyDescent="0.2">
      <c r="A13" t="s">
        <v>8</v>
      </c>
      <c r="B13" s="7">
        <v>-22588.9</v>
      </c>
      <c r="C13" s="7">
        <v>43955.1</v>
      </c>
      <c r="D13" s="7">
        <v>36136.800000000003</v>
      </c>
      <c r="E13" s="7">
        <v>-4800.3</v>
      </c>
      <c r="F13" s="7">
        <v>-10594</v>
      </c>
      <c r="G13" s="7">
        <v>-87286.5</v>
      </c>
    </row>
    <row r="14" spans="1:7" x14ac:dyDescent="0.2">
      <c r="A14" t="s">
        <v>9</v>
      </c>
      <c r="B14" s="7">
        <v>38430</v>
      </c>
      <c r="C14" s="7">
        <v>38587</v>
      </c>
      <c r="D14" s="7">
        <v>-16777</v>
      </c>
      <c r="E14" s="7">
        <v>-6412</v>
      </c>
      <c r="F14" s="7">
        <v>70533</v>
      </c>
      <c r="G14" s="7">
        <v>-47501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F793-9AD2-8149-A5F1-46911A672B19}">
  <dimension ref="A1:J64"/>
  <sheetViews>
    <sheetView topLeftCell="A32" workbookViewId="0">
      <selection activeCell="A4" sqref="A4:D64"/>
    </sheetView>
  </sheetViews>
  <sheetFormatPr baseColWidth="10" defaultRowHeight="16" x14ac:dyDescent="0.2"/>
  <sheetData>
    <row r="1" spans="1:10" x14ac:dyDescent="0.2">
      <c r="A1" t="s">
        <v>515</v>
      </c>
    </row>
    <row r="2" spans="1:10" x14ac:dyDescent="0.2">
      <c r="A2" t="s">
        <v>509</v>
      </c>
    </row>
    <row r="3" spans="1:10" x14ac:dyDescent="0.2">
      <c r="B3" t="s">
        <v>510</v>
      </c>
      <c r="C3" t="s">
        <v>510</v>
      </c>
      <c r="D3" t="s">
        <v>510</v>
      </c>
      <c r="E3" t="s">
        <v>511</v>
      </c>
      <c r="F3" t="s">
        <v>511</v>
      </c>
      <c r="G3" t="s">
        <v>511</v>
      </c>
      <c r="H3" t="s">
        <v>512</v>
      </c>
      <c r="I3" t="s">
        <v>512</v>
      </c>
      <c r="J3" t="s">
        <v>512</v>
      </c>
    </row>
    <row r="4" spans="1:10" x14ac:dyDescent="0.2">
      <c r="A4" t="s">
        <v>516</v>
      </c>
      <c r="B4" t="s">
        <v>47</v>
      </c>
      <c r="C4" t="s">
        <v>513</v>
      </c>
      <c r="D4" t="s">
        <v>514</v>
      </c>
      <c r="E4" t="s">
        <v>47</v>
      </c>
      <c r="F4" t="s">
        <v>513</v>
      </c>
      <c r="G4" t="s">
        <v>514</v>
      </c>
      <c r="H4" t="s">
        <v>47</v>
      </c>
      <c r="I4" t="s">
        <v>513</v>
      </c>
      <c r="J4" t="s">
        <v>514</v>
      </c>
    </row>
    <row r="5" spans="1:10" x14ac:dyDescent="0.2">
      <c r="A5" s="11">
        <v>42948</v>
      </c>
      <c r="B5">
        <v>4.07</v>
      </c>
      <c r="C5">
        <v>3.33</v>
      </c>
      <c r="D5">
        <v>9.2899999999999991</v>
      </c>
      <c r="E5">
        <v>5.08</v>
      </c>
      <c r="F5">
        <v>3.84</v>
      </c>
      <c r="G5">
        <v>13.76</v>
      </c>
      <c r="H5">
        <v>3.59</v>
      </c>
      <c r="I5">
        <v>3.09</v>
      </c>
      <c r="J5">
        <v>7.17</v>
      </c>
    </row>
    <row r="6" spans="1:10" x14ac:dyDescent="0.2">
      <c r="A6" s="11">
        <v>42979</v>
      </c>
      <c r="B6">
        <v>4.63</v>
      </c>
      <c r="C6">
        <v>3.59</v>
      </c>
      <c r="D6">
        <v>11.96</v>
      </c>
      <c r="E6">
        <v>5.7</v>
      </c>
      <c r="F6">
        <v>4.3</v>
      </c>
      <c r="G6">
        <v>15.76</v>
      </c>
      <c r="H6">
        <v>4.13</v>
      </c>
      <c r="I6">
        <v>3.25</v>
      </c>
      <c r="J6">
        <v>10.23</v>
      </c>
    </row>
    <row r="7" spans="1:10" x14ac:dyDescent="0.2">
      <c r="A7" s="11">
        <v>43009</v>
      </c>
      <c r="B7">
        <v>5</v>
      </c>
      <c r="C7">
        <v>3.8</v>
      </c>
      <c r="D7">
        <v>13.44</v>
      </c>
      <c r="E7">
        <v>5.98</v>
      </c>
      <c r="F7">
        <v>4.33</v>
      </c>
      <c r="G7">
        <v>16.73</v>
      </c>
      <c r="H7">
        <v>4.5199999999999996</v>
      </c>
      <c r="I7">
        <v>3.55</v>
      </c>
      <c r="J7">
        <v>11.69</v>
      </c>
    </row>
    <row r="8" spans="1:10" x14ac:dyDescent="0.2">
      <c r="A8" s="11">
        <v>43040</v>
      </c>
      <c r="B8">
        <v>4.72</v>
      </c>
      <c r="C8">
        <v>3.78</v>
      </c>
      <c r="D8">
        <v>10.95</v>
      </c>
      <c r="E8">
        <v>5.41</v>
      </c>
      <c r="F8">
        <v>3.95</v>
      </c>
      <c r="G8">
        <v>15.55</v>
      </c>
      <c r="H8">
        <v>4.3899999999999997</v>
      </c>
      <c r="I8">
        <v>3.7</v>
      </c>
      <c r="J8">
        <v>8.91</v>
      </c>
    </row>
    <row r="9" spans="1:10" x14ac:dyDescent="0.2">
      <c r="A9" s="11">
        <v>43070</v>
      </c>
      <c r="B9">
        <v>4.74</v>
      </c>
      <c r="C9">
        <v>4.03</v>
      </c>
      <c r="D9">
        <v>9.48</v>
      </c>
      <c r="E9">
        <v>5.36</v>
      </c>
      <c r="F9">
        <v>3.9</v>
      </c>
      <c r="G9">
        <v>15.13</v>
      </c>
      <c r="H9">
        <v>4.46</v>
      </c>
      <c r="I9">
        <v>4.09</v>
      </c>
      <c r="J9">
        <v>6.86</v>
      </c>
    </row>
    <row r="10" spans="1:10" x14ac:dyDescent="0.2">
      <c r="A10" s="11">
        <v>43101</v>
      </c>
      <c r="B10">
        <v>5.01</v>
      </c>
      <c r="C10">
        <v>3.86</v>
      </c>
      <c r="D10">
        <v>12.93</v>
      </c>
      <c r="E10">
        <v>6.24</v>
      </c>
      <c r="F10">
        <v>4.67</v>
      </c>
      <c r="G10">
        <v>17.02</v>
      </c>
      <c r="H10">
        <v>4.43</v>
      </c>
      <c r="I10">
        <v>3.48</v>
      </c>
      <c r="J10">
        <v>10.99</v>
      </c>
    </row>
    <row r="11" spans="1:10" x14ac:dyDescent="0.2">
      <c r="A11" s="11">
        <v>43132</v>
      </c>
      <c r="B11">
        <v>5.87</v>
      </c>
      <c r="C11">
        <v>4.5199999999999996</v>
      </c>
      <c r="D11">
        <v>14.96</v>
      </c>
      <c r="E11">
        <v>6.59</v>
      </c>
      <c r="F11">
        <v>4.93</v>
      </c>
      <c r="G11">
        <v>17.149999999999999</v>
      </c>
      <c r="H11">
        <v>5.53</v>
      </c>
      <c r="I11">
        <v>4.33</v>
      </c>
      <c r="J11">
        <v>13.84</v>
      </c>
    </row>
    <row r="12" spans="1:10" x14ac:dyDescent="0.2">
      <c r="A12" s="11">
        <v>43160</v>
      </c>
      <c r="B12">
        <v>6</v>
      </c>
      <c r="C12">
        <v>4.8499999999999996</v>
      </c>
      <c r="D12">
        <v>14.02</v>
      </c>
      <c r="E12">
        <v>6.1</v>
      </c>
      <c r="F12">
        <v>4.8</v>
      </c>
      <c r="G12">
        <v>15.76</v>
      </c>
      <c r="H12">
        <v>5.95</v>
      </c>
      <c r="I12">
        <v>4.87</v>
      </c>
      <c r="J12">
        <v>13.27</v>
      </c>
    </row>
    <row r="13" spans="1:10" x14ac:dyDescent="0.2">
      <c r="A13" s="11">
        <v>43191</v>
      </c>
      <c r="B13">
        <v>5.57</v>
      </c>
      <c r="C13">
        <v>4.6399999999999997</v>
      </c>
      <c r="D13">
        <v>12.62</v>
      </c>
      <c r="E13">
        <v>6.19</v>
      </c>
      <c r="F13">
        <v>4.51</v>
      </c>
      <c r="G13">
        <v>18.38</v>
      </c>
      <c r="H13">
        <v>5.29</v>
      </c>
      <c r="I13">
        <v>4.6900000000000004</v>
      </c>
      <c r="J13">
        <v>9.81</v>
      </c>
    </row>
    <row r="14" spans="1:10" x14ac:dyDescent="0.2">
      <c r="A14" s="11">
        <v>43221</v>
      </c>
      <c r="B14">
        <v>5.14</v>
      </c>
      <c r="C14">
        <v>4.08</v>
      </c>
      <c r="D14">
        <v>13.03</v>
      </c>
      <c r="E14">
        <v>6.18</v>
      </c>
      <c r="F14">
        <v>4.76</v>
      </c>
      <c r="G14">
        <v>16.73</v>
      </c>
      <c r="H14">
        <v>4.6500000000000004</v>
      </c>
      <c r="I14">
        <v>3.77</v>
      </c>
      <c r="J14">
        <v>11.27</v>
      </c>
    </row>
    <row r="15" spans="1:10" x14ac:dyDescent="0.2">
      <c r="A15" s="11">
        <v>43252</v>
      </c>
      <c r="B15">
        <v>5.75</v>
      </c>
      <c r="C15">
        <v>4.55</v>
      </c>
      <c r="D15">
        <v>14.73</v>
      </c>
      <c r="E15">
        <v>6.64</v>
      </c>
      <c r="F15">
        <v>4.9800000000000004</v>
      </c>
      <c r="G15">
        <v>18.2</v>
      </c>
      <c r="H15">
        <v>5.32</v>
      </c>
      <c r="I15">
        <v>4.3499999999999996</v>
      </c>
      <c r="J15">
        <v>12.9</v>
      </c>
    </row>
    <row r="16" spans="1:10" x14ac:dyDescent="0.2">
      <c r="A16" s="11">
        <v>43282</v>
      </c>
      <c r="B16">
        <v>5.66</v>
      </c>
      <c r="C16">
        <v>4.57</v>
      </c>
      <c r="D16">
        <v>13.39</v>
      </c>
      <c r="E16">
        <v>6.15</v>
      </c>
      <c r="F16">
        <v>4.72</v>
      </c>
      <c r="G16">
        <v>16.41</v>
      </c>
      <c r="H16">
        <v>5.42</v>
      </c>
      <c r="I16">
        <v>4.5</v>
      </c>
      <c r="J16">
        <v>11.97</v>
      </c>
    </row>
    <row r="17" spans="1:10" x14ac:dyDescent="0.2">
      <c r="A17" s="11">
        <v>43313</v>
      </c>
      <c r="B17">
        <v>6.27</v>
      </c>
      <c r="C17">
        <v>5.15</v>
      </c>
      <c r="D17">
        <v>14.83</v>
      </c>
      <c r="E17">
        <v>6.72</v>
      </c>
      <c r="F17">
        <v>4.97</v>
      </c>
      <c r="G17">
        <v>20.18</v>
      </c>
      <c r="H17">
        <v>6.06</v>
      </c>
      <c r="I17">
        <v>5.24</v>
      </c>
      <c r="J17">
        <v>12.31</v>
      </c>
    </row>
    <row r="18" spans="1:10" x14ac:dyDescent="0.2">
      <c r="A18" s="11">
        <v>43344</v>
      </c>
      <c r="B18">
        <v>6.47</v>
      </c>
      <c r="C18">
        <v>4.97</v>
      </c>
      <c r="D18">
        <v>16.59</v>
      </c>
      <c r="E18">
        <v>7.38</v>
      </c>
      <c r="F18">
        <v>5.5</v>
      </c>
      <c r="G18">
        <v>20.3</v>
      </c>
      <c r="H18">
        <v>6.05</v>
      </c>
      <c r="I18">
        <v>4.72</v>
      </c>
      <c r="J18">
        <v>14.91</v>
      </c>
    </row>
    <row r="19" spans="1:10" x14ac:dyDescent="0.2">
      <c r="A19" s="11">
        <v>43374</v>
      </c>
      <c r="B19">
        <v>6.83</v>
      </c>
      <c r="C19">
        <v>5.5</v>
      </c>
      <c r="D19">
        <v>16.989999999999998</v>
      </c>
      <c r="E19">
        <v>7.12</v>
      </c>
      <c r="F19">
        <v>5.47</v>
      </c>
      <c r="G19">
        <v>18.91</v>
      </c>
      <c r="H19">
        <v>6.69</v>
      </c>
      <c r="I19">
        <v>5.51</v>
      </c>
      <c r="J19">
        <v>15.98</v>
      </c>
    </row>
    <row r="20" spans="1:10" x14ac:dyDescent="0.2">
      <c r="A20" s="11">
        <v>43405</v>
      </c>
      <c r="B20">
        <v>6.65</v>
      </c>
      <c r="C20">
        <v>5.43</v>
      </c>
      <c r="D20">
        <v>14.86</v>
      </c>
      <c r="E20">
        <v>7.33</v>
      </c>
      <c r="F20">
        <v>5.58</v>
      </c>
      <c r="G20">
        <v>19.940000000000001</v>
      </c>
      <c r="H20">
        <v>6.32</v>
      </c>
      <c r="I20">
        <v>5.36</v>
      </c>
      <c r="J20">
        <v>12.65</v>
      </c>
    </row>
    <row r="21" spans="1:10" x14ac:dyDescent="0.2">
      <c r="A21" s="11">
        <v>43435</v>
      </c>
      <c r="B21">
        <v>7.02</v>
      </c>
      <c r="C21">
        <v>5.75</v>
      </c>
      <c r="D21">
        <v>16.510000000000002</v>
      </c>
      <c r="E21">
        <v>7.48</v>
      </c>
      <c r="F21">
        <v>5.7</v>
      </c>
      <c r="G21">
        <v>20.58</v>
      </c>
      <c r="H21">
        <v>6.8</v>
      </c>
      <c r="I21">
        <v>5.78</v>
      </c>
      <c r="J21">
        <v>14.53</v>
      </c>
    </row>
    <row r="22" spans="1:10" x14ac:dyDescent="0.2">
      <c r="A22" s="11">
        <v>43466</v>
      </c>
      <c r="B22">
        <v>6.86</v>
      </c>
      <c r="C22">
        <v>5.34</v>
      </c>
      <c r="D22">
        <v>17.079999999999998</v>
      </c>
      <c r="E22">
        <v>8.58</v>
      </c>
      <c r="F22">
        <v>6.3</v>
      </c>
      <c r="G22">
        <v>23.38</v>
      </c>
      <c r="H22">
        <v>6.05</v>
      </c>
      <c r="I22">
        <v>4.8899999999999997</v>
      </c>
      <c r="J22">
        <v>13.97</v>
      </c>
    </row>
    <row r="23" spans="1:10" x14ac:dyDescent="0.2">
      <c r="A23" s="11">
        <v>43497</v>
      </c>
      <c r="B23">
        <v>7.2</v>
      </c>
      <c r="C23">
        <v>5.88</v>
      </c>
      <c r="D23">
        <v>17.04</v>
      </c>
      <c r="E23">
        <v>7.69</v>
      </c>
      <c r="F23">
        <v>6.03</v>
      </c>
      <c r="G23">
        <v>19.91</v>
      </c>
      <c r="H23">
        <v>6.97</v>
      </c>
      <c r="I23">
        <v>5.81</v>
      </c>
      <c r="J23">
        <v>15.65</v>
      </c>
    </row>
    <row r="24" spans="1:10" x14ac:dyDescent="0.2">
      <c r="A24" s="11">
        <v>43525</v>
      </c>
      <c r="B24">
        <v>6.65</v>
      </c>
      <c r="C24">
        <v>5.6</v>
      </c>
      <c r="D24">
        <v>14.12</v>
      </c>
      <c r="E24">
        <v>7.72</v>
      </c>
      <c r="F24">
        <v>5.89</v>
      </c>
      <c r="G24">
        <v>21.29</v>
      </c>
      <c r="H24">
        <v>6.15</v>
      </c>
      <c r="I24">
        <v>5.46</v>
      </c>
      <c r="J24">
        <v>10.96</v>
      </c>
    </row>
    <row r="25" spans="1:10" x14ac:dyDescent="0.2">
      <c r="A25" s="11">
        <v>43556</v>
      </c>
      <c r="B25">
        <v>7.35</v>
      </c>
      <c r="C25">
        <v>6.09</v>
      </c>
      <c r="D25">
        <v>16.98</v>
      </c>
      <c r="E25">
        <v>7.57</v>
      </c>
      <c r="F25">
        <v>5.93</v>
      </c>
      <c r="G25">
        <v>21.27</v>
      </c>
      <c r="H25">
        <v>7.25</v>
      </c>
      <c r="I25">
        <v>6.17</v>
      </c>
      <c r="J25">
        <v>15.18</v>
      </c>
    </row>
    <row r="26" spans="1:10" x14ac:dyDescent="0.2">
      <c r="A26" s="11">
        <v>43586</v>
      </c>
      <c r="B26">
        <v>7.03</v>
      </c>
      <c r="C26">
        <v>5.59</v>
      </c>
      <c r="D26">
        <v>17.399999999999999</v>
      </c>
      <c r="E26">
        <v>8.58</v>
      </c>
      <c r="F26">
        <v>6.39</v>
      </c>
      <c r="G26">
        <v>24.72</v>
      </c>
      <c r="H26">
        <v>6.3</v>
      </c>
      <c r="I26">
        <v>5.21</v>
      </c>
      <c r="J26">
        <v>14.05</v>
      </c>
    </row>
    <row r="27" spans="1:10" x14ac:dyDescent="0.2">
      <c r="A27" s="11">
        <v>43617</v>
      </c>
      <c r="B27">
        <v>7.87</v>
      </c>
      <c r="C27">
        <v>6.44</v>
      </c>
      <c r="D27">
        <v>18.98</v>
      </c>
      <c r="E27">
        <v>8.26</v>
      </c>
      <c r="F27">
        <v>6.23</v>
      </c>
      <c r="G27">
        <v>23.57</v>
      </c>
      <c r="H27">
        <v>7.69</v>
      </c>
      <c r="I27">
        <v>6.53</v>
      </c>
      <c r="J27">
        <v>16.72</v>
      </c>
    </row>
    <row r="28" spans="1:10" x14ac:dyDescent="0.2">
      <c r="A28" s="11">
        <v>43647</v>
      </c>
      <c r="B28">
        <v>7.34</v>
      </c>
      <c r="C28">
        <v>6.05</v>
      </c>
      <c r="D28">
        <v>16.64</v>
      </c>
      <c r="E28">
        <v>8.3000000000000007</v>
      </c>
      <c r="F28">
        <v>6.28</v>
      </c>
      <c r="G28">
        <v>23.87</v>
      </c>
      <c r="H28">
        <v>6.9</v>
      </c>
      <c r="I28">
        <v>5.94</v>
      </c>
      <c r="J28">
        <v>13.57</v>
      </c>
    </row>
    <row r="29" spans="1:10" x14ac:dyDescent="0.2">
      <c r="A29" s="11">
        <v>43678</v>
      </c>
      <c r="B29">
        <v>8.19</v>
      </c>
      <c r="C29">
        <v>6.75</v>
      </c>
      <c r="D29">
        <v>18.63</v>
      </c>
      <c r="E29">
        <v>9.7100000000000009</v>
      </c>
      <c r="F29">
        <v>7.48</v>
      </c>
      <c r="G29">
        <v>27.65</v>
      </c>
      <c r="H29">
        <v>7.48</v>
      </c>
      <c r="I29">
        <v>6.4</v>
      </c>
      <c r="J29">
        <v>14.92</v>
      </c>
    </row>
    <row r="30" spans="1:10" x14ac:dyDescent="0.2">
      <c r="A30" s="11">
        <v>43709</v>
      </c>
      <c r="B30">
        <v>7.14</v>
      </c>
      <c r="C30">
        <v>5.92</v>
      </c>
      <c r="D30">
        <v>15.91</v>
      </c>
      <c r="E30">
        <v>9.58</v>
      </c>
      <c r="F30">
        <v>7.3</v>
      </c>
      <c r="G30">
        <v>26.08</v>
      </c>
      <c r="H30">
        <v>5.99</v>
      </c>
      <c r="I30">
        <v>5.27</v>
      </c>
      <c r="J30">
        <v>11.15</v>
      </c>
    </row>
    <row r="31" spans="1:10" x14ac:dyDescent="0.2">
      <c r="A31" s="11">
        <v>43739</v>
      </c>
      <c r="B31">
        <v>8.1</v>
      </c>
      <c r="C31">
        <v>6.43</v>
      </c>
      <c r="D31">
        <v>20.58</v>
      </c>
      <c r="E31">
        <v>8.27</v>
      </c>
      <c r="F31">
        <v>6.22</v>
      </c>
      <c r="G31">
        <v>24</v>
      </c>
      <c r="H31">
        <v>8.02</v>
      </c>
      <c r="I31">
        <v>6.53</v>
      </c>
      <c r="J31">
        <v>19.02</v>
      </c>
    </row>
    <row r="32" spans="1:10" x14ac:dyDescent="0.2">
      <c r="A32" s="11">
        <v>43770</v>
      </c>
      <c r="B32">
        <v>7.23</v>
      </c>
      <c r="C32">
        <v>6.07</v>
      </c>
      <c r="D32">
        <v>15.74</v>
      </c>
      <c r="E32">
        <v>8.8800000000000008</v>
      </c>
      <c r="F32">
        <v>6.94</v>
      </c>
      <c r="G32">
        <v>23.97</v>
      </c>
      <c r="H32">
        <v>6.45</v>
      </c>
      <c r="I32">
        <v>5.66</v>
      </c>
      <c r="J32">
        <v>12.11</v>
      </c>
    </row>
    <row r="33" spans="1:10" x14ac:dyDescent="0.2">
      <c r="A33" s="11">
        <v>43800</v>
      </c>
      <c r="B33">
        <v>7.6</v>
      </c>
      <c r="C33">
        <v>6.25</v>
      </c>
      <c r="D33">
        <v>17.34</v>
      </c>
      <c r="E33">
        <v>9.02</v>
      </c>
      <c r="F33">
        <v>6.94</v>
      </c>
      <c r="G33">
        <v>26.11</v>
      </c>
      <c r="H33">
        <v>6.93</v>
      </c>
      <c r="I33">
        <v>5.92</v>
      </c>
      <c r="J33">
        <v>13.82</v>
      </c>
    </row>
    <row r="34" spans="1:10" x14ac:dyDescent="0.2">
      <c r="A34" s="11">
        <v>43831</v>
      </c>
      <c r="B34">
        <v>7.22</v>
      </c>
      <c r="C34">
        <v>6.03</v>
      </c>
      <c r="D34">
        <v>15.68</v>
      </c>
      <c r="E34">
        <v>9.6999999999999993</v>
      </c>
      <c r="F34">
        <v>7.5</v>
      </c>
      <c r="G34">
        <v>26.45</v>
      </c>
      <c r="H34">
        <v>6.06</v>
      </c>
      <c r="I34">
        <v>5.34</v>
      </c>
      <c r="J34">
        <v>11.08</v>
      </c>
    </row>
    <row r="35" spans="1:10" x14ac:dyDescent="0.2">
      <c r="A35" s="11">
        <v>43862</v>
      </c>
      <c r="B35">
        <v>7.76</v>
      </c>
      <c r="C35">
        <v>6.36</v>
      </c>
      <c r="D35">
        <v>18.399999999999999</v>
      </c>
      <c r="E35">
        <v>8.65</v>
      </c>
      <c r="F35">
        <v>6.75</v>
      </c>
      <c r="G35">
        <v>23.27</v>
      </c>
      <c r="H35">
        <v>7.34</v>
      </c>
      <c r="I35">
        <v>6.17</v>
      </c>
      <c r="J35">
        <v>16.14</v>
      </c>
    </row>
    <row r="36" spans="1:10" x14ac:dyDescent="0.2">
      <c r="A36" s="11">
        <v>43891</v>
      </c>
      <c r="B36">
        <v>8.75</v>
      </c>
      <c r="C36">
        <v>7.61</v>
      </c>
      <c r="D36">
        <v>17.41</v>
      </c>
      <c r="E36">
        <v>9.41</v>
      </c>
      <c r="F36">
        <v>7.65</v>
      </c>
      <c r="G36">
        <v>23.46</v>
      </c>
      <c r="H36">
        <v>8.44</v>
      </c>
      <c r="I36">
        <v>7.59</v>
      </c>
      <c r="J36">
        <v>14.75</v>
      </c>
    </row>
    <row r="37" spans="1:10" x14ac:dyDescent="0.2">
      <c r="A37" s="11">
        <v>43922</v>
      </c>
      <c r="B37">
        <v>23.52</v>
      </c>
      <c r="C37">
        <v>22.89</v>
      </c>
      <c r="D37">
        <v>29.22</v>
      </c>
      <c r="E37">
        <v>24.95</v>
      </c>
      <c r="F37">
        <v>24.11</v>
      </c>
      <c r="G37">
        <v>31.85</v>
      </c>
      <c r="H37">
        <v>22.89</v>
      </c>
      <c r="I37">
        <v>22.35</v>
      </c>
      <c r="J37">
        <v>27.92</v>
      </c>
    </row>
    <row r="38" spans="1:10" x14ac:dyDescent="0.2">
      <c r="A38" s="11">
        <v>43952</v>
      </c>
      <c r="B38">
        <v>21.73</v>
      </c>
      <c r="C38">
        <v>21.28</v>
      </c>
      <c r="D38">
        <v>25.36</v>
      </c>
      <c r="E38">
        <v>23.14</v>
      </c>
      <c r="F38">
        <v>22.08</v>
      </c>
      <c r="G38">
        <v>31.56</v>
      </c>
      <c r="H38">
        <v>21.11</v>
      </c>
      <c r="I38">
        <v>20.93</v>
      </c>
      <c r="J38">
        <v>22.54</v>
      </c>
    </row>
    <row r="39" spans="1:10" x14ac:dyDescent="0.2">
      <c r="A39" s="11">
        <v>43983</v>
      </c>
      <c r="B39">
        <v>10.18</v>
      </c>
      <c r="C39">
        <v>9.5299999999999994</v>
      </c>
      <c r="D39">
        <v>15.38</v>
      </c>
      <c r="E39">
        <v>11.68</v>
      </c>
      <c r="F39">
        <v>10.77</v>
      </c>
      <c r="G39">
        <v>20.25</v>
      </c>
      <c r="H39">
        <v>9.49</v>
      </c>
      <c r="I39">
        <v>8.94</v>
      </c>
      <c r="J39">
        <v>13.57</v>
      </c>
    </row>
    <row r="40" spans="1:10" x14ac:dyDescent="0.2">
      <c r="A40" s="11">
        <v>44013</v>
      </c>
      <c r="B40">
        <v>7.4</v>
      </c>
      <c r="C40">
        <v>6.68</v>
      </c>
      <c r="D40">
        <v>12.92</v>
      </c>
      <c r="E40">
        <v>9.3699999999999992</v>
      </c>
      <c r="F40">
        <v>8.2799999999999994</v>
      </c>
      <c r="G40">
        <v>19.45</v>
      </c>
      <c r="H40">
        <v>6.51</v>
      </c>
      <c r="I40">
        <v>5.93</v>
      </c>
      <c r="J40">
        <v>10.59</v>
      </c>
    </row>
    <row r="41" spans="1:10" x14ac:dyDescent="0.2">
      <c r="A41" s="11">
        <v>44044</v>
      </c>
      <c r="B41">
        <v>8.35</v>
      </c>
      <c r="C41">
        <v>7.29</v>
      </c>
      <c r="D41">
        <v>16.850000000000001</v>
      </c>
      <c r="E41">
        <v>9.83</v>
      </c>
      <c r="F41">
        <v>8.4499999999999993</v>
      </c>
      <c r="G41">
        <v>21.88</v>
      </c>
      <c r="H41">
        <v>7.65</v>
      </c>
      <c r="I41">
        <v>6.74</v>
      </c>
      <c r="J41">
        <v>14.71</v>
      </c>
    </row>
    <row r="42" spans="1:10" x14ac:dyDescent="0.2">
      <c r="A42" s="11">
        <v>44075</v>
      </c>
      <c r="B42">
        <v>6.68</v>
      </c>
      <c r="C42">
        <v>6.18</v>
      </c>
      <c r="D42">
        <v>10.61</v>
      </c>
      <c r="E42">
        <v>8.4499999999999993</v>
      </c>
      <c r="F42">
        <v>7.33</v>
      </c>
      <c r="G42">
        <v>19.079999999999998</v>
      </c>
      <c r="H42">
        <v>5.88</v>
      </c>
      <c r="I42">
        <v>5.65</v>
      </c>
      <c r="J42">
        <v>7.56</v>
      </c>
    </row>
    <row r="43" spans="1:10" x14ac:dyDescent="0.2">
      <c r="A43" s="11">
        <v>44105</v>
      </c>
      <c r="B43">
        <v>7.02</v>
      </c>
      <c r="C43">
        <v>6.06</v>
      </c>
      <c r="D43">
        <v>14.89</v>
      </c>
      <c r="E43">
        <v>7.18</v>
      </c>
      <c r="F43">
        <v>6.37</v>
      </c>
      <c r="G43">
        <v>15.31</v>
      </c>
      <c r="H43">
        <v>6.95</v>
      </c>
      <c r="I43">
        <v>5.92</v>
      </c>
      <c r="J43">
        <v>14.75</v>
      </c>
    </row>
    <row r="44" spans="1:10" x14ac:dyDescent="0.2">
      <c r="A44" s="11">
        <v>44136</v>
      </c>
      <c r="B44">
        <v>6.5</v>
      </c>
      <c r="C44">
        <v>5.37</v>
      </c>
      <c r="D44">
        <v>15.82</v>
      </c>
      <c r="E44">
        <v>7.07</v>
      </c>
      <c r="F44">
        <v>5.88</v>
      </c>
      <c r="G44">
        <v>19.399999999999999</v>
      </c>
      <c r="H44">
        <v>6.24</v>
      </c>
      <c r="I44">
        <v>5.12</v>
      </c>
      <c r="J44">
        <v>14.6</v>
      </c>
    </row>
    <row r="45" spans="1:10" x14ac:dyDescent="0.2">
      <c r="A45" s="11">
        <v>44166</v>
      </c>
      <c r="B45">
        <v>9.06</v>
      </c>
      <c r="C45">
        <v>7.39</v>
      </c>
      <c r="D45">
        <v>22.85</v>
      </c>
      <c r="E45">
        <v>8.84</v>
      </c>
      <c r="F45">
        <v>7.01</v>
      </c>
      <c r="G45">
        <v>26.71</v>
      </c>
      <c r="H45">
        <v>9.15</v>
      </c>
      <c r="I45">
        <v>7.58</v>
      </c>
      <c r="J45">
        <v>21.41</v>
      </c>
    </row>
    <row r="46" spans="1:10" x14ac:dyDescent="0.2">
      <c r="A46" s="11">
        <v>44197</v>
      </c>
      <c r="B46">
        <v>6.52</v>
      </c>
      <c r="C46">
        <v>5.67</v>
      </c>
      <c r="D46">
        <v>13.06</v>
      </c>
      <c r="E46">
        <v>8.09</v>
      </c>
      <c r="F46">
        <v>6.88</v>
      </c>
      <c r="G46">
        <v>19.34</v>
      </c>
      <c r="H46">
        <v>5.81</v>
      </c>
      <c r="I46">
        <v>5.0999999999999996</v>
      </c>
      <c r="J46">
        <v>10.8</v>
      </c>
    </row>
    <row r="47" spans="1:10" x14ac:dyDescent="0.2">
      <c r="A47" s="11">
        <v>44228</v>
      </c>
      <c r="B47">
        <v>6.89</v>
      </c>
      <c r="C47">
        <v>6.22</v>
      </c>
      <c r="D47">
        <v>12.45</v>
      </c>
      <c r="E47">
        <v>6.99</v>
      </c>
      <c r="F47">
        <v>6.08</v>
      </c>
      <c r="G47">
        <v>17.09</v>
      </c>
      <c r="H47">
        <v>6.85</v>
      </c>
      <c r="I47">
        <v>6.29</v>
      </c>
      <c r="J47">
        <v>10.99</v>
      </c>
    </row>
    <row r="48" spans="1:10" x14ac:dyDescent="0.2">
      <c r="A48" s="11">
        <v>44256</v>
      </c>
      <c r="B48">
        <v>6.5</v>
      </c>
      <c r="C48">
        <v>5.7</v>
      </c>
      <c r="D48">
        <v>12.8</v>
      </c>
      <c r="E48">
        <v>7.27</v>
      </c>
      <c r="F48">
        <v>6.14</v>
      </c>
      <c r="G48">
        <v>19.16</v>
      </c>
      <c r="H48">
        <v>6.15</v>
      </c>
      <c r="I48">
        <v>5.49</v>
      </c>
      <c r="J48">
        <v>10.79</v>
      </c>
    </row>
    <row r="49" spans="1:10" x14ac:dyDescent="0.2">
      <c r="A49" s="11">
        <v>44287</v>
      </c>
      <c r="B49">
        <v>7.97</v>
      </c>
      <c r="C49">
        <v>6.93</v>
      </c>
      <c r="D49">
        <v>17</v>
      </c>
      <c r="E49">
        <v>9.7799999999999994</v>
      </c>
      <c r="F49">
        <v>8.3699999999999992</v>
      </c>
      <c r="G49">
        <v>23.59</v>
      </c>
      <c r="H49">
        <v>7.13</v>
      </c>
      <c r="I49">
        <v>6.24</v>
      </c>
      <c r="J49">
        <v>14.38</v>
      </c>
    </row>
    <row r="50" spans="1:10" x14ac:dyDescent="0.2">
      <c r="A50" s="11">
        <v>44317</v>
      </c>
      <c r="B50">
        <v>11.84</v>
      </c>
      <c r="C50">
        <v>11.2</v>
      </c>
      <c r="D50">
        <v>16.77</v>
      </c>
      <c r="E50">
        <v>14.72</v>
      </c>
      <c r="F50">
        <v>13.67</v>
      </c>
      <c r="G50">
        <v>23.47</v>
      </c>
      <c r="H50">
        <v>10.55</v>
      </c>
      <c r="I50">
        <v>10.08</v>
      </c>
      <c r="J50">
        <v>14.04</v>
      </c>
    </row>
    <row r="51" spans="1:10" x14ac:dyDescent="0.2">
      <c r="A51" s="11">
        <v>44348</v>
      </c>
      <c r="B51">
        <v>9.17</v>
      </c>
      <c r="C51">
        <v>8.56</v>
      </c>
      <c r="D51">
        <v>14.49</v>
      </c>
      <c r="E51">
        <v>10.08</v>
      </c>
      <c r="F51">
        <v>9.25</v>
      </c>
      <c r="G51">
        <v>19.05</v>
      </c>
      <c r="H51">
        <v>8.75</v>
      </c>
      <c r="I51">
        <v>8.24</v>
      </c>
      <c r="J51">
        <v>12.86</v>
      </c>
    </row>
    <row r="52" spans="1:10" x14ac:dyDescent="0.2">
      <c r="A52" s="11">
        <v>44378</v>
      </c>
      <c r="B52">
        <v>6.96</v>
      </c>
      <c r="C52">
        <v>6.18</v>
      </c>
      <c r="D52">
        <v>13.32</v>
      </c>
      <c r="E52">
        <v>8.32</v>
      </c>
      <c r="F52">
        <v>6.97</v>
      </c>
      <c r="G52">
        <v>22.51</v>
      </c>
      <c r="H52">
        <v>6.34</v>
      </c>
      <c r="I52">
        <v>5.81</v>
      </c>
      <c r="J52">
        <v>10.27</v>
      </c>
    </row>
    <row r="53" spans="1:10" x14ac:dyDescent="0.2">
      <c r="A53" s="11">
        <v>44409</v>
      </c>
      <c r="B53">
        <v>8.32</v>
      </c>
      <c r="C53">
        <v>7.42</v>
      </c>
      <c r="D53">
        <v>15.5</v>
      </c>
      <c r="E53">
        <v>9.7799999999999994</v>
      </c>
      <c r="F53">
        <v>8.07</v>
      </c>
      <c r="G53">
        <v>27.37</v>
      </c>
      <c r="H53">
        <v>7.64</v>
      </c>
      <c r="I53">
        <v>7.11</v>
      </c>
      <c r="J53">
        <v>11.49</v>
      </c>
    </row>
    <row r="54" spans="1:10" x14ac:dyDescent="0.2">
      <c r="A54" s="11">
        <v>44440</v>
      </c>
      <c r="B54">
        <v>6.86</v>
      </c>
      <c r="C54">
        <v>6.53</v>
      </c>
      <c r="D54">
        <v>9.39</v>
      </c>
      <c r="E54">
        <v>8.64</v>
      </c>
      <c r="F54">
        <v>7.63</v>
      </c>
      <c r="G54">
        <v>18.05</v>
      </c>
      <c r="H54">
        <v>6.04</v>
      </c>
      <c r="I54">
        <v>6</v>
      </c>
      <c r="J54">
        <v>6.35</v>
      </c>
    </row>
    <row r="55" spans="1:10" x14ac:dyDescent="0.2">
      <c r="A55" s="11">
        <v>44470</v>
      </c>
      <c r="B55">
        <v>7.74</v>
      </c>
      <c r="C55">
        <v>7.01</v>
      </c>
      <c r="D55">
        <v>13.68</v>
      </c>
      <c r="E55">
        <v>7.37</v>
      </c>
      <c r="F55">
        <v>6.27</v>
      </c>
      <c r="G55">
        <v>18.98</v>
      </c>
      <c r="H55">
        <v>7.91</v>
      </c>
      <c r="I55">
        <v>7.36</v>
      </c>
      <c r="J55">
        <v>11.94</v>
      </c>
    </row>
    <row r="56" spans="1:10" x14ac:dyDescent="0.2">
      <c r="A56" s="11">
        <v>44501</v>
      </c>
      <c r="B56">
        <v>6.97</v>
      </c>
      <c r="C56">
        <v>6.14</v>
      </c>
      <c r="D56">
        <v>13.88</v>
      </c>
      <c r="E56">
        <v>8.1999999999999993</v>
      </c>
      <c r="F56">
        <v>6.86</v>
      </c>
      <c r="G56">
        <v>22.16</v>
      </c>
      <c r="H56">
        <v>6.41</v>
      </c>
      <c r="I56">
        <v>5.8</v>
      </c>
      <c r="J56">
        <v>11.01</v>
      </c>
    </row>
    <row r="57" spans="1:10" x14ac:dyDescent="0.2">
      <c r="A57" s="11">
        <v>44531</v>
      </c>
      <c r="B57">
        <v>7.91</v>
      </c>
      <c r="C57">
        <v>6.83</v>
      </c>
      <c r="D57">
        <v>16.45</v>
      </c>
      <c r="E57">
        <v>9.3000000000000007</v>
      </c>
      <c r="F57">
        <v>7.73</v>
      </c>
      <c r="G57">
        <v>24.47</v>
      </c>
      <c r="H57">
        <v>7.28</v>
      </c>
      <c r="I57">
        <v>6.41</v>
      </c>
      <c r="J57">
        <v>13.59</v>
      </c>
    </row>
    <row r="58" spans="1:10" x14ac:dyDescent="0.2">
      <c r="A58" s="11">
        <v>44562</v>
      </c>
      <c r="B58">
        <v>6.56</v>
      </c>
      <c r="C58">
        <v>6.11</v>
      </c>
      <c r="D58">
        <v>10.07</v>
      </c>
      <c r="E58">
        <v>8.14</v>
      </c>
      <c r="F58">
        <v>7.26</v>
      </c>
      <c r="G58">
        <v>16.86</v>
      </c>
      <c r="H58">
        <v>5.83</v>
      </c>
      <c r="I58">
        <v>5.55</v>
      </c>
      <c r="J58">
        <v>7.77</v>
      </c>
    </row>
    <row r="59" spans="1:10" x14ac:dyDescent="0.2">
      <c r="A59" s="11">
        <v>44593</v>
      </c>
      <c r="B59">
        <v>8.11</v>
      </c>
      <c r="C59">
        <v>6.96</v>
      </c>
      <c r="D59">
        <v>17.59</v>
      </c>
      <c r="E59">
        <v>7.57</v>
      </c>
      <c r="F59">
        <v>6.41</v>
      </c>
      <c r="G59">
        <v>19.95</v>
      </c>
      <c r="H59">
        <v>8.3699999999999992</v>
      </c>
      <c r="I59">
        <v>7.23</v>
      </c>
      <c r="J59">
        <v>16.8</v>
      </c>
    </row>
    <row r="60" spans="1:10" x14ac:dyDescent="0.2">
      <c r="A60" s="11">
        <v>44621</v>
      </c>
      <c r="B60">
        <v>7.57</v>
      </c>
      <c r="C60">
        <v>6.63</v>
      </c>
      <c r="D60">
        <v>15.6</v>
      </c>
      <c r="E60">
        <v>8.2799999999999994</v>
      </c>
      <c r="F60">
        <v>6.81</v>
      </c>
      <c r="G60">
        <v>23.4</v>
      </c>
      <c r="H60">
        <v>7.24</v>
      </c>
      <c r="I60">
        <v>6.54</v>
      </c>
      <c r="J60">
        <v>12.74</v>
      </c>
    </row>
    <row r="61" spans="1:10" x14ac:dyDescent="0.2">
      <c r="A61" s="11">
        <v>44652</v>
      </c>
      <c r="B61">
        <v>7.83</v>
      </c>
      <c r="C61">
        <v>6.67</v>
      </c>
      <c r="D61">
        <v>17.05</v>
      </c>
      <c r="E61">
        <v>9.2200000000000006</v>
      </c>
      <c r="F61">
        <v>7.66</v>
      </c>
      <c r="G61">
        <v>24.87</v>
      </c>
      <c r="H61">
        <v>7.18</v>
      </c>
      <c r="I61">
        <v>6.19</v>
      </c>
      <c r="J61">
        <v>14.32</v>
      </c>
    </row>
    <row r="62" spans="1:10" x14ac:dyDescent="0.2">
      <c r="A62" s="11">
        <v>44682</v>
      </c>
      <c r="B62">
        <v>7.12</v>
      </c>
      <c r="C62">
        <v>6.49</v>
      </c>
      <c r="D62">
        <v>12.17</v>
      </c>
      <c r="E62">
        <v>8.2100000000000009</v>
      </c>
      <c r="F62">
        <v>7.06</v>
      </c>
      <c r="G62">
        <v>19.88</v>
      </c>
      <c r="H62">
        <v>6.62</v>
      </c>
      <c r="I62">
        <v>6.22</v>
      </c>
      <c r="J62">
        <v>9.5399999999999991</v>
      </c>
    </row>
    <row r="63" spans="1:10" x14ac:dyDescent="0.2">
      <c r="A63" s="11">
        <v>44713</v>
      </c>
      <c r="B63">
        <v>7.8</v>
      </c>
      <c r="C63">
        <v>6.71</v>
      </c>
      <c r="D63">
        <v>18.09</v>
      </c>
      <c r="E63">
        <v>7.3</v>
      </c>
      <c r="F63">
        <v>6.13</v>
      </c>
      <c r="G63">
        <v>20.16</v>
      </c>
      <c r="H63">
        <v>8.0299999999999994</v>
      </c>
      <c r="I63">
        <v>6.99</v>
      </c>
      <c r="J63">
        <v>17.29</v>
      </c>
    </row>
    <row r="64" spans="1:10" x14ac:dyDescent="0.2">
      <c r="A64" s="11">
        <v>44743</v>
      </c>
      <c r="B64">
        <v>6.8</v>
      </c>
      <c r="C64">
        <v>5.98</v>
      </c>
      <c r="D64">
        <v>14.34</v>
      </c>
      <c r="E64">
        <v>8.2100000000000009</v>
      </c>
      <c r="F64">
        <v>6.88</v>
      </c>
      <c r="G64">
        <v>22.94</v>
      </c>
      <c r="H64">
        <v>6.14</v>
      </c>
      <c r="I64">
        <v>5.55</v>
      </c>
      <c r="J64">
        <v>11.16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4842-6061-ED49-9214-76683BC7D333}">
  <dimension ref="A1:J64"/>
  <sheetViews>
    <sheetView workbookViewId="0">
      <selection activeCell="O19" sqref="O19"/>
    </sheetView>
  </sheetViews>
  <sheetFormatPr baseColWidth="10" defaultRowHeight="16" x14ac:dyDescent="0.2"/>
  <sheetData>
    <row r="1" spans="1:10" x14ac:dyDescent="0.2">
      <c r="A1" t="s">
        <v>508</v>
      </c>
    </row>
    <row r="2" spans="1:10" x14ac:dyDescent="0.2">
      <c r="A2" t="s">
        <v>509</v>
      </c>
    </row>
    <row r="3" spans="1:10" x14ac:dyDescent="0.2">
      <c r="A3" t="s">
        <v>271</v>
      </c>
      <c r="B3" t="s">
        <v>510</v>
      </c>
      <c r="C3" t="s">
        <v>510</v>
      </c>
      <c r="D3" t="s">
        <v>510</v>
      </c>
      <c r="E3" t="s">
        <v>511</v>
      </c>
      <c r="F3" t="s">
        <v>511</v>
      </c>
      <c r="G3" t="s">
        <v>511</v>
      </c>
      <c r="H3" t="s">
        <v>512</v>
      </c>
      <c r="I3" t="s">
        <v>512</v>
      </c>
      <c r="J3" t="s">
        <v>512</v>
      </c>
    </row>
    <row r="4" spans="1:10" x14ac:dyDescent="0.2">
      <c r="A4" t="s">
        <v>55</v>
      </c>
      <c r="B4" t="s">
        <v>47</v>
      </c>
      <c r="C4" t="s">
        <v>513</v>
      </c>
      <c r="D4" t="s">
        <v>514</v>
      </c>
      <c r="E4" t="s">
        <v>47</v>
      </c>
      <c r="F4" t="s">
        <v>513</v>
      </c>
      <c r="G4" t="s">
        <v>514</v>
      </c>
      <c r="H4" t="s">
        <v>47</v>
      </c>
      <c r="I4" t="s">
        <v>513</v>
      </c>
      <c r="J4" t="s">
        <v>514</v>
      </c>
    </row>
    <row r="5" spans="1:10" x14ac:dyDescent="0.2">
      <c r="A5" s="11">
        <v>42948</v>
      </c>
      <c r="B5">
        <v>44.51</v>
      </c>
      <c r="C5">
        <v>73.16</v>
      </c>
      <c r="D5">
        <v>12.87</v>
      </c>
      <c r="E5">
        <v>42.66</v>
      </c>
      <c r="F5">
        <v>70.87</v>
      </c>
      <c r="G5">
        <v>12.21</v>
      </c>
      <c r="H5">
        <v>45.45</v>
      </c>
      <c r="I5">
        <v>74.3</v>
      </c>
      <c r="J5">
        <v>13.21</v>
      </c>
    </row>
    <row r="6" spans="1:10" x14ac:dyDescent="0.2">
      <c r="A6" s="11">
        <v>42979</v>
      </c>
      <c r="B6">
        <v>44.7</v>
      </c>
      <c r="C6">
        <v>72.94</v>
      </c>
      <c r="D6">
        <v>12.99</v>
      </c>
      <c r="E6">
        <v>42.78</v>
      </c>
      <c r="F6">
        <v>70.849999999999994</v>
      </c>
      <c r="G6">
        <v>12.29</v>
      </c>
      <c r="H6">
        <v>45.67</v>
      </c>
      <c r="I6">
        <v>73.97</v>
      </c>
      <c r="J6">
        <v>13.35</v>
      </c>
    </row>
    <row r="7" spans="1:10" x14ac:dyDescent="0.2">
      <c r="A7" s="11">
        <v>43009</v>
      </c>
      <c r="B7">
        <v>45.22</v>
      </c>
      <c r="C7">
        <v>73.56</v>
      </c>
      <c r="D7">
        <v>13.5</v>
      </c>
      <c r="E7">
        <v>43.75</v>
      </c>
      <c r="F7">
        <v>71.88</v>
      </c>
      <c r="G7">
        <v>13.38</v>
      </c>
      <c r="H7">
        <v>45.97</v>
      </c>
      <c r="I7">
        <v>74.38</v>
      </c>
      <c r="J7">
        <v>13.57</v>
      </c>
    </row>
    <row r="8" spans="1:10" x14ac:dyDescent="0.2">
      <c r="A8" s="11">
        <v>43040</v>
      </c>
      <c r="B8">
        <v>45.12</v>
      </c>
      <c r="C8">
        <v>73.59</v>
      </c>
      <c r="D8">
        <v>13.7</v>
      </c>
      <c r="E8">
        <v>43.04</v>
      </c>
      <c r="F8">
        <v>71.16</v>
      </c>
      <c r="G8">
        <v>12.74</v>
      </c>
      <c r="H8">
        <v>46.17</v>
      </c>
      <c r="I8">
        <v>74.8</v>
      </c>
      <c r="J8">
        <v>14.2</v>
      </c>
    </row>
    <row r="9" spans="1:10" x14ac:dyDescent="0.2">
      <c r="A9" s="11">
        <v>43070</v>
      </c>
      <c r="B9">
        <v>45</v>
      </c>
      <c r="C9">
        <v>73.61</v>
      </c>
      <c r="D9">
        <v>13.63</v>
      </c>
      <c r="E9">
        <v>43.5</v>
      </c>
      <c r="F9">
        <v>71.41</v>
      </c>
      <c r="G9">
        <v>13.41</v>
      </c>
      <c r="H9">
        <v>45.75</v>
      </c>
      <c r="I9">
        <v>74.7</v>
      </c>
      <c r="J9">
        <v>13.74</v>
      </c>
    </row>
    <row r="10" spans="1:10" x14ac:dyDescent="0.2">
      <c r="A10" s="11">
        <v>43101</v>
      </c>
      <c r="B10">
        <v>44.61</v>
      </c>
      <c r="C10">
        <v>72.89</v>
      </c>
      <c r="D10">
        <v>13.13</v>
      </c>
      <c r="E10">
        <v>42.79</v>
      </c>
      <c r="F10">
        <v>70.55</v>
      </c>
      <c r="G10">
        <v>12.63</v>
      </c>
      <c r="H10">
        <v>45.53</v>
      </c>
      <c r="I10">
        <v>74.05</v>
      </c>
      <c r="J10">
        <v>13.38</v>
      </c>
    </row>
    <row r="11" spans="1:10" x14ac:dyDescent="0.2">
      <c r="A11" s="11">
        <v>43132</v>
      </c>
      <c r="B11">
        <v>45.03</v>
      </c>
      <c r="C11">
        <v>72.959999999999994</v>
      </c>
      <c r="D11">
        <v>13.81</v>
      </c>
      <c r="E11">
        <v>43.49</v>
      </c>
      <c r="F11">
        <v>71.09</v>
      </c>
      <c r="G11">
        <v>13.52</v>
      </c>
      <c r="H11">
        <v>45.81</v>
      </c>
      <c r="I11">
        <v>73.88</v>
      </c>
      <c r="J11">
        <v>13.97</v>
      </c>
    </row>
    <row r="12" spans="1:10" x14ac:dyDescent="0.2">
      <c r="A12" s="11">
        <v>43160</v>
      </c>
      <c r="B12">
        <v>44.48</v>
      </c>
      <c r="C12">
        <v>73.2</v>
      </c>
      <c r="D12">
        <v>12.9</v>
      </c>
      <c r="E12">
        <v>42.44</v>
      </c>
      <c r="F12">
        <v>70.790000000000006</v>
      </c>
      <c r="G12">
        <v>12.02</v>
      </c>
      <c r="H12">
        <v>45.51</v>
      </c>
      <c r="I12">
        <v>74.39</v>
      </c>
      <c r="J12">
        <v>13.36</v>
      </c>
    </row>
    <row r="13" spans="1:10" x14ac:dyDescent="0.2">
      <c r="A13" s="11">
        <v>43191</v>
      </c>
      <c r="B13">
        <v>44.03</v>
      </c>
      <c r="C13">
        <v>73.28</v>
      </c>
      <c r="D13">
        <v>11.84</v>
      </c>
      <c r="E13">
        <v>42.57</v>
      </c>
      <c r="F13">
        <v>70.48</v>
      </c>
      <c r="G13">
        <v>12.51</v>
      </c>
      <c r="H13">
        <v>44.77</v>
      </c>
      <c r="I13">
        <v>74.67</v>
      </c>
      <c r="J13">
        <v>11.49</v>
      </c>
    </row>
    <row r="14" spans="1:10" x14ac:dyDescent="0.2">
      <c r="A14" s="11">
        <v>43221</v>
      </c>
      <c r="B14">
        <v>43.71</v>
      </c>
      <c r="C14">
        <v>72.2</v>
      </c>
      <c r="D14">
        <v>11.86</v>
      </c>
      <c r="E14">
        <v>41.76</v>
      </c>
      <c r="F14">
        <v>69.44</v>
      </c>
      <c r="G14">
        <v>11.45</v>
      </c>
      <c r="H14">
        <v>44.7</v>
      </c>
      <c r="I14">
        <v>73.569999999999993</v>
      </c>
      <c r="J14">
        <v>12.07</v>
      </c>
    </row>
    <row r="15" spans="1:10" x14ac:dyDescent="0.2">
      <c r="A15" s="11">
        <v>43252</v>
      </c>
      <c r="B15">
        <v>44.25</v>
      </c>
      <c r="C15">
        <v>72.510000000000005</v>
      </c>
      <c r="D15">
        <v>12.53</v>
      </c>
      <c r="E15">
        <v>42.5</v>
      </c>
      <c r="F15">
        <v>70.53</v>
      </c>
      <c r="G15">
        <v>12.02</v>
      </c>
      <c r="H15">
        <v>45.13</v>
      </c>
      <c r="I15">
        <v>73.489999999999995</v>
      </c>
      <c r="J15">
        <v>12.8</v>
      </c>
    </row>
    <row r="16" spans="1:10" x14ac:dyDescent="0.2">
      <c r="A16" s="11">
        <v>43282</v>
      </c>
      <c r="B16">
        <v>43.81</v>
      </c>
      <c r="C16">
        <v>72.510000000000005</v>
      </c>
      <c r="D16">
        <v>12.25</v>
      </c>
      <c r="E16">
        <v>42.18</v>
      </c>
      <c r="F16">
        <v>70.34</v>
      </c>
      <c r="G16">
        <v>11.79</v>
      </c>
      <c r="H16">
        <v>44.63</v>
      </c>
      <c r="I16">
        <v>73.599999999999994</v>
      </c>
      <c r="J16">
        <v>12.48</v>
      </c>
    </row>
    <row r="17" spans="1:10" x14ac:dyDescent="0.2">
      <c r="A17" s="11">
        <v>43313</v>
      </c>
      <c r="B17">
        <v>43.4</v>
      </c>
      <c r="C17">
        <v>72.72</v>
      </c>
      <c r="D17">
        <v>11.3</v>
      </c>
      <c r="E17">
        <v>41.96</v>
      </c>
      <c r="F17">
        <v>70.13</v>
      </c>
      <c r="G17">
        <v>11.36</v>
      </c>
      <c r="H17">
        <v>44.13</v>
      </c>
      <c r="I17">
        <v>74.03</v>
      </c>
      <c r="J17">
        <v>11.28</v>
      </c>
    </row>
    <row r="18" spans="1:10" x14ac:dyDescent="0.2">
      <c r="A18" s="11">
        <v>43344</v>
      </c>
      <c r="B18">
        <v>44.13</v>
      </c>
      <c r="C18">
        <v>72.33</v>
      </c>
      <c r="D18">
        <v>12.84</v>
      </c>
      <c r="E18">
        <v>42.25</v>
      </c>
      <c r="F18">
        <v>69.680000000000007</v>
      </c>
      <c r="G18">
        <v>12.29</v>
      </c>
      <c r="H18">
        <v>45.08</v>
      </c>
      <c r="I18">
        <v>73.650000000000006</v>
      </c>
      <c r="J18">
        <v>13.13</v>
      </c>
    </row>
    <row r="19" spans="1:10" x14ac:dyDescent="0.2">
      <c r="A19" s="11">
        <v>43374</v>
      </c>
      <c r="B19">
        <v>43.84</v>
      </c>
      <c r="C19">
        <v>72.180000000000007</v>
      </c>
      <c r="D19">
        <v>12.16</v>
      </c>
      <c r="E19">
        <v>42.46</v>
      </c>
      <c r="F19">
        <v>70.52</v>
      </c>
      <c r="G19">
        <v>11.93</v>
      </c>
      <c r="H19">
        <v>44.54</v>
      </c>
      <c r="I19">
        <v>73.010000000000005</v>
      </c>
      <c r="J19">
        <v>12.28</v>
      </c>
    </row>
    <row r="20" spans="1:10" x14ac:dyDescent="0.2">
      <c r="A20" s="11">
        <v>43405</v>
      </c>
      <c r="B20">
        <v>44.05</v>
      </c>
      <c r="C20">
        <v>72.34</v>
      </c>
      <c r="D20">
        <v>12.98</v>
      </c>
      <c r="E20">
        <v>42.21</v>
      </c>
      <c r="F20">
        <v>70</v>
      </c>
      <c r="G20">
        <v>12.2</v>
      </c>
      <c r="H20">
        <v>44.98</v>
      </c>
      <c r="I20">
        <v>73.510000000000005</v>
      </c>
      <c r="J20">
        <v>13.38</v>
      </c>
    </row>
    <row r="21" spans="1:10" x14ac:dyDescent="0.2">
      <c r="A21" s="11">
        <v>43435</v>
      </c>
      <c r="B21">
        <v>43.57</v>
      </c>
      <c r="C21">
        <v>72.819999999999993</v>
      </c>
      <c r="D21">
        <v>11.74</v>
      </c>
      <c r="E21">
        <v>42.36</v>
      </c>
      <c r="F21">
        <v>70.209999999999994</v>
      </c>
      <c r="G21">
        <v>12.2</v>
      </c>
      <c r="H21">
        <v>44.18</v>
      </c>
      <c r="I21">
        <v>74.13</v>
      </c>
      <c r="J21">
        <v>11.5</v>
      </c>
    </row>
    <row r="22" spans="1:10" x14ac:dyDescent="0.2">
      <c r="A22" s="11">
        <v>43466</v>
      </c>
      <c r="B22">
        <v>44.63</v>
      </c>
      <c r="C22">
        <v>72.39</v>
      </c>
      <c r="D22">
        <v>13.58</v>
      </c>
      <c r="E22">
        <v>42.91</v>
      </c>
      <c r="F22">
        <v>69.739999999999995</v>
      </c>
      <c r="G22">
        <v>13.44</v>
      </c>
      <c r="H22">
        <v>45.5</v>
      </c>
      <c r="I22">
        <v>73.709999999999994</v>
      </c>
      <c r="J22">
        <v>13.66</v>
      </c>
    </row>
    <row r="23" spans="1:10" x14ac:dyDescent="0.2">
      <c r="A23" s="11">
        <v>43497</v>
      </c>
      <c r="B23">
        <v>44.08</v>
      </c>
      <c r="C23">
        <v>72.22</v>
      </c>
      <c r="D23">
        <v>12.55</v>
      </c>
      <c r="E23">
        <v>42.3</v>
      </c>
      <c r="F23">
        <v>70.2</v>
      </c>
      <c r="G23">
        <v>11.81</v>
      </c>
      <c r="H23">
        <v>44.98</v>
      </c>
      <c r="I23">
        <v>73.23</v>
      </c>
      <c r="J23">
        <v>12.94</v>
      </c>
    </row>
    <row r="24" spans="1:10" x14ac:dyDescent="0.2">
      <c r="A24" s="11">
        <v>43525</v>
      </c>
      <c r="B24">
        <v>43.85</v>
      </c>
      <c r="C24">
        <v>72.19</v>
      </c>
      <c r="D24">
        <v>12.58</v>
      </c>
      <c r="E24">
        <v>41.85</v>
      </c>
      <c r="F24">
        <v>69.38</v>
      </c>
      <c r="G24">
        <v>11.98</v>
      </c>
      <c r="H24">
        <v>44.86</v>
      </c>
      <c r="I24">
        <v>73.599999999999994</v>
      </c>
      <c r="J24">
        <v>12.89</v>
      </c>
    </row>
    <row r="25" spans="1:10" x14ac:dyDescent="0.2">
      <c r="A25" s="11">
        <v>43556</v>
      </c>
      <c r="B25">
        <v>43.49</v>
      </c>
      <c r="C25">
        <v>72.540000000000006</v>
      </c>
      <c r="D25">
        <v>11.44</v>
      </c>
      <c r="E25">
        <v>41.63</v>
      </c>
      <c r="F25">
        <v>69.56</v>
      </c>
      <c r="G25">
        <v>10.92</v>
      </c>
      <c r="H25">
        <v>44.43</v>
      </c>
      <c r="I25">
        <v>74.05</v>
      </c>
      <c r="J25">
        <v>11.71</v>
      </c>
    </row>
    <row r="26" spans="1:10" x14ac:dyDescent="0.2">
      <c r="A26" s="11">
        <v>43586</v>
      </c>
      <c r="B26">
        <v>43.75</v>
      </c>
      <c r="C26">
        <v>71.81</v>
      </c>
      <c r="D26">
        <v>12.18</v>
      </c>
      <c r="E26">
        <v>41.78</v>
      </c>
      <c r="F26">
        <v>69.02</v>
      </c>
      <c r="G26">
        <v>11.67</v>
      </c>
      <c r="H26">
        <v>44.75</v>
      </c>
      <c r="I26">
        <v>73.209999999999994</v>
      </c>
      <c r="J26">
        <v>12.44</v>
      </c>
    </row>
    <row r="27" spans="1:10" x14ac:dyDescent="0.2">
      <c r="A27" s="11">
        <v>43617</v>
      </c>
      <c r="B27">
        <v>44.09</v>
      </c>
      <c r="C27">
        <v>72.430000000000007</v>
      </c>
      <c r="D27">
        <v>12.21</v>
      </c>
      <c r="E27">
        <v>41.94</v>
      </c>
      <c r="F27">
        <v>69.709999999999994</v>
      </c>
      <c r="G27">
        <v>11.4</v>
      </c>
      <c r="H27">
        <v>45.18</v>
      </c>
      <c r="I27">
        <v>73.790000000000006</v>
      </c>
      <c r="J27">
        <v>12.63</v>
      </c>
    </row>
    <row r="28" spans="1:10" x14ac:dyDescent="0.2">
      <c r="A28" s="11">
        <v>43647</v>
      </c>
      <c r="B28">
        <v>43.96</v>
      </c>
      <c r="C28">
        <v>72.099999999999994</v>
      </c>
      <c r="D28">
        <v>12.49</v>
      </c>
      <c r="E28">
        <v>41.64</v>
      </c>
      <c r="F28">
        <v>69.3</v>
      </c>
      <c r="G28">
        <v>11.42</v>
      </c>
      <c r="H28">
        <v>45.13</v>
      </c>
      <c r="I28">
        <v>73.5</v>
      </c>
      <c r="J28">
        <v>13.05</v>
      </c>
    </row>
    <row r="29" spans="1:10" x14ac:dyDescent="0.2">
      <c r="A29" s="11">
        <v>43678</v>
      </c>
      <c r="B29">
        <v>44.19</v>
      </c>
      <c r="C29">
        <v>72.78</v>
      </c>
      <c r="D29">
        <v>12.5</v>
      </c>
      <c r="E29">
        <v>42.77</v>
      </c>
      <c r="F29">
        <v>70.349999999999994</v>
      </c>
      <c r="G29">
        <v>12.02</v>
      </c>
      <c r="H29">
        <v>44.92</v>
      </c>
      <c r="I29">
        <v>74.010000000000005</v>
      </c>
      <c r="J29">
        <v>12.74</v>
      </c>
    </row>
    <row r="30" spans="1:10" x14ac:dyDescent="0.2">
      <c r="A30" s="11">
        <v>43709</v>
      </c>
      <c r="B30">
        <v>43.99</v>
      </c>
      <c r="C30">
        <v>72.23</v>
      </c>
      <c r="D30">
        <v>12.43</v>
      </c>
      <c r="E30">
        <v>42.09</v>
      </c>
      <c r="F30">
        <v>68.900000000000006</v>
      </c>
      <c r="G30">
        <v>12.26</v>
      </c>
      <c r="H30">
        <v>44.95</v>
      </c>
      <c r="I30">
        <v>73.92</v>
      </c>
      <c r="J30">
        <v>12.51</v>
      </c>
    </row>
    <row r="31" spans="1:10" x14ac:dyDescent="0.2">
      <c r="A31" s="11">
        <v>43739</v>
      </c>
      <c r="B31">
        <v>44.04</v>
      </c>
      <c r="C31">
        <v>72.38</v>
      </c>
      <c r="D31">
        <v>12.22</v>
      </c>
      <c r="E31">
        <v>41.71</v>
      </c>
      <c r="F31">
        <v>69.36</v>
      </c>
      <c r="G31">
        <v>11.25</v>
      </c>
      <c r="H31">
        <v>45.22</v>
      </c>
      <c r="I31">
        <v>73.89</v>
      </c>
      <c r="J31">
        <v>12.71</v>
      </c>
    </row>
    <row r="32" spans="1:10" x14ac:dyDescent="0.2">
      <c r="A32" s="11">
        <v>43770</v>
      </c>
      <c r="B32">
        <v>43.41</v>
      </c>
      <c r="C32">
        <v>71.69</v>
      </c>
      <c r="D32">
        <v>11.89</v>
      </c>
      <c r="E32">
        <v>41.57</v>
      </c>
      <c r="F32">
        <v>69.150000000000006</v>
      </c>
      <c r="G32">
        <v>11.25</v>
      </c>
      <c r="H32">
        <v>44.34</v>
      </c>
      <c r="I32">
        <v>72.97</v>
      </c>
      <c r="J32">
        <v>12.21</v>
      </c>
    </row>
    <row r="33" spans="1:10" x14ac:dyDescent="0.2">
      <c r="A33" s="11">
        <v>43800</v>
      </c>
      <c r="B33">
        <v>43.57</v>
      </c>
      <c r="C33">
        <v>71.87</v>
      </c>
      <c r="D33">
        <v>12.09</v>
      </c>
      <c r="E33">
        <v>41.89</v>
      </c>
      <c r="F33">
        <v>69.67</v>
      </c>
      <c r="G33">
        <v>11.05</v>
      </c>
      <c r="H33">
        <v>44.42</v>
      </c>
      <c r="I33">
        <v>72.98</v>
      </c>
      <c r="J33">
        <v>12.63</v>
      </c>
    </row>
    <row r="34" spans="1:10" x14ac:dyDescent="0.2">
      <c r="A34" s="11">
        <v>43831</v>
      </c>
      <c r="B34">
        <v>43.84</v>
      </c>
      <c r="C34">
        <v>71.819999999999993</v>
      </c>
      <c r="D34">
        <v>12.41</v>
      </c>
      <c r="E34">
        <v>41.45</v>
      </c>
      <c r="F34">
        <v>68.459999999999994</v>
      </c>
      <c r="G34">
        <v>11.25</v>
      </c>
      <c r="H34">
        <v>45.05</v>
      </c>
      <c r="I34">
        <v>73.52</v>
      </c>
      <c r="J34">
        <v>13</v>
      </c>
    </row>
    <row r="35" spans="1:10" x14ac:dyDescent="0.2">
      <c r="A35" s="11">
        <v>43862</v>
      </c>
      <c r="B35">
        <v>43.6</v>
      </c>
      <c r="C35">
        <v>71.739999999999995</v>
      </c>
      <c r="D35">
        <v>11.89</v>
      </c>
      <c r="E35">
        <v>41.23</v>
      </c>
      <c r="F35">
        <v>68.790000000000006</v>
      </c>
      <c r="G35">
        <v>10.78</v>
      </c>
      <c r="H35">
        <v>44.8</v>
      </c>
      <c r="I35">
        <v>73.22</v>
      </c>
      <c r="J35">
        <v>12.47</v>
      </c>
    </row>
    <row r="36" spans="1:10" x14ac:dyDescent="0.2">
      <c r="A36" s="11">
        <v>43891</v>
      </c>
      <c r="B36">
        <v>43.48</v>
      </c>
      <c r="C36">
        <v>71.59</v>
      </c>
      <c r="D36">
        <v>11.77</v>
      </c>
      <c r="E36">
        <v>41.44</v>
      </c>
      <c r="F36">
        <v>68.849999999999994</v>
      </c>
      <c r="G36">
        <v>11.15</v>
      </c>
      <c r="H36">
        <v>44.51</v>
      </c>
      <c r="I36">
        <v>72.959999999999994</v>
      </c>
      <c r="J36">
        <v>12.1</v>
      </c>
    </row>
    <row r="37" spans="1:10" x14ac:dyDescent="0.2">
      <c r="A37" s="11">
        <v>43922</v>
      </c>
      <c r="B37">
        <v>44.12</v>
      </c>
      <c r="C37">
        <v>72.040000000000006</v>
      </c>
      <c r="D37">
        <v>13.17</v>
      </c>
      <c r="E37">
        <v>42.81</v>
      </c>
      <c r="F37">
        <v>69.48</v>
      </c>
      <c r="G37">
        <v>13.46</v>
      </c>
      <c r="H37">
        <v>44.78</v>
      </c>
      <c r="I37">
        <v>73.34</v>
      </c>
      <c r="J37">
        <v>13.03</v>
      </c>
    </row>
    <row r="38" spans="1:10" x14ac:dyDescent="0.2">
      <c r="A38" s="11">
        <v>43952</v>
      </c>
      <c r="B38">
        <v>42.96</v>
      </c>
      <c r="C38">
        <v>70.75</v>
      </c>
      <c r="D38">
        <v>12.11</v>
      </c>
      <c r="E38">
        <v>41.46</v>
      </c>
      <c r="F38">
        <v>67.739999999999995</v>
      </c>
      <c r="G38">
        <v>12.36</v>
      </c>
      <c r="H38">
        <v>43.72</v>
      </c>
      <c r="I38">
        <v>72.28</v>
      </c>
      <c r="J38">
        <v>11.98</v>
      </c>
    </row>
    <row r="39" spans="1:10" x14ac:dyDescent="0.2">
      <c r="A39" s="11">
        <v>43983</v>
      </c>
      <c r="B39">
        <v>43.14</v>
      </c>
      <c r="C39">
        <v>69.95</v>
      </c>
      <c r="D39">
        <v>12.68</v>
      </c>
      <c r="E39">
        <v>39.42</v>
      </c>
      <c r="F39">
        <v>67.08</v>
      </c>
      <c r="G39">
        <v>8.81</v>
      </c>
      <c r="H39">
        <v>45.04</v>
      </c>
      <c r="I39">
        <v>71.38</v>
      </c>
      <c r="J39">
        <v>14.69</v>
      </c>
    </row>
    <row r="40" spans="1:10" x14ac:dyDescent="0.2">
      <c r="A40" s="11">
        <v>44013</v>
      </c>
      <c r="B40">
        <v>42.07</v>
      </c>
      <c r="C40">
        <v>68.790000000000006</v>
      </c>
      <c r="D40">
        <v>11.72</v>
      </c>
      <c r="E40">
        <v>39.08</v>
      </c>
      <c r="F40">
        <v>66.09</v>
      </c>
      <c r="G40">
        <v>9.01</v>
      </c>
      <c r="H40">
        <v>43.59</v>
      </c>
      <c r="I40">
        <v>70.150000000000006</v>
      </c>
      <c r="J40">
        <v>13.12</v>
      </c>
    </row>
    <row r="41" spans="1:10" x14ac:dyDescent="0.2">
      <c r="A41" s="11">
        <v>44044</v>
      </c>
      <c r="B41">
        <v>42.21</v>
      </c>
      <c r="C41">
        <v>69.88</v>
      </c>
      <c r="D41">
        <v>10.91</v>
      </c>
      <c r="E41">
        <v>40.22</v>
      </c>
      <c r="F41">
        <v>67.17</v>
      </c>
      <c r="G41">
        <v>10.119999999999999</v>
      </c>
      <c r="H41">
        <v>43.22</v>
      </c>
      <c r="I41">
        <v>71.25</v>
      </c>
      <c r="J41">
        <v>11.32</v>
      </c>
    </row>
    <row r="42" spans="1:10" x14ac:dyDescent="0.2">
      <c r="A42" s="11">
        <v>44075</v>
      </c>
      <c r="B42">
        <v>41.82</v>
      </c>
      <c r="C42">
        <v>68.930000000000007</v>
      </c>
      <c r="D42">
        <v>11.02</v>
      </c>
      <c r="E42">
        <v>38.72</v>
      </c>
      <c r="F42">
        <v>65.31</v>
      </c>
      <c r="G42">
        <v>8.7799999999999994</v>
      </c>
      <c r="H42">
        <v>43.39</v>
      </c>
      <c r="I42">
        <v>70.77</v>
      </c>
      <c r="J42">
        <v>12.17</v>
      </c>
    </row>
    <row r="43" spans="1:10" x14ac:dyDescent="0.2">
      <c r="A43" s="11">
        <v>44105</v>
      </c>
      <c r="B43">
        <v>42.76</v>
      </c>
      <c r="C43">
        <v>69.319999999999993</v>
      </c>
      <c r="D43">
        <v>12.45</v>
      </c>
      <c r="E43">
        <v>38.31</v>
      </c>
      <c r="F43">
        <v>65.59</v>
      </c>
      <c r="G43">
        <v>7.96</v>
      </c>
      <c r="H43">
        <v>45.02</v>
      </c>
      <c r="I43">
        <v>71.19</v>
      </c>
      <c r="J43">
        <v>14.78</v>
      </c>
    </row>
    <row r="44" spans="1:10" x14ac:dyDescent="0.2">
      <c r="A44" s="11">
        <v>44136</v>
      </c>
      <c r="B44">
        <v>42.22</v>
      </c>
      <c r="C44">
        <v>69.25</v>
      </c>
      <c r="D44">
        <v>11.75</v>
      </c>
      <c r="E44">
        <v>38.53</v>
      </c>
      <c r="F44">
        <v>65.569999999999993</v>
      </c>
      <c r="G44">
        <v>8.5500000000000007</v>
      </c>
      <c r="H44">
        <v>44.1</v>
      </c>
      <c r="I44">
        <v>71.099999999999994</v>
      </c>
      <c r="J44">
        <v>13.4</v>
      </c>
    </row>
    <row r="45" spans="1:10" x14ac:dyDescent="0.2">
      <c r="A45" s="11">
        <v>44166</v>
      </c>
      <c r="B45">
        <v>42.65</v>
      </c>
      <c r="C45">
        <v>69.98</v>
      </c>
      <c r="D45">
        <v>11.78</v>
      </c>
      <c r="E45">
        <v>40.01</v>
      </c>
      <c r="F45">
        <v>66.489999999999995</v>
      </c>
      <c r="G45">
        <v>10.45</v>
      </c>
      <c r="H45">
        <v>44</v>
      </c>
      <c r="I45">
        <v>71.739999999999995</v>
      </c>
      <c r="J45">
        <v>12.47</v>
      </c>
    </row>
    <row r="46" spans="1:10" x14ac:dyDescent="0.2">
      <c r="A46" s="11">
        <v>44197</v>
      </c>
      <c r="B46">
        <v>41.74</v>
      </c>
      <c r="C46">
        <v>68.510000000000005</v>
      </c>
      <c r="D46">
        <v>11.27</v>
      </c>
      <c r="E46">
        <v>38.83</v>
      </c>
      <c r="F46">
        <v>65.33</v>
      </c>
      <c r="G46">
        <v>9.06</v>
      </c>
      <c r="H46">
        <v>43.22</v>
      </c>
      <c r="I46">
        <v>70.12</v>
      </c>
      <c r="J46">
        <v>12.41</v>
      </c>
    </row>
    <row r="47" spans="1:10" x14ac:dyDescent="0.2">
      <c r="A47" s="11">
        <v>44228</v>
      </c>
      <c r="B47">
        <v>41.92</v>
      </c>
      <c r="C47">
        <v>68.95</v>
      </c>
      <c r="D47">
        <v>11.18</v>
      </c>
      <c r="E47">
        <v>38.130000000000003</v>
      </c>
      <c r="F47">
        <v>65.680000000000007</v>
      </c>
      <c r="G47">
        <v>7.26</v>
      </c>
      <c r="H47">
        <v>43.85</v>
      </c>
      <c r="I47">
        <v>70.59</v>
      </c>
      <c r="J47">
        <v>13.2</v>
      </c>
    </row>
    <row r="48" spans="1:10" x14ac:dyDescent="0.2">
      <c r="A48" s="11">
        <v>44256</v>
      </c>
      <c r="B48">
        <v>41.68</v>
      </c>
      <c r="C48">
        <v>68.3</v>
      </c>
      <c r="D48">
        <v>11.37</v>
      </c>
      <c r="E48">
        <v>38.03</v>
      </c>
      <c r="F48">
        <v>65.08</v>
      </c>
      <c r="G48">
        <v>7.88</v>
      </c>
      <c r="H48">
        <v>43.54</v>
      </c>
      <c r="I48">
        <v>69.92</v>
      </c>
      <c r="J48">
        <v>13.17</v>
      </c>
    </row>
    <row r="49" spans="1:10" x14ac:dyDescent="0.2">
      <c r="A49" s="11">
        <v>44287</v>
      </c>
      <c r="B49">
        <v>41.81</v>
      </c>
      <c r="C49">
        <v>69.34</v>
      </c>
      <c r="D49">
        <v>10.65</v>
      </c>
      <c r="E49">
        <v>39.56</v>
      </c>
      <c r="F49">
        <v>66.400000000000006</v>
      </c>
      <c r="G49">
        <v>9.36</v>
      </c>
      <c r="H49">
        <v>42.96</v>
      </c>
      <c r="I49">
        <v>70.83</v>
      </c>
      <c r="J49">
        <v>11.32</v>
      </c>
    </row>
    <row r="50" spans="1:10" x14ac:dyDescent="0.2">
      <c r="A50" s="11">
        <v>44317</v>
      </c>
      <c r="B50">
        <v>42.32</v>
      </c>
      <c r="C50">
        <v>69.260000000000005</v>
      </c>
      <c r="D50">
        <v>11.35</v>
      </c>
      <c r="E50">
        <v>39.409999999999997</v>
      </c>
      <c r="F50">
        <v>65.680000000000007</v>
      </c>
      <c r="G50">
        <v>10.039999999999999</v>
      </c>
      <c r="H50">
        <v>43.8</v>
      </c>
      <c r="I50">
        <v>71.06</v>
      </c>
      <c r="J50">
        <v>12.04</v>
      </c>
    </row>
    <row r="51" spans="1:10" x14ac:dyDescent="0.2">
      <c r="A51" s="11">
        <v>44348</v>
      </c>
      <c r="B51">
        <v>41.66</v>
      </c>
      <c r="C51">
        <v>68.55</v>
      </c>
      <c r="D51">
        <v>11.02</v>
      </c>
      <c r="E51">
        <v>38.25</v>
      </c>
      <c r="F51">
        <v>65.41</v>
      </c>
      <c r="G51">
        <v>7.49</v>
      </c>
      <c r="H51">
        <v>43.4</v>
      </c>
      <c r="I51">
        <v>70.14</v>
      </c>
      <c r="J51">
        <v>12.83</v>
      </c>
    </row>
    <row r="52" spans="1:10" x14ac:dyDescent="0.2">
      <c r="A52" s="11">
        <v>44378</v>
      </c>
      <c r="B52">
        <v>41.59</v>
      </c>
      <c r="C52">
        <v>68.12</v>
      </c>
      <c r="D52">
        <v>11.01</v>
      </c>
      <c r="E52">
        <v>38.380000000000003</v>
      </c>
      <c r="F52">
        <v>65.37</v>
      </c>
      <c r="G52">
        <v>7.97</v>
      </c>
      <c r="H52">
        <v>43.22</v>
      </c>
      <c r="I52">
        <v>69.5</v>
      </c>
      <c r="J52">
        <v>12.59</v>
      </c>
    </row>
    <row r="53" spans="1:10" x14ac:dyDescent="0.2">
      <c r="A53" s="11">
        <v>44409</v>
      </c>
      <c r="B53">
        <v>41.99</v>
      </c>
      <c r="C53">
        <v>69.11</v>
      </c>
      <c r="D53">
        <v>11.25</v>
      </c>
      <c r="E53">
        <v>39.65</v>
      </c>
      <c r="F53">
        <v>66.64</v>
      </c>
      <c r="G53">
        <v>9.33</v>
      </c>
      <c r="H53">
        <v>43.18</v>
      </c>
      <c r="I53">
        <v>70.36</v>
      </c>
      <c r="J53">
        <v>12.23</v>
      </c>
    </row>
    <row r="54" spans="1:10" x14ac:dyDescent="0.2">
      <c r="A54" s="11">
        <v>44440</v>
      </c>
      <c r="B54">
        <v>42.03</v>
      </c>
      <c r="C54">
        <v>68.44</v>
      </c>
      <c r="D54">
        <v>11.81</v>
      </c>
      <c r="E54">
        <v>39.049999999999997</v>
      </c>
      <c r="F54">
        <v>65.69</v>
      </c>
      <c r="G54">
        <v>9.06</v>
      </c>
      <c r="H54">
        <v>43.55</v>
      </c>
      <c r="I54">
        <v>69.83</v>
      </c>
      <c r="J54">
        <v>13.23</v>
      </c>
    </row>
    <row r="55" spans="1:10" x14ac:dyDescent="0.2">
      <c r="A55" s="11">
        <v>44470</v>
      </c>
      <c r="B55">
        <v>41.93</v>
      </c>
      <c r="C55">
        <v>68.5</v>
      </c>
      <c r="D55">
        <v>11.48</v>
      </c>
      <c r="E55">
        <v>38.29</v>
      </c>
      <c r="F55">
        <v>65.47</v>
      </c>
      <c r="G55">
        <v>7.54</v>
      </c>
      <c r="H55">
        <v>43.79</v>
      </c>
      <c r="I55">
        <v>70.040000000000006</v>
      </c>
      <c r="J55">
        <v>13.51</v>
      </c>
    </row>
    <row r="56" spans="1:10" x14ac:dyDescent="0.2">
      <c r="A56" s="11">
        <v>44501</v>
      </c>
      <c r="B56">
        <v>41.8</v>
      </c>
      <c r="C56">
        <v>68.260000000000005</v>
      </c>
      <c r="D56">
        <v>11.22</v>
      </c>
      <c r="E56">
        <v>38.409999999999997</v>
      </c>
      <c r="F56">
        <v>65.22</v>
      </c>
      <c r="G56">
        <v>8.02</v>
      </c>
      <c r="H56">
        <v>43.53</v>
      </c>
      <c r="I56">
        <v>69.78</v>
      </c>
      <c r="J56">
        <v>12.89</v>
      </c>
    </row>
    <row r="57" spans="1:10" x14ac:dyDescent="0.2">
      <c r="A57" s="11">
        <v>44531</v>
      </c>
      <c r="B57">
        <v>42.43</v>
      </c>
      <c r="C57">
        <v>69.47</v>
      </c>
      <c r="D57">
        <v>11.61</v>
      </c>
      <c r="E57">
        <v>39.770000000000003</v>
      </c>
      <c r="F57">
        <v>66.260000000000005</v>
      </c>
      <c r="G57">
        <v>9.92</v>
      </c>
      <c r="H57">
        <v>43.78</v>
      </c>
      <c r="I57">
        <v>71.099999999999994</v>
      </c>
      <c r="J57">
        <v>12.48</v>
      </c>
    </row>
    <row r="58" spans="1:10" x14ac:dyDescent="0.2">
      <c r="A58" s="11">
        <v>44562</v>
      </c>
      <c r="B58">
        <v>41.23</v>
      </c>
      <c r="C58">
        <v>67.430000000000007</v>
      </c>
      <c r="D58">
        <v>11.46</v>
      </c>
      <c r="E58">
        <v>38.53</v>
      </c>
      <c r="F58">
        <v>64.87</v>
      </c>
      <c r="G58">
        <v>8.68</v>
      </c>
      <c r="H58">
        <v>42.61</v>
      </c>
      <c r="I58">
        <v>68.73</v>
      </c>
      <c r="J58">
        <v>12.88</v>
      </c>
    </row>
    <row r="59" spans="1:10" x14ac:dyDescent="0.2">
      <c r="A59" s="11">
        <v>44593</v>
      </c>
      <c r="B59">
        <v>41.41</v>
      </c>
      <c r="C59">
        <v>67.56</v>
      </c>
      <c r="D59">
        <v>11.31</v>
      </c>
      <c r="E59">
        <v>38.01</v>
      </c>
      <c r="F59">
        <v>65.08</v>
      </c>
      <c r="G59">
        <v>7.43</v>
      </c>
      <c r="H59">
        <v>43.15</v>
      </c>
      <c r="I59">
        <v>68.81</v>
      </c>
      <c r="J59">
        <v>13.33</v>
      </c>
    </row>
    <row r="60" spans="1:10" x14ac:dyDescent="0.2">
      <c r="A60" s="11">
        <v>44621</v>
      </c>
      <c r="B60">
        <v>41.05</v>
      </c>
      <c r="C60">
        <v>67.19</v>
      </c>
      <c r="D60">
        <v>10.9</v>
      </c>
      <c r="E60">
        <v>37.81</v>
      </c>
      <c r="F60">
        <v>64.22</v>
      </c>
      <c r="G60">
        <v>7.94</v>
      </c>
      <c r="H60">
        <v>42.71</v>
      </c>
      <c r="I60">
        <v>68.69</v>
      </c>
      <c r="J60">
        <v>12.44</v>
      </c>
    </row>
    <row r="61" spans="1:10" x14ac:dyDescent="0.2">
      <c r="A61" s="11">
        <v>44652</v>
      </c>
      <c r="B61">
        <v>41.99</v>
      </c>
      <c r="C61">
        <v>68.69</v>
      </c>
      <c r="D61">
        <v>11.63</v>
      </c>
      <c r="E61">
        <v>39.56</v>
      </c>
      <c r="F61">
        <v>66.02</v>
      </c>
      <c r="G61">
        <v>9.57</v>
      </c>
      <c r="H61">
        <v>43.23</v>
      </c>
      <c r="I61">
        <v>70.06</v>
      </c>
      <c r="J61">
        <v>12.69</v>
      </c>
    </row>
    <row r="62" spans="1:10" x14ac:dyDescent="0.2">
      <c r="A62" s="11">
        <v>44682</v>
      </c>
      <c r="B62">
        <v>41.33</v>
      </c>
      <c r="C62">
        <v>67.3</v>
      </c>
      <c r="D62">
        <v>11.23</v>
      </c>
      <c r="E62">
        <v>38.36</v>
      </c>
      <c r="F62">
        <v>64.59</v>
      </c>
      <c r="G62">
        <v>8.5299999999999994</v>
      </c>
      <c r="H62">
        <v>42.85</v>
      </c>
      <c r="I62">
        <v>68.67</v>
      </c>
      <c r="J62">
        <v>12.64</v>
      </c>
    </row>
    <row r="63" spans="1:10" x14ac:dyDescent="0.2">
      <c r="A63" s="11">
        <v>44713</v>
      </c>
      <c r="B63">
        <v>40.340000000000003</v>
      </c>
      <c r="C63">
        <v>66.89</v>
      </c>
      <c r="D63">
        <v>9.7899999999999991</v>
      </c>
      <c r="E63">
        <v>37.76</v>
      </c>
      <c r="F63">
        <v>64.459999999999994</v>
      </c>
      <c r="G63">
        <v>7.48</v>
      </c>
      <c r="H63">
        <v>41.65</v>
      </c>
      <c r="I63">
        <v>68.13</v>
      </c>
      <c r="J63">
        <v>10.99</v>
      </c>
    </row>
    <row r="64" spans="1:10" x14ac:dyDescent="0.2">
      <c r="A64" s="11">
        <v>44743</v>
      </c>
      <c r="B64">
        <v>41.01</v>
      </c>
      <c r="C64">
        <v>67.010000000000005</v>
      </c>
      <c r="D64">
        <v>10.95</v>
      </c>
      <c r="E64">
        <v>38.229999999999997</v>
      </c>
      <c r="F64">
        <v>64.47</v>
      </c>
      <c r="G64">
        <v>8.44</v>
      </c>
      <c r="H64">
        <v>42.44</v>
      </c>
      <c r="I64">
        <v>68.290000000000006</v>
      </c>
      <c r="J64">
        <v>12.25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3466-1A96-5847-8CFD-13EAB18893FA}">
  <dimension ref="A1:L4"/>
  <sheetViews>
    <sheetView workbookViewId="0">
      <selection activeCell="E10" sqref="E10"/>
    </sheetView>
  </sheetViews>
  <sheetFormatPr baseColWidth="10" defaultRowHeight="16" x14ac:dyDescent="0.2"/>
  <cols>
    <col min="1" max="1" width="24.33203125" bestFit="1" customWidth="1"/>
    <col min="2" max="12" width="11.6640625" bestFit="1" customWidth="1"/>
  </cols>
  <sheetData>
    <row r="1" spans="1:12" x14ac:dyDescent="0.2"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8</v>
      </c>
      <c r="L1" t="s">
        <v>9</v>
      </c>
    </row>
    <row r="2" spans="1:12" x14ac:dyDescent="0.2">
      <c r="A2" t="s">
        <v>504</v>
      </c>
      <c r="B2" s="7">
        <v>1289891.8999999999</v>
      </c>
      <c r="C2" s="7">
        <v>1083318.7</v>
      </c>
      <c r="D2" s="7">
        <v>1048366.5</v>
      </c>
      <c r="E2" s="7">
        <v>873806.2</v>
      </c>
      <c r="F2" s="7">
        <v>282115.59999999998</v>
      </c>
      <c r="G2" s="7">
        <v>829324.4</v>
      </c>
      <c r="H2" s="7">
        <v>-377222.9</v>
      </c>
      <c r="I2" s="7">
        <v>-55172.2</v>
      </c>
      <c r="J2" s="7">
        <v>320314.40000000002</v>
      </c>
      <c r="K2" s="7">
        <v>1692173.9</v>
      </c>
      <c r="L2" s="7">
        <v>1724874.5</v>
      </c>
    </row>
    <row r="3" spans="1:12" x14ac:dyDescent="0.2">
      <c r="A3" t="s">
        <v>506</v>
      </c>
      <c r="B3" s="7">
        <v>2276957.1</v>
      </c>
      <c r="C3" s="7">
        <v>2343778.1</v>
      </c>
      <c r="D3" s="7">
        <v>2349337.7000000002</v>
      </c>
      <c r="E3" s="7">
        <v>2654820.6</v>
      </c>
      <c r="F3" s="7">
        <v>3000827.1</v>
      </c>
      <c r="G3" s="7">
        <v>3450490.6</v>
      </c>
      <c r="H3" s="7">
        <v>2842329.2</v>
      </c>
      <c r="I3" s="7">
        <v>3116938.2</v>
      </c>
      <c r="J3" s="7">
        <v>2813274.6</v>
      </c>
      <c r="K3" s="7">
        <v>5056983.5999999996</v>
      </c>
      <c r="L3" s="7">
        <v>6186000.2000000002</v>
      </c>
    </row>
    <row r="4" spans="1:12" x14ac:dyDescent="0.2">
      <c r="A4" t="s">
        <v>507</v>
      </c>
      <c r="B4" s="15">
        <f>B3/B2</f>
        <v>1.7652309468723699</v>
      </c>
      <c r="C4" s="15">
        <f t="shared" ref="C4:L4" si="0">C3/C2</f>
        <v>2.1635167010409773</v>
      </c>
      <c r="D4" s="15">
        <f t="shared" si="0"/>
        <v>2.2409507552940697</v>
      </c>
      <c r="E4" s="15">
        <f t="shared" si="0"/>
        <v>3.0382258674749623</v>
      </c>
      <c r="F4" s="15">
        <f t="shared" si="0"/>
        <v>10.636870488551503</v>
      </c>
      <c r="G4" s="15">
        <f t="shared" si="0"/>
        <v>4.1606042219425836</v>
      </c>
      <c r="H4" s="15">
        <f t="shared" si="0"/>
        <v>-7.5348797753264716</v>
      </c>
      <c r="I4" s="15">
        <f t="shared" si="0"/>
        <v>-56.4947237920547</v>
      </c>
      <c r="J4" s="15">
        <f t="shared" si="0"/>
        <v>8.7828539709735178</v>
      </c>
      <c r="K4" s="15">
        <f t="shared" si="0"/>
        <v>2.988453846262491</v>
      </c>
      <c r="L4" s="15">
        <f t="shared" si="0"/>
        <v>3.5863479922742205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AA94-1DE9-6D45-90E8-1CEAF84A5B16}">
  <dimension ref="A1:L82"/>
  <sheetViews>
    <sheetView topLeftCell="A61" workbookViewId="0">
      <selection activeCell="L70" activeCellId="1" sqref="A70:A71 L70:L71"/>
    </sheetView>
  </sheetViews>
  <sheetFormatPr baseColWidth="10" defaultRowHeight="16" x14ac:dyDescent="0.2"/>
  <cols>
    <col min="1" max="1" width="55.5" bestFit="1" customWidth="1"/>
  </cols>
  <sheetData>
    <row r="1" spans="1:12" x14ac:dyDescent="0.2">
      <c r="A1" t="s">
        <v>505</v>
      </c>
    </row>
    <row r="2" spans="1:12" x14ac:dyDescent="0.2">
      <c r="A2" t="s">
        <v>502</v>
      </c>
    </row>
    <row r="3" spans="1:12" x14ac:dyDescent="0.2"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8</v>
      </c>
      <c r="L3" t="s">
        <v>9</v>
      </c>
    </row>
    <row r="4" spans="1:12" x14ac:dyDescent="0.2">
      <c r="B4" t="s">
        <v>391</v>
      </c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392</v>
      </c>
    </row>
    <row r="5" spans="1:12" x14ac:dyDescent="0.2">
      <c r="A5" t="s">
        <v>393</v>
      </c>
      <c r="B5" s="7">
        <v>54959299</v>
      </c>
      <c r="C5" s="7">
        <v>66001170.700000003</v>
      </c>
      <c r="D5" s="7">
        <v>74322881.5</v>
      </c>
      <c r="E5" s="7">
        <v>84541492.799999997</v>
      </c>
      <c r="F5" s="7">
        <v>89247114</v>
      </c>
      <c r="G5" s="7">
        <v>95091508.799999997</v>
      </c>
      <c r="H5" s="7">
        <v>102214951.5</v>
      </c>
      <c r="I5" s="7">
        <v>115082181.7</v>
      </c>
      <c r="J5" s="7">
        <v>113363618.09999999</v>
      </c>
      <c r="K5" s="7">
        <v>110523743.5</v>
      </c>
      <c r="L5" s="7">
        <v>55675274.899999999</v>
      </c>
    </row>
    <row r="6" spans="1:12" x14ac:dyDescent="0.2">
      <c r="A6" t="s">
        <v>395</v>
      </c>
      <c r="B6" s="7">
        <v>47481362.100000001</v>
      </c>
      <c r="C6" s="7">
        <v>54004679.100000001</v>
      </c>
      <c r="D6" s="7">
        <v>66484207.899999999</v>
      </c>
      <c r="E6" s="7">
        <v>75916157.299999997</v>
      </c>
      <c r="F6" s="7">
        <v>79426060.099999994</v>
      </c>
      <c r="G6" s="7">
        <v>84116598.5</v>
      </c>
      <c r="H6" s="7">
        <v>89851684.599999994</v>
      </c>
      <c r="I6" s="7">
        <v>100619227.40000001</v>
      </c>
      <c r="J6" s="7">
        <v>97284787.200000003</v>
      </c>
      <c r="K6" s="7">
        <v>94439686.299999997</v>
      </c>
      <c r="L6" s="7">
        <v>43688759.5</v>
      </c>
    </row>
    <row r="7" spans="1:12" x14ac:dyDescent="0.2">
      <c r="A7" t="s">
        <v>396</v>
      </c>
      <c r="B7" s="7">
        <v>35817147.630000003</v>
      </c>
      <c r="C7" s="7">
        <v>39583686.159999996</v>
      </c>
      <c r="D7" s="7">
        <v>45529292.609999999</v>
      </c>
      <c r="E7" s="7">
        <v>50056103.460000001</v>
      </c>
      <c r="F7" s="7">
        <v>51889558.18</v>
      </c>
      <c r="G7" s="7">
        <v>55542672.539999999</v>
      </c>
      <c r="H7" s="7">
        <v>59130760.82</v>
      </c>
      <c r="I7" s="7">
        <v>66353412.600000001</v>
      </c>
      <c r="J7" s="7">
        <v>63358833.030000001</v>
      </c>
      <c r="K7" s="7">
        <v>61341217</v>
      </c>
      <c r="L7" s="7">
        <v>31864550.300000001</v>
      </c>
    </row>
    <row r="8" spans="1:12" x14ac:dyDescent="0.2">
      <c r="A8" t="s">
        <v>397</v>
      </c>
      <c r="B8" s="7">
        <v>11664214.52</v>
      </c>
      <c r="C8" s="7">
        <v>14420992.92</v>
      </c>
      <c r="D8" s="7">
        <v>20954915.280000001</v>
      </c>
      <c r="E8" s="7">
        <v>25860053.809999999</v>
      </c>
      <c r="F8" s="7">
        <v>27536501.899999999</v>
      </c>
      <c r="G8" s="7">
        <v>28573925.989999998</v>
      </c>
      <c r="H8" s="7">
        <v>30720923.82</v>
      </c>
      <c r="I8" s="7">
        <v>34265814.82</v>
      </c>
      <c r="J8" s="7">
        <v>33925954.170000002</v>
      </c>
      <c r="K8" s="7">
        <v>33098469.350000001</v>
      </c>
      <c r="L8" s="7">
        <v>11824209.25</v>
      </c>
    </row>
    <row r="9" spans="1:12" x14ac:dyDescent="0.2">
      <c r="A9" t="s">
        <v>398</v>
      </c>
      <c r="B9" s="7">
        <v>4546572</v>
      </c>
      <c r="C9" s="7">
        <v>5467657.9000000004</v>
      </c>
      <c r="D9" s="7">
        <v>6129603.9000000004</v>
      </c>
      <c r="E9" s="7">
        <v>7140195.4000000004</v>
      </c>
      <c r="F9" s="7">
        <v>8059552.5999999996</v>
      </c>
      <c r="G9" s="7">
        <v>9225809.6999999993</v>
      </c>
      <c r="H9" s="7">
        <v>10138914</v>
      </c>
      <c r="I9" s="7">
        <v>11588505.9</v>
      </c>
      <c r="J9" s="7">
        <v>13357282.199999999</v>
      </c>
      <c r="K9" s="7">
        <v>13337743.5</v>
      </c>
      <c r="L9" s="7">
        <v>10826839.5</v>
      </c>
    </row>
    <row r="10" spans="1:12" x14ac:dyDescent="0.2">
      <c r="A10" t="s">
        <v>399</v>
      </c>
      <c r="B10" s="7">
        <v>3075358.8</v>
      </c>
      <c r="C10" s="7">
        <v>3841115.1</v>
      </c>
      <c r="D10" s="7">
        <v>4411530.3</v>
      </c>
      <c r="E10" s="7">
        <v>4936388.5</v>
      </c>
      <c r="F10" s="7">
        <v>5862176.9000000004</v>
      </c>
      <c r="G10" s="7">
        <v>6519024.5</v>
      </c>
      <c r="H10" s="7">
        <v>7013662.5</v>
      </c>
      <c r="I10" s="7">
        <v>8538701.6999999993</v>
      </c>
      <c r="J10" s="7">
        <v>9721876.0999999996</v>
      </c>
      <c r="K10" s="7">
        <v>9698059.8000000007</v>
      </c>
      <c r="L10" s="7">
        <v>8121914.9000000004</v>
      </c>
    </row>
    <row r="11" spans="1:12" x14ac:dyDescent="0.2">
      <c r="A11" t="s">
        <v>400</v>
      </c>
      <c r="B11" s="7">
        <v>253328.7</v>
      </c>
      <c r="C11" s="7">
        <v>283157.2</v>
      </c>
      <c r="D11" s="7">
        <v>352522.5</v>
      </c>
      <c r="E11" s="7">
        <v>461465.8</v>
      </c>
      <c r="F11" s="7">
        <v>483709.1</v>
      </c>
      <c r="G11" s="7">
        <v>448484.9</v>
      </c>
      <c r="H11" s="7">
        <v>517698</v>
      </c>
      <c r="I11" s="7">
        <v>562119.80000000005</v>
      </c>
      <c r="J11" s="7">
        <v>798970.9</v>
      </c>
      <c r="K11" s="7">
        <v>592450.19999999995</v>
      </c>
      <c r="L11" s="7">
        <v>596085.6</v>
      </c>
    </row>
    <row r="12" spans="1:12" x14ac:dyDescent="0.2">
      <c r="A12" t="s">
        <v>401</v>
      </c>
      <c r="B12" s="7">
        <v>512472.4</v>
      </c>
      <c r="C12" s="7">
        <v>576085.80000000005</v>
      </c>
      <c r="D12" s="7">
        <v>666842.4</v>
      </c>
      <c r="E12" s="7">
        <v>912942.5</v>
      </c>
      <c r="F12" s="7">
        <v>879322.1</v>
      </c>
      <c r="G12" s="7">
        <v>1220267.8999999999</v>
      </c>
      <c r="H12" s="7">
        <v>1407087.9</v>
      </c>
      <c r="I12" s="7">
        <v>1135317.8</v>
      </c>
      <c r="J12" s="7">
        <v>1391876.6</v>
      </c>
      <c r="K12" s="7">
        <v>1599844.8</v>
      </c>
      <c r="L12" s="7">
        <v>876387.5</v>
      </c>
    </row>
    <row r="13" spans="1:12" x14ac:dyDescent="0.2">
      <c r="A13" t="s">
        <v>402</v>
      </c>
      <c r="B13" s="7">
        <v>259122.4</v>
      </c>
      <c r="C13" s="7">
        <v>288407.7</v>
      </c>
      <c r="D13" s="7">
        <v>323027.8</v>
      </c>
      <c r="E13" s="7">
        <v>498372.8</v>
      </c>
      <c r="F13" s="7">
        <v>715225.59999999998</v>
      </c>
      <c r="G13" s="7">
        <v>634934.80000000005</v>
      </c>
      <c r="H13" s="7">
        <v>690991.8</v>
      </c>
      <c r="I13" s="7">
        <v>781386.1</v>
      </c>
      <c r="J13" s="7">
        <v>945069.9</v>
      </c>
      <c r="K13" s="7">
        <v>801861.4</v>
      </c>
      <c r="L13" s="7">
        <v>291203.59999999998</v>
      </c>
    </row>
    <row r="14" spans="1:12" x14ac:dyDescent="0.2">
      <c r="A14" t="s">
        <v>403</v>
      </c>
      <c r="B14" s="7">
        <v>482213</v>
      </c>
      <c r="C14" s="7">
        <v>667307.1</v>
      </c>
      <c r="D14" s="7">
        <v>569503.80000000005</v>
      </c>
      <c r="E14" s="7">
        <v>894114.2</v>
      </c>
      <c r="F14" s="7">
        <v>1065458.2</v>
      </c>
      <c r="G14" s="7">
        <v>1140480.3999999999</v>
      </c>
      <c r="H14" s="7">
        <v>1538077.7</v>
      </c>
      <c r="I14" s="7">
        <v>2096816.5</v>
      </c>
      <c r="J14" s="7">
        <v>1780269.1</v>
      </c>
      <c r="K14" s="7">
        <v>1946758.5</v>
      </c>
      <c r="L14" s="7">
        <v>869422.4</v>
      </c>
    </row>
    <row r="15" spans="1:12" x14ac:dyDescent="0.2">
      <c r="A15" t="s">
        <v>404</v>
      </c>
      <c r="B15" s="7">
        <v>54477086.100000001</v>
      </c>
      <c r="C15" s="7">
        <v>65333863.600000001</v>
      </c>
      <c r="D15" s="7">
        <v>73753377.700000003</v>
      </c>
      <c r="E15" s="7">
        <v>83647378.599999994</v>
      </c>
      <c r="F15" s="7">
        <v>88181655.900000006</v>
      </c>
      <c r="G15" s="7">
        <v>93951028.5</v>
      </c>
      <c r="H15" s="7">
        <v>100676873.8</v>
      </c>
      <c r="I15" s="7">
        <v>112985365.09999999</v>
      </c>
      <c r="J15" s="7">
        <v>111583348.90000001</v>
      </c>
      <c r="K15" s="7">
        <v>108576984.90000001</v>
      </c>
      <c r="L15" s="7">
        <v>54805852.5</v>
      </c>
    </row>
    <row r="16" spans="1:12" x14ac:dyDescent="0.2">
      <c r="A16" t="s">
        <v>405</v>
      </c>
      <c r="B16" s="7">
        <v>53402821.299999997</v>
      </c>
      <c r="C16" s="7">
        <v>64238356.899999999</v>
      </c>
      <c r="D16" s="7">
        <v>72221423.099999994</v>
      </c>
      <c r="E16" s="7">
        <v>82084017.400000006</v>
      </c>
      <c r="F16" s="7">
        <v>86666301.099999994</v>
      </c>
      <c r="G16" s="7">
        <v>92557863.200000003</v>
      </c>
      <c r="H16" s="7">
        <v>100706081.2</v>
      </c>
      <c r="I16" s="7">
        <v>112781254.7</v>
      </c>
      <c r="J16" s="7">
        <v>111821183.3</v>
      </c>
      <c r="K16" s="7">
        <v>104952644.5</v>
      </c>
      <c r="L16" s="7">
        <v>49816963</v>
      </c>
    </row>
    <row r="17" spans="1:12" x14ac:dyDescent="0.2">
      <c r="A17" t="s">
        <v>406</v>
      </c>
      <c r="B17" s="7">
        <v>45573194.299999997</v>
      </c>
      <c r="C17" s="7">
        <v>54835130.100000001</v>
      </c>
      <c r="D17" s="7">
        <v>61411384</v>
      </c>
      <c r="E17" s="7">
        <v>69656905.900000006</v>
      </c>
      <c r="F17" s="7">
        <v>71903552.099999994</v>
      </c>
      <c r="G17" s="7">
        <v>76137153.5</v>
      </c>
      <c r="H17" s="7">
        <v>81357578.599999994</v>
      </c>
      <c r="I17" s="7">
        <v>91666796.700000003</v>
      </c>
      <c r="J17" s="7">
        <v>87981560.400000006</v>
      </c>
      <c r="K17" s="7">
        <v>83852627.299999997</v>
      </c>
      <c r="L17" s="7">
        <v>38383819.899999999</v>
      </c>
    </row>
    <row r="18" spans="1:12" x14ac:dyDescent="0.2">
      <c r="A18" t="s">
        <v>407</v>
      </c>
      <c r="B18" s="7">
        <v>20739183.199999999</v>
      </c>
      <c r="C18" s="7">
        <v>22799526.199999999</v>
      </c>
      <c r="D18" s="7">
        <v>26353028.699999999</v>
      </c>
      <c r="E18" s="7">
        <v>28796888.100000001</v>
      </c>
      <c r="F18" s="7">
        <v>28190734.300000001</v>
      </c>
      <c r="G18" s="7">
        <v>29826210</v>
      </c>
      <c r="H18" s="7">
        <v>33495284.600000001</v>
      </c>
      <c r="I18" s="7">
        <v>38743014.299999997</v>
      </c>
      <c r="J18" s="7">
        <v>35834256.700000003</v>
      </c>
      <c r="K18" s="7">
        <v>33730671.299999997</v>
      </c>
      <c r="L18" s="7">
        <v>16384861.4</v>
      </c>
    </row>
    <row r="19" spans="1:12" x14ac:dyDescent="0.2">
      <c r="A19" t="s">
        <v>408</v>
      </c>
      <c r="B19" s="7">
        <v>6587980.2000000002</v>
      </c>
      <c r="C19" s="7">
        <v>7653766.9000000004</v>
      </c>
      <c r="D19" s="7">
        <v>11480855.9</v>
      </c>
      <c r="E19" s="7">
        <v>14104153.6</v>
      </c>
      <c r="F19" s="7">
        <v>14361205.6</v>
      </c>
      <c r="G19" s="7">
        <v>14229972.6</v>
      </c>
      <c r="H19" s="7">
        <v>15177970.1</v>
      </c>
      <c r="I19" s="7">
        <v>16290968.6</v>
      </c>
      <c r="J19" s="7">
        <v>14882928.1</v>
      </c>
      <c r="K19" s="7">
        <v>14793348.5</v>
      </c>
      <c r="L19" s="7">
        <v>4268493.9000000004</v>
      </c>
    </row>
    <row r="20" spans="1:12" x14ac:dyDescent="0.2">
      <c r="A20" t="s">
        <v>409</v>
      </c>
      <c r="B20" s="7">
        <v>289077.96999999997</v>
      </c>
      <c r="C20" s="7">
        <v>314179.06</v>
      </c>
      <c r="D20" s="7">
        <v>375710.61</v>
      </c>
      <c r="E20" s="7">
        <v>470848.09</v>
      </c>
      <c r="F20" s="7">
        <v>437253.48</v>
      </c>
      <c r="G20" s="7">
        <v>486804.36</v>
      </c>
      <c r="H20" s="7">
        <v>490518.28</v>
      </c>
      <c r="I20" s="7">
        <v>515416.71</v>
      </c>
      <c r="J20" s="7">
        <v>516143.78</v>
      </c>
      <c r="K20" s="7">
        <v>503998.9</v>
      </c>
      <c r="L20" s="7">
        <v>351046.6</v>
      </c>
    </row>
    <row r="21" spans="1:12" x14ac:dyDescent="0.2">
      <c r="A21" t="s">
        <v>410</v>
      </c>
      <c r="B21" s="7">
        <v>1741013.2</v>
      </c>
      <c r="C21" s="7">
        <v>1999392</v>
      </c>
      <c r="D21" s="7">
        <v>2365375</v>
      </c>
      <c r="E21" s="7">
        <v>2632697.5</v>
      </c>
      <c r="F21" s="7">
        <v>2481532</v>
      </c>
      <c r="G21" s="7">
        <v>2660848.4</v>
      </c>
      <c r="H21" s="7">
        <v>2966677.4</v>
      </c>
      <c r="I21" s="7">
        <v>3460737.7</v>
      </c>
      <c r="J21" s="7">
        <v>3290666</v>
      </c>
      <c r="K21" s="7">
        <v>2809508.7</v>
      </c>
      <c r="L21" s="7">
        <v>1808467.9</v>
      </c>
    </row>
    <row r="22" spans="1:12" x14ac:dyDescent="0.2">
      <c r="A22" t="s">
        <v>411</v>
      </c>
      <c r="B22" s="7">
        <v>3473031.2</v>
      </c>
      <c r="C22" s="7">
        <v>4253611.5999999996</v>
      </c>
      <c r="D22" s="7">
        <v>5640958.5</v>
      </c>
      <c r="E22" s="7">
        <v>6910978.7000000002</v>
      </c>
      <c r="F22" s="7">
        <v>8038731.7000000002</v>
      </c>
      <c r="G22" s="7">
        <v>9022259.1999999993</v>
      </c>
      <c r="H22" s="7">
        <v>9860116.0999999996</v>
      </c>
      <c r="I22" s="7">
        <v>11063431.199999999</v>
      </c>
      <c r="J22" s="7">
        <v>12016394.199999999</v>
      </c>
      <c r="K22" s="7">
        <v>12173107.6</v>
      </c>
      <c r="L22" s="7">
        <v>5566447.5</v>
      </c>
    </row>
    <row r="23" spans="1:12" x14ac:dyDescent="0.2">
      <c r="A23" t="s">
        <v>412</v>
      </c>
      <c r="B23" s="7">
        <v>2085861.3</v>
      </c>
      <c r="C23" s="7">
        <v>2527514.5</v>
      </c>
      <c r="D23" s="7">
        <v>2895794.2</v>
      </c>
      <c r="E23" s="7">
        <v>3302388</v>
      </c>
      <c r="F23" s="7">
        <v>3754066.5</v>
      </c>
      <c r="G23" s="7">
        <v>4058795.5</v>
      </c>
      <c r="H23" s="7">
        <v>2199203</v>
      </c>
      <c r="I23" s="7">
        <v>1994420.3</v>
      </c>
      <c r="J23" s="7">
        <v>2140799.6</v>
      </c>
      <c r="K23" s="7">
        <v>2218412.1</v>
      </c>
      <c r="L23" s="7">
        <v>1166568.5</v>
      </c>
    </row>
    <row r="24" spans="1:12" x14ac:dyDescent="0.2">
      <c r="A24" t="s">
        <v>413</v>
      </c>
      <c r="B24" s="7">
        <v>161017.20000000001</v>
      </c>
      <c r="C24" s="7">
        <v>183846</v>
      </c>
      <c r="D24" s="7">
        <v>268466.40000000002</v>
      </c>
      <c r="E24" s="7">
        <v>388567.8</v>
      </c>
      <c r="F24" s="7">
        <v>486898.8</v>
      </c>
      <c r="G24" s="7">
        <v>532997.5</v>
      </c>
      <c r="H24" s="7">
        <v>596452.5</v>
      </c>
      <c r="I24" s="7">
        <v>665295.19999999995</v>
      </c>
      <c r="J24" s="7">
        <v>648449.5</v>
      </c>
      <c r="K24" s="7">
        <v>730379.4</v>
      </c>
      <c r="L24" s="7">
        <v>378677.3</v>
      </c>
    </row>
    <row r="25" spans="1:12" x14ac:dyDescent="0.2">
      <c r="A25" t="s">
        <v>414</v>
      </c>
      <c r="B25" s="7">
        <v>438724.7</v>
      </c>
      <c r="C25" s="7">
        <v>531733.6</v>
      </c>
      <c r="D25" s="7">
        <v>657768.30000000005</v>
      </c>
      <c r="E25" s="7">
        <v>810214.40000000002</v>
      </c>
      <c r="F25" s="7">
        <v>863683</v>
      </c>
      <c r="G25" s="7">
        <v>955272.3</v>
      </c>
      <c r="H25" s="7">
        <v>1055086.7</v>
      </c>
      <c r="I25" s="7">
        <v>1158494.5</v>
      </c>
      <c r="J25" s="7">
        <v>797735.6</v>
      </c>
      <c r="K25" s="7">
        <v>723192.9</v>
      </c>
      <c r="L25" s="7">
        <v>362321.9</v>
      </c>
    </row>
    <row r="26" spans="1:12" x14ac:dyDescent="0.2">
      <c r="A26" t="s">
        <v>415</v>
      </c>
      <c r="B26" s="7">
        <v>497224.9</v>
      </c>
      <c r="C26" s="7">
        <v>557477.69999999995</v>
      </c>
      <c r="D26" s="7">
        <v>685419.7</v>
      </c>
      <c r="E26" s="7">
        <v>809453.1</v>
      </c>
      <c r="F26" s="7">
        <v>852075.3</v>
      </c>
      <c r="G26" s="7">
        <v>950424.6</v>
      </c>
      <c r="H26" s="7">
        <v>1021338</v>
      </c>
      <c r="I26" s="7">
        <v>1142115.3999999999</v>
      </c>
      <c r="J26" s="7">
        <v>1177883.7</v>
      </c>
      <c r="K26" s="7">
        <v>1104539.2</v>
      </c>
      <c r="L26" s="7">
        <v>599728.6</v>
      </c>
    </row>
    <row r="27" spans="1:12" x14ac:dyDescent="0.2">
      <c r="A27" t="s">
        <v>416</v>
      </c>
      <c r="B27" s="7">
        <v>79422.399999999994</v>
      </c>
      <c r="C27" s="7">
        <v>91543.9</v>
      </c>
      <c r="D27" s="7">
        <v>114827.1</v>
      </c>
      <c r="E27" s="7">
        <v>129806.5</v>
      </c>
      <c r="F27" s="7">
        <v>140296.1</v>
      </c>
      <c r="G27" s="7">
        <v>151518.9</v>
      </c>
      <c r="H27" s="7">
        <v>166707</v>
      </c>
      <c r="I27" s="7">
        <v>186245.7</v>
      </c>
      <c r="J27" s="7">
        <v>234934.3</v>
      </c>
      <c r="K27" s="7">
        <v>273589.59999999998</v>
      </c>
      <c r="L27" s="7">
        <v>155385.79999999999</v>
      </c>
    </row>
    <row r="28" spans="1:12" x14ac:dyDescent="0.2">
      <c r="A28" t="s">
        <v>417</v>
      </c>
      <c r="B28" s="7">
        <v>823373.4</v>
      </c>
      <c r="C28" s="7">
        <v>864659.4</v>
      </c>
      <c r="D28" s="7">
        <v>988132.3</v>
      </c>
      <c r="E28" s="7">
        <v>1055501.6000000001</v>
      </c>
      <c r="F28" s="7">
        <v>1095813.3</v>
      </c>
      <c r="G28" s="7">
        <v>1282017.8</v>
      </c>
      <c r="H28" s="7">
        <v>1365771.3</v>
      </c>
      <c r="I28" s="7">
        <v>1433030.9</v>
      </c>
      <c r="J28" s="7">
        <v>1435953.1</v>
      </c>
      <c r="K28" s="7">
        <v>1278658.8</v>
      </c>
      <c r="L28" s="7">
        <v>659823.6</v>
      </c>
    </row>
    <row r="29" spans="1:12" x14ac:dyDescent="0.2">
      <c r="A29" t="s">
        <v>418</v>
      </c>
      <c r="B29" s="7">
        <v>478456</v>
      </c>
      <c r="C29" s="7">
        <v>527038</v>
      </c>
      <c r="D29" s="7">
        <v>750626.9</v>
      </c>
      <c r="E29" s="7">
        <v>943264.6</v>
      </c>
      <c r="F29" s="7">
        <v>1139906.3999999999</v>
      </c>
      <c r="G29" s="7">
        <v>1325857.7</v>
      </c>
      <c r="H29" s="7">
        <v>1204387.2</v>
      </c>
      <c r="I29" s="7">
        <v>1345105.7</v>
      </c>
      <c r="J29" s="7">
        <v>1449671.9</v>
      </c>
      <c r="K29" s="7">
        <v>1297276.6000000001</v>
      </c>
      <c r="L29" s="7">
        <v>489530</v>
      </c>
    </row>
    <row r="30" spans="1:12" x14ac:dyDescent="0.2">
      <c r="A30" t="s">
        <v>419</v>
      </c>
      <c r="B30" s="7">
        <v>3202.37</v>
      </c>
      <c r="C30" s="7">
        <v>4049.83</v>
      </c>
      <c r="D30" s="7">
        <v>4269.4399999999996</v>
      </c>
      <c r="E30" s="7">
        <v>6506.65</v>
      </c>
      <c r="F30" s="7">
        <v>8997.66</v>
      </c>
      <c r="G30" s="7">
        <v>10146.209999999999</v>
      </c>
      <c r="H30" s="7">
        <v>11732.2</v>
      </c>
      <c r="I30" s="7">
        <v>13787.55</v>
      </c>
      <c r="J30" s="7">
        <v>14050.14</v>
      </c>
      <c r="K30" s="7">
        <v>14277.5</v>
      </c>
      <c r="L30" s="7">
        <v>7305.29</v>
      </c>
    </row>
    <row r="31" spans="1:12" x14ac:dyDescent="0.2">
      <c r="A31" t="s">
        <v>420</v>
      </c>
      <c r="B31" s="7">
        <v>1805541.5</v>
      </c>
      <c r="C31" s="7">
        <v>1949823.2</v>
      </c>
      <c r="D31" s="7">
        <v>2475624.5</v>
      </c>
      <c r="E31" s="7">
        <v>2997244.4</v>
      </c>
      <c r="F31" s="7">
        <v>3074380.9</v>
      </c>
      <c r="G31" s="7">
        <v>3188527.2</v>
      </c>
      <c r="H31" s="7">
        <v>3448397.8</v>
      </c>
      <c r="I31" s="7">
        <v>4000413.3</v>
      </c>
      <c r="J31" s="7">
        <v>4097367.1</v>
      </c>
      <c r="K31" s="7">
        <v>3809221.4</v>
      </c>
      <c r="L31" s="7">
        <v>2174463.6</v>
      </c>
    </row>
    <row r="32" spans="1:12" x14ac:dyDescent="0.2">
      <c r="A32" t="s">
        <v>421</v>
      </c>
      <c r="B32" s="7">
        <v>278485.2</v>
      </c>
      <c r="C32" s="7">
        <v>314153.8</v>
      </c>
      <c r="D32" s="7">
        <v>475206.5</v>
      </c>
      <c r="E32" s="7">
        <v>573273.59999999998</v>
      </c>
      <c r="F32" s="7">
        <v>645677.6</v>
      </c>
      <c r="G32" s="7">
        <v>669925</v>
      </c>
      <c r="H32" s="7">
        <v>679374.8</v>
      </c>
      <c r="I32" s="7">
        <v>756592.1</v>
      </c>
      <c r="J32" s="7">
        <v>729124.2</v>
      </c>
      <c r="K32" s="7">
        <v>301559.7</v>
      </c>
      <c r="L32" s="7">
        <v>136983</v>
      </c>
    </row>
    <row r="33" spans="1:12" x14ac:dyDescent="0.2">
      <c r="A33" t="s">
        <v>422</v>
      </c>
      <c r="B33" s="7">
        <v>80459.740000000005</v>
      </c>
      <c r="C33" s="7">
        <v>88172.18</v>
      </c>
      <c r="D33" s="7">
        <v>118593.66</v>
      </c>
      <c r="E33" s="7">
        <v>140268.53</v>
      </c>
      <c r="F33" s="7">
        <v>153160.32999999999</v>
      </c>
      <c r="G33" s="7">
        <v>173441.42</v>
      </c>
      <c r="H33" s="7">
        <v>172878.82</v>
      </c>
      <c r="I33" s="7">
        <v>176862.76</v>
      </c>
      <c r="J33" s="7">
        <v>186216.66</v>
      </c>
      <c r="K33" s="7">
        <v>192504.8</v>
      </c>
      <c r="L33" s="7">
        <v>87577.44</v>
      </c>
    </row>
    <row r="34" spans="1:12" x14ac:dyDescent="0.2">
      <c r="A34" t="s">
        <v>423</v>
      </c>
      <c r="B34" s="7">
        <v>31668.38</v>
      </c>
      <c r="C34" s="7">
        <v>32698.98</v>
      </c>
      <c r="D34" s="7">
        <v>39094.29</v>
      </c>
      <c r="E34" s="7">
        <v>44479.9</v>
      </c>
      <c r="F34" s="7">
        <v>49305.22</v>
      </c>
      <c r="G34" s="7">
        <v>51824.02</v>
      </c>
      <c r="H34" s="7">
        <v>53097.17</v>
      </c>
      <c r="I34" s="7">
        <v>57097.08</v>
      </c>
      <c r="J34" s="7">
        <v>54461</v>
      </c>
      <c r="K34" s="7">
        <v>42569.78</v>
      </c>
      <c r="L34" s="7">
        <v>24624.35</v>
      </c>
    </row>
    <row r="35" spans="1:12" x14ac:dyDescent="0.2">
      <c r="A35" t="s">
        <v>424</v>
      </c>
      <c r="B35" s="7">
        <v>3563151.2</v>
      </c>
      <c r="C35" s="7">
        <v>7510402.7999999998</v>
      </c>
      <c r="D35" s="7">
        <v>2608207.2000000002</v>
      </c>
      <c r="E35" s="7">
        <v>2148219.4</v>
      </c>
      <c r="F35" s="7">
        <v>2243325.2000000002</v>
      </c>
      <c r="G35" s="7">
        <v>2500999.9</v>
      </c>
      <c r="H35" s="7">
        <v>2764856.2</v>
      </c>
      <c r="I35" s="7">
        <v>3027692.5</v>
      </c>
      <c r="J35" s="7">
        <v>3214117.6</v>
      </c>
      <c r="K35" s="7">
        <v>3074461.4</v>
      </c>
      <c r="L35" s="7">
        <v>1478634.5</v>
      </c>
    </row>
    <row r="36" spans="1:12" x14ac:dyDescent="0.2">
      <c r="A36" t="s">
        <v>425</v>
      </c>
      <c r="B36" s="7">
        <v>1023519.8</v>
      </c>
      <c r="C36" s="7">
        <v>1079202.3</v>
      </c>
      <c r="D36" s="7">
        <v>1175361.6000000001</v>
      </c>
      <c r="E36" s="7">
        <v>1171523.8999999999</v>
      </c>
      <c r="F36" s="7">
        <v>1406943.8</v>
      </c>
      <c r="G36" s="7">
        <v>1342479.4</v>
      </c>
      <c r="H36" s="7">
        <v>1528016.8</v>
      </c>
      <c r="I36" s="7">
        <v>1914191.9</v>
      </c>
      <c r="J36" s="7">
        <v>1634315.5</v>
      </c>
      <c r="K36" s="7">
        <v>1400631.6</v>
      </c>
      <c r="L36" s="7">
        <v>543174.80000000005</v>
      </c>
    </row>
    <row r="37" spans="1:12" x14ac:dyDescent="0.2">
      <c r="A37" t="s">
        <v>426</v>
      </c>
      <c r="B37" s="7">
        <v>1615318.7</v>
      </c>
      <c r="C37" s="7">
        <v>1795936.5</v>
      </c>
      <c r="D37" s="7">
        <v>2197939.4</v>
      </c>
      <c r="E37" s="7">
        <v>2566498.4</v>
      </c>
      <c r="F37" s="7">
        <v>2821076</v>
      </c>
      <c r="G37" s="7">
        <v>3069486.8</v>
      </c>
      <c r="H37" s="7">
        <v>3423399.2</v>
      </c>
      <c r="I37" s="7">
        <v>4065678.2</v>
      </c>
      <c r="J37" s="7">
        <v>3995418.1</v>
      </c>
      <c r="K37" s="7">
        <v>3689750.3</v>
      </c>
      <c r="L37" s="7">
        <v>1972879</v>
      </c>
    </row>
    <row r="38" spans="1:12" x14ac:dyDescent="0.2">
      <c r="A38" t="s">
        <v>427</v>
      </c>
      <c r="B38" s="7">
        <v>4377.12</v>
      </c>
      <c r="C38" s="7">
        <v>2271.9</v>
      </c>
      <c r="D38" s="7">
        <v>1394.12</v>
      </c>
      <c r="E38" s="7">
        <v>2632.2</v>
      </c>
      <c r="F38" s="7">
        <v>14949.16</v>
      </c>
      <c r="G38" s="7">
        <v>15426.7</v>
      </c>
      <c r="H38" s="7">
        <v>18711.099999999999</v>
      </c>
      <c r="I38" s="7">
        <v>38517.019999999997</v>
      </c>
      <c r="J38" s="7">
        <v>19223.599999999999</v>
      </c>
      <c r="K38" s="7">
        <v>7162</v>
      </c>
      <c r="L38">
        <v>659</v>
      </c>
    </row>
    <row r="39" spans="1:12" x14ac:dyDescent="0.2">
      <c r="A39" t="s">
        <v>428</v>
      </c>
      <c r="B39" s="7">
        <v>3985058.8</v>
      </c>
      <c r="C39" s="7">
        <v>4840135.0999999996</v>
      </c>
      <c r="D39" s="7">
        <v>5838051.5</v>
      </c>
      <c r="E39" s="7">
        <v>6397475.2999999998</v>
      </c>
      <c r="F39" s="7">
        <v>7396873.7000000002</v>
      </c>
      <c r="G39" s="7">
        <v>7960483.5</v>
      </c>
      <c r="H39" s="7">
        <v>8520417.4000000004</v>
      </c>
      <c r="I39" s="7">
        <v>9719973.1999999993</v>
      </c>
      <c r="J39" s="7">
        <v>10735097.9</v>
      </c>
      <c r="K39" s="7">
        <v>9426605.9000000004</v>
      </c>
      <c r="L39" s="7">
        <v>5346218.5</v>
      </c>
    </row>
    <row r="40" spans="1:12" x14ac:dyDescent="0.2">
      <c r="A40" t="s">
        <v>429</v>
      </c>
      <c r="B40" s="7">
        <v>117068.8</v>
      </c>
      <c r="C40" s="7">
        <v>124267.4</v>
      </c>
      <c r="D40" s="7">
        <v>154582.70000000001</v>
      </c>
      <c r="E40" s="7">
        <v>174418.5</v>
      </c>
      <c r="F40" s="7">
        <v>200294.9</v>
      </c>
      <c r="G40" s="7">
        <v>192410.2</v>
      </c>
      <c r="H40" s="7">
        <v>318343.5</v>
      </c>
      <c r="I40" s="7">
        <v>348658.1</v>
      </c>
      <c r="J40" s="7">
        <v>290454</v>
      </c>
      <c r="K40" s="7">
        <v>236037.7</v>
      </c>
      <c r="L40" s="7">
        <v>158294</v>
      </c>
    </row>
    <row r="41" spans="1:12" x14ac:dyDescent="0.2">
      <c r="A41" t="s">
        <v>430</v>
      </c>
      <c r="B41" s="7">
        <v>3866051.5</v>
      </c>
      <c r="C41" s="7">
        <v>4708282.0999999996</v>
      </c>
      <c r="D41" s="7">
        <v>5677511.4000000004</v>
      </c>
      <c r="E41" s="7">
        <v>6210824.7000000002</v>
      </c>
      <c r="F41" s="7">
        <v>7145371</v>
      </c>
      <c r="G41" s="7">
        <v>7724558.2000000002</v>
      </c>
      <c r="H41" s="7">
        <v>8131556.5999999996</v>
      </c>
      <c r="I41" s="7">
        <v>9298415.6999999993</v>
      </c>
      <c r="J41" s="7">
        <v>10364379.5</v>
      </c>
      <c r="K41" s="7">
        <v>9109945.0999999996</v>
      </c>
      <c r="L41" s="7">
        <v>5133644.7</v>
      </c>
    </row>
    <row r="42" spans="1:12" x14ac:dyDescent="0.2">
      <c r="A42" t="s">
        <v>431</v>
      </c>
      <c r="B42" s="7">
        <v>3267005.5</v>
      </c>
      <c r="C42" s="7">
        <v>4168256.1</v>
      </c>
      <c r="D42" s="7">
        <v>4818612</v>
      </c>
      <c r="E42" s="7">
        <v>5483641.4000000004</v>
      </c>
      <c r="F42" s="7">
        <v>6320053.5</v>
      </c>
      <c r="G42" s="7">
        <v>6917676.4000000004</v>
      </c>
      <c r="H42" s="7">
        <v>7171984.2000000002</v>
      </c>
      <c r="I42" s="7">
        <v>8061959.7000000002</v>
      </c>
      <c r="J42" s="7">
        <v>8836952.5</v>
      </c>
      <c r="K42" s="7">
        <v>8288634.4000000004</v>
      </c>
      <c r="L42" s="7">
        <v>4825509.3</v>
      </c>
    </row>
    <row r="43" spans="1:12" x14ac:dyDescent="0.2">
      <c r="A43" t="s">
        <v>432</v>
      </c>
      <c r="B43" s="7">
        <v>23969.08</v>
      </c>
      <c r="C43" s="7">
        <v>26468.400000000001</v>
      </c>
      <c r="D43" s="7">
        <v>30799.3</v>
      </c>
      <c r="E43" s="7">
        <v>49832.7</v>
      </c>
      <c r="F43" s="7">
        <v>57466.6</v>
      </c>
      <c r="G43" s="7">
        <v>69999.899999999994</v>
      </c>
      <c r="H43" s="7">
        <v>33731.800000000003</v>
      </c>
      <c r="I43" s="7">
        <v>34468.74</v>
      </c>
      <c r="J43" s="7">
        <v>25082</v>
      </c>
      <c r="K43" s="7">
        <v>13061.1</v>
      </c>
      <c r="L43" s="7">
        <v>10304.1</v>
      </c>
    </row>
    <row r="44" spans="1:12" x14ac:dyDescent="0.2">
      <c r="A44" t="s">
        <v>433</v>
      </c>
      <c r="B44" s="7">
        <v>234888.2</v>
      </c>
      <c r="C44" s="7">
        <v>294383.2</v>
      </c>
      <c r="D44" s="7">
        <v>412166</v>
      </c>
      <c r="E44" s="7">
        <v>449239.7</v>
      </c>
      <c r="F44" s="7">
        <v>759367.1</v>
      </c>
      <c r="G44" s="7">
        <v>932406</v>
      </c>
      <c r="H44" s="7">
        <v>1612341.7</v>
      </c>
      <c r="I44" s="7">
        <v>1770872.6</v>
      </c>
      <c r="J44" s="7">
        <v>2552042.4</v>
      </c>
      <c r="K44" s="7">
        <v>2260461.4</v>
      </c>
      <c r="L44" s="7">
        <v>985336.4</v>
      </c>
    </row>
    <row r="45" spans="1:12" x14ac:dyDescent="0.2">
      <c r="A45" t="s">
        <v>434</v>
      </c>
      <c r="B45" s="7">
        <v>2158405.7999999998</v>
      </c>
      <c r="C45" s="7">
        <v>2642033.2000000002</v>
      </c>
      <c r="D45" s="7">
        <v>3107174.1</v>
      </c>
      <c r="E45" s="7">
        <v>3640580.9</v>
      </c>
      <c r="F45" s="7">
        <v>4347177.8</v>
      </c>
      <c r="G45" s="7">
        <v>4819832.0999999996</v>
      </c>
      <c r="H45" s="7">
        <v>6003919.5999999996</v>
      </c>
      <c r="I45" s="7">
        <v>6468745.4000000004</v>
      </c>
      <c r="J45" s="7">
        <v>7854633.5</v>
      </c>
      <c r="K45" s="7">
        <v>7545910.2000000002</v>
      </c>
      <c r="L45" s="7">
        <v>3451725.6</v>
      </c>
    </row>
    <row r="46" spans="1:12" x14ac:dyDescent="0.2">
      <c r="A46" t="s">
        <v>435</v>
      </c>
      <c r="B46" s="7">
        <v>1757062.9</v>
      </c>
      <c r="C46" s="7">
        <v>2165570.5</v>
      </c>
      <c r="D46" s="7">
        <v>2435299.9</v>
      </c>
      <c r="E46" s="7">
        <v>2824906.9</v>
      </c>
      <c r="F46" s="7">
        <v>3235747.7</v>
      </c>
      <c r="G46" s="7">
        <v>3475477.7</v>
      </c>
      <c r="H46" s="7">
        <v>3652681.7</v>
      </c>
      <c r="I46" s="7">
        <v>3917826.2</v>
      </c>
      <c r="J46" s="7">
        <v>4690147</v>
      </c>
      <c r="K46" s="7">
        <v>4692620.7</v>
      </c>
      <c r="L46" s="7">
        <v>2230871.5</v>
      </c>
    </row>
    <row r="47" spans="1:12" x14ac:dyDescent="0.2">
      <c r="A47" t="s">
        <v>436</v>
      </c>
      <c r="B47" s="7">
        <v>20896.099999999999</v>
      </c>
      <c r="C47" s="7">
        <v>25445.7</v>
      </c>
      <c r="D47" s="7">
        <v>28291.4</v>
      </c>
      <c r="E47" s="7">
        <v>28686.3</v>
      </c>
      <c r="F47" s="7">
        <v>17776.099999999999</v>
      </c>
      <c r="G47" s="7">
        <v>17231.099999999999</v>
      </c>
      <c r="H47" s="7">
        <v>14681.1</v>
      </c>
      <c r="I47" s="7">
        <v>15467.4</v>
      </c>
      <c r="J47" s="7">
        <v>16348.5</v>
      </c>
      <c r="K47" s="7">
        <v>13152.6</v>
      </c>
      <c r="L47" s="7">
        <v>7307.3</v>
      </c>
    </row>
    <row r="48" spans="1:12" x14ac:dyDescent="0.2">
      <c r="A48" t="s">
        <v>437</v>
      </c>
      <c r="B48" s="7">
        <v>146186</v>
      </c>
      <c r="C48" s="7">
        <v>160404.1</v>
      </c>
      <c r="D48" s="7">
        <v>236408.4</v>
      </c>
      <c r="E48" s="7">
        <v>338477.9</v>
      </c>
      <c r="F48" s="7">
        <v>338456.3</v>
      </c>
      <c r="G48" s="7">
        <v>399097.4</v>
      </c>
      <c r="H48" s="7">
        <v>729880.1</v>
      </c>
      <c r="I48" s="7">
        <v>769479.9</v>
      </c>
      <c r="J48" s="7">
        <v>614096.19999999995</v>
      </c>
      <c r="K48" s="7">
        <v>581681.4</v>
      </c>
      <c r="L48" s="7">
        <v>228298.3</v>
      </c>
    </row>
    <row r="49" spans="1:12" x14ac:dyDescent="0.2">
      <c r="A49" t="s">
        <v>438</v>
      </c>
      <c r="B49" s="7">
        <v>513326.4</v>
      </c>
      <c r="C49" s="7">
        <v>519290.4</v>
      </c>
      <c r="D49" s="7">
        <v>368884.9</v>
      </c>
      <c r="E49" s="7">
        <v>579268.69999999995</v>
      </c>
      <c r="F49" s="7">
        <v>1208808.8</v>
      </c>
      <c r="G49" s="7">
        <v>1504947.2</v>
      </c>
      <c r="H49" s="7">
        <v>2378537.7000000002</v>
      </c>
      <c r="I49" s="7">
        <v>2040914.9</v>
      </c>
      <c r="J49" s="7">
        <v>2952241.6</v>
      </c>
      <c r="K49" s="7">
        <v>1378862.2</v>
      </c>
      <c r="L49" s="7">
        <v>543105.1</v>
      </c>
    </row>
    <row r="50" spans="1:12" x14ac:dyDescent="0.2">
      <c r="A50" t="s">
        <v>439</v>
      </c>
      <c r="B50" s="7">
        <v>3418816</v>
      </c>
      <c r="C50" s="7">
        <v>3896990.4</v>
      </c>
      <c r="D50" s="7">
        <v>4047280</v>
      </c>
      <c r="E50" s="7">
        <v>4791579.8</v>
      </c>
      <c r="F50" s="7">
        <v>4683796.3</v>
      </c>
      <c r="G50" s="7">
        <v>5211949.0999999996</v>
      </c>
      <c r="H50" s="7">
        <v>4487188.3</v>
      </c>
      <c r="I50" s="7">
        <v>6065729.7999999998</v>
      </c>
      <c r="J50" s="7">
        <v>3942749.1</v>
      </c>
      <c r="K50" s="7">
        <v>8253773.0999999996</v>
      </c>
      <c r="L50" s="7">
        <v>8546572</v>
      </c>
    </row>
    <row r="51" spans="1:12" x14ac:dyDescent="0.2">
      <c r="A51" t="s">
        <v>440</v>
      </c>
      <c r="B51" s="7">
        <v>1172835.8999999999</v>
      </c>
      <c r="C51" s="7">
        <v>1401768</v>
      </c>
      <c r="D51" s="7">
        <v>1495928.7</v>
      </c>
      <c r="E51" s="7">
        <v>1809786.6</v>
      </c>
      <c r="F51" s="7">
        <v>1809888.6</v>
      </c>
      <c r="G51" s="7">
        <v>2135446.9</v>
      </c>
      <c r="H51" s="7">
        <v>2445627.9</v>
      </c>
      <c r="I51" s="7">
        <v>2884824.5</v>
      </c>
      <c r="J51" s="7">
        <v>2297649.9</v>
      </c>
      <c r="K51" s="7">
        <v>2748638.9</v>
      </c>
      <c r="L51" s="7">
        <v>2092094</v>
      </c>
    </row>
    <row r="52" spans="1:12" x14ac:dyDescent="0.2">
      <c r="A52" t="s">
        <v>441</v>
      </c>
      <c r="B52" s="7">
        <v>2245843.7000000002</v>
      </c>
      <c r="C52" s="7">
        <v>2491794.7000000002</v>
      </c>
      <c r="D52" s="7">
        <v>2549956.7000000002</v>
      </c>
      <c r="E52" s="7">
        <v>2969666.1</v>
      </c>
      <c r="F52" s="7">
        <v>2857476.4</v>
      </c>
      <c r="G52" s="7">
        <v>3086023.8</v>
      </c>
      <c r="H52" s="7">
        <v>2001869.2</v>
      </c>
      <c r="I52" s="7">
        <v>3172839.8</v>
      </c>
      <c r="J52" s="7">
        <v>1641302.2</v>
      </c>
      <c r="K52" s="7">
        <v>5624879.9000000004</v>
      </c>
      <c r="L52" s="7">
        <v>6512317.5999999996</v>
      </c>
    </row>
    <row r="53" spans="1:12" x14ac:dyDescent="0.2">
      <c r="A53" t="s">
        <v>442</v>
      </c>
      <c r="B53" s="7">
        <v>2276957.1</v>
      </c>
      <c r="C53" s="7">
        <v>2343778.1</v>
      </c>
      <c r="D53" s="7">
        <v>2349337.7000000002</v>
      </c>
      <c r="E53" s="7">
        <v>2654820.6</v>
      </c>
      <c r="F53" s="7">
        <v>3000827.1</v>
      </c>
      <c r="G53" s="7">
        <v>3450490.6</v>
      </c>
      <c r="H53" s="7">
        <v>2842329.2</v>
      </c>
      <c r="I53" s="7">
        <v>3116938.2</v>
      </c>
      <c r="J53" s="7">
        <v>2813274.6</v>
      </c>
      <c r="K53" s="7">
        <v>5056983.5999999996</v>
      </c>
      <c r="L53" s="7">
        <v>6186000.2000000002</v>
      </c>
    </row>
    <row r="54" spans="1:12" x14ac:dyDescent="0.2">
      <c r="A54" t="s">
        <v>443</v>
      </c>
      <c r="B54" s="7">
        <v>107213026.59999999</v>
      </c>
      <c r="C54" s="7">
        <v>126348333.8</v>
      </c>
      <c r="D54" s="7">
        <v>142429000.5</v>
      </c>
      <c r="E54" s="7">
        <v>162542540.30000001</v>
      </c>
      <c r="F54" s="7">
        <v>185261667.80000001</v>
      </c>
      <c r="G54" s="7">
        <v>204737713.30000001</v>
      </c>
      <c r="H54" s="7">
        <v>224149684.09999999</v>
      </c>
      <c r="I54" s="7">
        <v>247732581.80000001</v>
      </c>
      <c r="J54" s="7">
        <v>264840563.19999999</v>
      </c>
      <c r="K54" s="7">
        <v>276520221.30000001</v>
      </c>
      <c r="L54" s="7">
        <v>182749430.69999999</v>
      </c>
    </row>
    <row r="55" spans="1:12" x14ac:dyDescent="0.2">
      <c r="A55" t="s">
        <v>444</v>
      </c>
      <c r="B55" s="7">
        <v>30460381.100000001</v>
      </c>
      <c r="C55" s="7">
        <v>36441817.399999999</v>
      </c>
      <c r="D55" s="7">
        <v>41560552.100000001</v>
      </c>
      <c r="E55" s="7">
        <v>49404291.799999997</v>
      </c>
      <c r="F55" s="7">
        <v>52558467.600000001</v>
      </c>
      <c r="G55" s="7">
        <v>56539990.899999999</v>
      </c>
      <c r="H55" s="7">
        <v>61489419</v>
      </c>
      <c r="I55" s="7">
        <v>65944439.700000003</v>
      </c>
      <c r="J55" s="7">
        <v>73645483.299999997</v>
      </c>
      <c r="K55" s="7">
        <v>77113750.5</v>
      </c>
      <c r="L55" s="7">
        <v>38511459</v>
      </c>
    </row>
    <row r="56" spans="1:12" x14ac:dyDescent="0.2">
      <c r="A56" t="s">
        <v>445</v>
      </c>
      <c r="B56" s="7">
        <v>20313139.199999999</v>
      </c>
      <c r="C56" s="7">
        <v>23844982.600000001</v>
      </c>
      <c r="D56" s="7">
        <v>26631444.800000001</v>
      </c>
      <c r="E56" s="7">
        <v>31631427.800000001</v>
      </c>
      <c r="F56" s="7">
        <v>37442621.399999999</v>
      </c>
      <c r="G56" s="7">
        <v>40599309.399999999</v>
      </c>
      <c r="H56" s="7">
        <v>43138973.399999999</v>
      </c>
      <c r="I56" s="7">
        <v>44568285.5</v>
      </c>
      <c r="J56" s="7">
        <v>48711906.100000001</v>
      </c>
      <c r="K56" s="7">
        <v>48718085.200000003</v>
      </c>
      <c r="L56" s="7">
        <v>23528330</v>
      </c>
    </row>
    <row r="57" spans="1:12" x14ac:dyDescent="0.2">
      <c r="A57" t="s">
        <v>446</v>
      </c>
      <c r="B57" s="7">
        <v>21568408.699999999</v>
      </c>
      <c r="C57" s="7">
        <v>24725188.300000001</v>
      </c>
      <c r="D57" s="7">
        <v>27409135.600000001</v>
      </c>
      <c r="E57" s="7">
        <v>30724737.800000001</v>
      </c>
      <c r="F57" s="7">
        <v>36802856.5</v>
      </c>
      <c r="G57" s="7">
        <v>41641119.299999997</v>
      </c>
      <c r="H57" s="7">
        <v>46751610.899999999</v>
      </c>
      <c r="I57" s="7">
        <v>51798620.799999997</v>
      </c>
      <c r="J57" s="7">
        <v>54759290.5</v>
      </c>
      <c r="K57" s="7">
        <v>60238113.700000003</v>
      </c>
      <c r="L57" s="7">
        <v>43183493.600000001</v>
      </c>
    </row>
    <row r="58" spans="1:12" x14ac:dyDescent="0.2">
      <c r="A58" t="s">
        <v>447</v>
      </c>
      <c r="B58" s="7">
        <v>27632462.100000001</v>
      </c>
      <c r="C58" s="7">
        <v>32811655.300000001</v>
      </c>
      <c r="D58" s="7">
        <v>37476238.799999997</v>
      </c>
      <c r="E58" s="7">
        <v>42561934.200000003</v>
      </c>
      <c r="F58" s="7">
        <v>45564795.899999999</v>
      </c>
      <c r="G58" s="7">
        <v>49790888.200000003</v>
      </c>
      <c r="H58" s="7">
        <v>52237541.200000003</v>
      </c>
      <c r="I58" s="7">
        <v>57613666.799999997</v>
      </c>
      <c r="J58" s="7">
        <v>62242785.200000003</v>
      </c>
      <c r="K58" s="7">
        <v>65223516.899999999</v>
      </c>
      <c r="L58" s="7">
        <v>32697950.600000001</v>
      </c>
    </row>
    <row r="59" spans="1:12" x14ac:dyDescent="0.2">
      <c r="A59" t="s">
        <v>448</v>
      </c>
      <c r="B59" s="7">
        <v>107213026.59999999</v>
      </c>
      <c r="C59" s="7">
        <v>126348333.8</v>
      </c>
      <c r="D59" s="7">
        <v>142429000.5</v>
      </c>
      <c r="E59" s="7">
        <v>162542540.30000001</v>
      </c>
      <c r="F59" s="7">
        <v>185261667.80000001</v>
      </c>
      <c r="G59" s="7">
        <v>204737713.30000001</v>
      </c>
      <c r="H59" s="7">
        <v>224149684.09999999</v>
      </c>
      <c r="I59" s="7">
        <v>247732581.80000001</v>
      </c>
      <c r="J59" s="7">
        <v>264840563.19999999</v>
      </c>
      <c r="K59" s="7">
        <v>276520221.30000001</v>
      </c>
      <c r="L59" s="7">
        <v>182749430.69999999</v>
      </c>
    </row>
    <row r="60" spans="1:12" x14ac:dyDescent="0.2">
      <c r="A60" t="s">
        <v>449</v>
      </c>
      <c r="B60" s="7">
        <v>33981375.899999999</v>
      </c>
      <c r="C60" s="7">
        <v>38354080.200000003</v>
      </c>
      <c r="D60" s="7">
        <v>42549149.799999997</v>
      </c>
      <c r="E60" s="7">
        <v>48503349.700000003</v>
      </c>
      <c r="F60" s="7">
        <v>55039994</v>
      </c>
      <c r="G60" s="7">
        <v>61874673.899999999</v>
      </c>
      <c r="H60" s="7">
        <v>65469482.299999997</v>
      </c>
      <c r="I60" s="7">
        <v>71745298.099999994</v>
      </c>
      <c r="J60" s="7">
        <v>75060419.200000003</v>
      </c>
      <c r="K60" s="7">
        <v>83070027.799999997</v>
      </c>
      <c r="L60" s="7">
        <v>51492565.399999999</v>
      </c>
    </row>
    <row r="61" spans="1:12" x14ac:dyDescent="0.2">
      <c r="A61" t="s">
        <v>450</v>
      </c>
      <c r="B61" s="7">
        <v>6852031.9000000004</v>
      </c>
      <c r="C61" s="7">
        <v>8409861</v>
      </c>
      <c r="D61" s="7">
        <v>9904196.9000000004</v>
      </c>
      <c r="E61" s="7">
        <v>11568675.4</v>
      </c>
      <c r="F61" s="7">
        <v>13766254.6</v>
      </c>
      <c r="G61" s="7">
        <v>15569736.5</v>
      </c>
      <c r="H61" s="7">
        <v>16589643.300000001</v>
      </c>
      <c r="I61" s="7">
        <v>18510168.600000001</v>
      </c>
      <c r="J61" s="7">
        <v>21174535.199999999</v>
      </c>
      <c r="K61" s="7">
        <v>22044130.199999999</v>
      </c>
      <c r="L61" s="7">
        <v>7879030.9000000004</v>
      </c>
    </row>
    <row r="62" spans="1:12" x14ac:dyDescent="0.2">
      <c r="A62" t="s">
        <v>451</v>
      </c>
      <c r="B62" s="7">
        <v>27360790.100000001</v>
      </c>
      <c r="C62" s="7">
        <v>30172396.600000001</v>
      </c>
      <c r="D62" s="7">
        <v>33066977.100000001</v>
      </c>
      <c r="E62" s="7">
        <v>37462688.200000003</v>
      </c>
      <c r="F62" s="7">
        <v>41979918.700000003</v>
      </c>
      <c r="G62" s="7">
        <v>46936794.700000003</v>
      </c>
      <c r="H62" s="7">
        <v>50435734.700000003</v>
      </c>
      <c r="I62" s="7">
        <v>55339951.399999999</v>
      </c>
      <c r="J62" s="7">
        <v>55483789.600000001</v>
      </c>
      <c r="K62" s="7">
        <v>63781744.299999997</v>
      </c>
      <c r="L62" s="7">
        <v>44806417.799999997</v>
      </c>
    </row>
    <row r="63" spans="1:12" x14ac:dyDescent="0.2">
      <c r="A63" t="s">
        <v>452</v>
      </c>
      <c r="B63" s="7">
        <v>32995355.800000001</v>
      </c>
      <c r="C63" s="7">
        <v>37143481.899999999</v>
      </c>
      <c r="D63" s="7">
        <v>41188253.600000001</v>
      </c>
      <c r="E63" s="7">
        <v>46859784</v>
      </c>
      <c r="F63" s="7">
        <v>52771344.399999999</v>
      </c>
      <c r="G63" s="7">
        <v>59233739.899999999</v>
      </c>
      <c r="H63" s="7">
        <v>62651928.899999999</v>
      </c>
      <c r="I63" s="7">
        <v>68702165.700000003</v>
      </c>
      <c r="J63" s="7">
        <v>70780871.700000003</v>
      </c>
      <c r="K63" s="7">
        <v>78753167.599999994</v>
      </c>
      <c r="L63" s="7">
        <v>49849096.200000003</v>
      </c>
    </row>
    <row r="64" spans="1:12" x14ac:dyDescent="0.2">
      <c r="A64" t="s">
        <v>453</v>
      </c>
      <c r="B64" s="7">
        <v>36069290.299999997</v>
      </c>
      <c r="C64" s="7">
        <v>43920129.299999997</v>
      </c>
      <c r="D64" s="7">
        <v>48657027.5</v>
      </c>
      <c r="E64" s="7">
        <v>55859083.600000001</v>
      </c>
      <c r="F64" s="7">
        <v>63187655.299999997</v>
      </c>
      <c r="G64" s="7">
        <v>66819129.100000001</v>
      </c>
      <c r="H64" s="7">
        <v>73386799.400000006</v>
      </c>
      <c r="I64" s="7">
        <v>77969747</v>
      </c>
      <c r="J64" s="7">
        <v>83086333.700000003</v>
      </c>
      <c r="K64" s="7">
        <v>78092314.599999994</v>
      </c>
      <c r="L64" s="7">
        <v>45016784.799999997</v>
      </c>
    </row>
    <row r="65" spans="1:12" x14ac:dyDescent="0.2">
      <c r="A65" t="s">
        <v>454</v>
      </c>
      <c r="B65" s="7">
        <v>16446788.1</v>
      </c>
      <c r="C65" s="7">
        <v>19484679.199999999</v>
      </c>
      <c r="D65" s="7">
        <v>22312258.5</v>
      </c>
      <c r="E65" s="7">
        <v>24380175.800000001</v>
      </c>
      <c r="F65" s="7">
        <v>27163821.800000001</v>
      </c>
      <c r="G65" s="7">
        <v>26915575.899999999</v>
      </c>
      <c r="H65" s="7">
        <v>27293300.800000001</v>
      </c>
      <c r="I65" s="7">
        <v>27675149.600000001</v>
      </c>
      <c r="J65" s="7">
        <v>27451125.399999999</v>
      </c>
      <c r="K65" s="7">
        <v>23737044.699999999</v>
      </c>
      <c r="L65" s="7">
        <v>10745306.1</v>
      </c>
    </row>
    <row r="66" spans="1:12" x14ac:dyDescent="0.2">
      <c r="A66" t="s">
        <v>456</v>
      </c>
      <c r="B66" s="7">
        <v>5219564.5</v>
      </c>
      <c r="C66" s="7">
        <v>5977389.5</v>
      </c>
      <c r="D66" s="7">
        <v>6465006.7999999998</v>
      </c>
      <c r="E66" s="7">
        <v>6823988.9000000004</v>
      </c>
      <c r="F66" s="7">
        <v>6957178.5</v>
      </c>
      <c r="G66" s="7">
        <v>6326511.7999999998</v>
      </c>
      <c r="H66" s="7">
        <v>6636577.7000000002</v>
      </c>
      <c r="I66" s="7">
        <v>6854973.5999999996</v>
      </c>
      <c r="J66" s="7">
        <v>6842519.4000000004</v>
      </c>
      <c r="K66" s="7">
        <v>5518926.7000000002</v>
      </c>
      <c r="L66" s="7">
        <v>4284820.5999999996</v>
      </c>
    </row>
    <row r="67" spans="1:12" x14ac:dyDescent="0.2">
      <c r="A67" t="s">
        <v>457</v>
      </c>
      <c r="B67" s="7">
        <v>16963941.800000001</v>
      </c>
      <c r="C67" s="7">
        <v>20490807.199999999</v>
      </c>
      <c r="D67" s="7">
        <v>23864409.5</v>
      </c>
      <c r="E67" s="7">
        <v>26437121.600000001</v>
      </c>
      <c r="F67" s="7">
        <v>29997276.800000001</v>
      </c>
      <c r="G67" s="7">
        <v>33212394.199999999</v>
      </c>
      <c r="H67" s="7">
        <v>35645549.299999997</v>
      </c>
      <c r="I67" s="7">
        <v>39587009.100000001</v>
      </c>
      <c r="J67" s="7">
        <v>40604989.100000001</v>
      </c>
      <c r="K67" s="7">
        <v>40141307.399999999</v>
      </c>
      <c r="L67" s="7">
        <v>18407813.300000001</v>
      </c>
    </row>
    <row r="68" spans="1:12" x14ac:dyDescent="0.2">
      <c r="A68" t="s">
        <v>458</v>
      </c>
    </row>
    <row r="69" spans="1:12" x14ac:dyDescent="0.2">
      <c r="A69" t="s">
        <v>481</v>
      </c>
    </row>
    <row r="70" spans="1:12" x14ac:dyDescent="0.2">
      <c r="A70" t="s">
        <v>482</v>
      </c>
      <c r="B70" s="7">
        <v>10267498.9</v>
      </c>
      <c r="C70" s="7">
        <v>12847469.300000001</v>
      </c>
      <c r="D70" s="7">
        <v>16158682.5</v>
      </c>
      <c r="E70" s="7">
        <v>17450745.300000001</v>
      </c>
      <c r="F70" s="7">
        <v>17242745.899999999</v>
      </c>
      <c r="G70" s="7">
        <v>17460709.100000001</v>
      </c>
      <c r="H70" s="7">
        <v>18246188.800000001</v>
      </c>
      <c r="I70" s="7">
        <v>20624818.300000001</v>
      </c>
      <c r="J70" s="7">
        <v>20324485.399999999</v>
      </c>
      <c r="K70" s="7">
        <v>19849220.5</v>
      </c>
      <c r="L70" s="7">
        <v>12882167.199999999</v>
      </c>
    </row>
    <row r="71" spans="1:12" x14ac:dyDescent="0.2">
      <c r="A71" t="s">
        <v>483</v>
      </c>
      <c r="B71" s="7">
        <v>12135385.9</v>
      </c>
      <c r="C71" s="7">
        <v>14256696.300000001</v>
      </c>
      <c r="D71" s="7">
        <v>16395258.800000001</v>
      </c>
      <c r="E71" s="7">
        <v>17938509.300000001</v>
      </c>
      <c r="F71" s="7">
        <v>18890760.600000001</v>
      </c>
      <c r="G71" s="7">
        <v>17972281.600000001</v>
      </c>
      <c r="H71" s="7">
        <v>17050481.600000001</v>
      </c>
      <c r="I71" s="7">
        <v>20862125.199999999</v>
      </c>
      <c r="J71" s="7">
        <v>18897787</v>
      </c>
      <c r="K71" s="7">
        <v>16783402.100000001</v>
      </c>
      <c r="L71" s="7">
        <v>10614613.699999999</v>
      </c>
    </row>
    <row r="72" spans="1:12" x14ac:dyDescent="0.2">
      <c r="A72" t="s">
        <v>458</v>
      </c>
    </row>
    <row r="73" spans="1:12" x14ac:dyDescent="0.2">
      <c r="A73" t="s">
        <v>486</v>
      </c>
    </row>
    <row r="74" spans="1:12" x14ac:dyDescent="0.2">
      <c r="A74" t="s">
        <v>487</v>
      </c>
      <c r="B74" s="7">
        <v>3464458.1</v>
      </c>
      <c r="C74" s="7">
        <v>4126542.4</v>
      </c>
      <c r="D74" s="7">
        <v>4788327</v>
      </c>
      <c r="E74" s="7">
        <v>5542667.7999999998</v>
      </c>
      <c r="F74" s="7">
        <v>6316536.7999999998</v>
      </c>
      <c r="G74" s="7">
        <v>6819837.5</v>
      </c>
      <c r="H74" s="7">
        <v>5281826.2</v>
      </c>
      <c r="I74" s="7">
        <v>5482955.0999999996</v>
      </c>
      <c r="J74" s="7">
        <v>5127617.7</v>
      </c>
      <c r="K74" s="7">
        <v>5084397.8</v>
      </c>
      <c r="L74" s="7">
        <v>3124409.8</v>
      </c>
    </row>
    <row r="75" spans="1:12" x14ac:dyDescent="0.2">
      <c r="A75" t="s">
        <v>488</v>
      </c>
      <c r="B75" s="7">
        <v>1333767</v>
      </c>
      <c r="C75" s="7">
        <v>1553742.1</v>
      </c>
      <c r="D75" s="7">
        <v>1805555.5</v>
      </c>
      <c r="E75" s="7">
        <v>2136048.7000000002</v>
      </c>
      <c r="F75" s="7">
        <v>2453255.7999999998</v>
      </c>
      <c r="G75" s="7">
        <v>2615922.7999999998</v>
      </c>
      <c r="H75" s="7">
        <v>2883576.2</v>
      </c>
      <c r="I75" s="7">
        <v>3319345.3</v>
      </c>
      <c r="J75" s="7">
        <v>2820504.5</v>
      </c>
      <c r="K75" s="7">
        <v>2684427</v>
      </c>
      <c r="L75" s="7">
        <v>1926167.6</v>
      </c>
    </row>
    <row r="76" spans="1:12" x14ac:dyDescent="0.2">
      <c r="A76" t="s">
        <v>489</v>
      </c>
      <c r="B76" s="7">
        <v>20749.3</v>
      </c>
      <c r="C76" s="7">
        <v>23072</v>
      </c>
      <c r="D76" s="7">
        <v>47748.3</v>
      </c>
      <c r="E76" s="7">
        <v>63577.8</v>
      </c>
      <c r="F76" s="7">
        <v>62460.800000000003</v>
      </c>
      <c r="G76" s="7">
        <v>77734.600000000006</v>
      </c>
      <c r="H76" s="7">
        <v>85951.7</v>
      </c>
      <c r="I76" s="7">
        <v>92885.5</v>
      </c>
      <c r="J76" s="7">
        <v>90167.9</v>
      </c>
      <c r="K76" s="7">
        <v>98724.4</v>
      </c>
      <c r="L76" s="7">
        <v>21609.5</v>
      </c>
    </row>
    <row r="77" spans="1:12" x14ac:dyDescent="0.2">
      <c r="A77" t="s">
        <v>458</v>
      </c>
    </row>
    <row r="78" spans="1:12" x14ac:dyDescent="0.2">
      <c r="A78" t="s">
        <v>495</v>
      </c>
    </row>
    <row r="79" spans="1:12" x14ac:dyDescent="0.2">
      <c r="A79" t="s">
        <v>496</v>
      </c>
      <c r="B79">
        <v>0</v>
      </c>
      <c r="C79">
        <v>0</v>
      </c>
      <c r="D79">
        <v>56.5</v>
      </c>
      <c r="E79" s="7">
        <v>84014.2</v>
      </c>
      <c r="F79" s="7">
        <v>105145.5</v>
      </c>
      <c r="G79" s="7">
        <v>121624.2</v>
      </c>
      <c r="H79" s="7">
        <v>132485.1</v>
      </c>
      <c r="I79" s="7">
        <v>148847.9</v>
      </c>
      <c r="J79" s="7">
        <v>162882.1</v>
      </c>
      <c r="K79" s="7">
        <v>172713.60000000001</v>
      </c>
      <c r="L79" s="7">
        <v>108095.4</v>
      </c>
    </row>
    <row r="80" spans="1:12" x14ac:dyDescent="0.2">
      <c r="A80" t="s">
        <v>497</v>
      </c>
      <c r="B80">
        <v>43.6</v>
      </c>
      <c r="C80">
        <v>36.200000000000003</v>
      </c>
      <c r="D80" s="7">
        <v>1286.0999999999999</v>
      </c>
      <c r="E80" s="7">
        <v>57351.1</v>
      </c>
      <c r="F80" s="7">
        <v>78766.3</v>
      </c>
      <c r="G80" s="7">
        <v>97149.9</v>
      </c>
      <c r="H80" s="7">
        <v>110605.7</v>
      </c>
      <c r="I80" s="7">
        <v>132243.6</v>
      </c>
      <c r="J80" s="7">
        <v>151197.79999999999</v>
      </c>
      <c r="K80" s="7">
        <v>128563.6</v>
      </c>
      <c r="L80">
        <v>464.2</v>
      </c>
    </row>
    <row r="81" spans="1:12" x14ac:dyDescent="0.2">
      <c r="A81" t="s">
        <v>498</v>
      </c>
      <c r="B81">
        <v>0</v>
      </c>
      <c r="C81">
        <v>0</v>
      </c>
      <c r="D81">
        <v>15.9</v>
      </c>
      <c r="E81" s="7">
        <v>31667.3</v>
      </c>
      <c r="F81" s="7">
        <v>28324.6</v>
      </c>
      <c r="G81" s="7">
        <v>28392.799999999999</v>
      </c>
      <c r="H81" s="7">
        <v>28126.400000000001</v>
      </c>
      <c r="I81" s="7">
        <v>25480.400000000001</v>
      </c>
      <c r="J81" s="7">
        <v>20339</v>
      </c>
      <c r="K81" s="7">
        <v>6764.2</v>
      </c>
      <c r="L81">
        <v>0</v>
      </c>
    </row>
    <row r="82" spans="1:12" x14ac:dyDescent="0.2">
      <c r="A82" t="s">
        <v>499</v>
      </c>
      <c r="B82" s="14">
        <v>26242</v>
      </c>
      <c r="C82" s="14">
        <v>26562</v>
      </c>
      <c r="D82" s="14">
        <v>25346</v>
      </c>
      <c r="E82" s="14">
        <v>27883</v>
      </c>
      <c r="F82" s="14">
        <v>30911</v>
      </c>
      <c r="G82" s="14">
        <v>32918</v>
      </c>
      <c r="H82" s="14">
        <v>32859</v>
      </c>
      <c r="I82" s="14">
        <v>32620</v>
      </c>
      <c r="J82" s="14">
        <v>31853</v>
      </c>
      <c r="K82" s="14">
        <v>30089</v>
      </c>
      <c r="L82" s="14">
        <v>2677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21C4-8627-B94E-ADFF-A128B5888795}">
  <dimension ref="A1:M82"/>
  <sheetViews>
    <sheetView topLeftCell="A38" workbookViewId="0">
      <selection activeCell="A70" activeCellId="1" sqref="M70:M71 A70:A71"/>
    </sheetView>
  </sheetViews>
  <sheetFormatPr baseColWidth="10" defaultRowHeight="16" x14ac:dyDescent="0.2"/>
  <cols>
    <col min="1" max="1" width="54.33203125" bestFit="1" customWidth="1"/>
    <col min="2" max="2" width="54.33203125" customWidth="1"/>
    <col min="3" max="3" width="14.1640625" bestFit="1" customWidth="1"/>
    <col min="12" max="12" width="13.1640625" bestFit="1" customWidth="1"/>
    <col min="13" max="13" width="14.1640625" bestFit="1" customWidth="1"/>
  </cols>
  <sheetData>
    <row r="1" spans="1:13" x14ac:dyDescent="0.2">
      <c r="A1" t="s">
        <v>501</v>
      </c>
    </row>
    <row r="2" spans="1:13" x14ac:dyDescent="0.2">
      <c r="A2" t="s">
        <v>502</v>
      </c>
    </row>
    <row r="3" spans="1:13" x14ac:dyDescent="0.2"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8</v>
      </c>
      <c r="M3" t="s">
        <v>9</v>
      </c>
    </row>
    <row r="4" spans="1:13" x14ac:dyDescent="0.2"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391</v>
      </c>
      <c r="M4" t="s">
        <v>392</v>
      </c>
    </row>
    <row r="5" spans="1:13" x14ac:dyDescent="0.2">
      <c r="A5" t="s">
        <v>393</v>
      </c>
      <c r="C5" s="7">
        <v>29909946</v>
      </c>
      <c r="D5" s="7">
        <v>33744688.700000003</v>
      </c>
      <c r="E5" s="7">
        <v>37536808.799999997</v>
      </c>
      <c r="F5" s="7">
        <v>38352363.600000001</v>
      </c>
      <c r="G5" s="7">
        <v>38176878.399999999</v>
      </c>
      <c r="H5" s="7">
        <v>40608171.200000003</v>
      </c>
      <c r="I5" s="7">
        <v>43711845.899999999</v>
      </c>
      <c r="J5" s="7">
        <v>48862838.799999997</v>
      </c>
      <c r="K5" s="7">
        <v>48701740.200000003</v>
      </c>
      <c r="L5" s="7">
        <v>47776124</v>
      </c>
      <c r="M5" s="7">
        <v>30997381</v>
      </c>
    </row>
    <row r="6" spans="1:13" x14ac:dyDescent="0.2">
      <c r="A6" t="s">
        <v>395</v>
      </c>
      <c r="C6" s="7">
        <v>22657074.800000001</v>
      </c>
      <c r="D6" s="7">
        <v>25413374.800000001</v>
      </c>
      <c r="E6" s="7">
        <v>27700751.899999999</v>
      </c>
      <c r="F6" s="7">
        <v>27778861.199999999</v>
      </c>
      <c r="G6" s="7">
        <v>26824065.199999999</v>
      </c>
      <c r="H6" s="7">
        <v>28962427.699999999</v>
      </c>
      <c r="I6" s="7">
        <v>32094940.800000001</v>
      </c>
      <c r="J6" s="7">
        <v>36788798.600000001</v>
      </c>
      <c r="K6" s="7">
        <v>36021754.899999999</v>
      </c>
      <c r="L6" s="7">
        <v>34645239.899999999</v>
      </c>
      <c r="M6" s="7">
        <v>21573933</v>
      </c>
    </row>
    <row r="7" spans="1:13" x14ac:dyDescent="0.2">
      <c r="A7" t="s">
        <v>396</v>
      </c>
      <c r="C7" s="7">
        <v>19855042.960000001</v>
      </c>
      <c r="D7" s="7">
        <v>22601692.300000001</v>
      </c>
      <c r="E7" s="7">
        <v>24906685.359999999</v>
      </c>
      <c r="F7" s="7">
        <v>24557686.359999999</v>
      </c>
      <c r="G7" s="7">
        <v>23471048.600000001</v>
      </c>
      <c r="H7" s="7">
        <v>25575083.600000001</v>
      </c>
      <c r="I7" s="7">
        <v>28931080.399999999</v>
      </c>
      <c r="J7" s="7">
        <v>33267531.800000001</v>
      </c>
      <c r="K7" s="7">
        <v>32888500.399999999</v>
      </c>
      <c r="L7" s="7">
        <v>31939302.300000001</v>
      </c>
      <c r="M7" s="7">
        <v>21356201.699999999</v>
      </c>
    </row>
    <row r="8" spans="1:13" x14ac:dyDescent="0.2">
      <c r="A8" t="s">
        <v>397</v>
      </c>
      <c r="C8" s="7">
        <v>2802031.8</v>
      </c>
      <c r="D8" s="7">
        <v>2811682.5</v>
      </c>
      <c r="E8" s="7">
        <v>2794066.58</v>
      </c>
      <c r="F8" s="7">
        <v>3221174.79</v>
      </c>
      <c r="G8" s="7">
        <v>3353016.64</v>
      </c>
      <c r="H8" s="7">
        <v>3387344.11</v>
      </c>
      <c r="I8" s="7">
        <v>3163860.4</v>
      </c>
      <c r="J8" s="7">
        <v>3521266.8</v>
      </c>
      <c r="K8" s="7">
        <v>3133254.5</v>
      </c>
      <c r="L8" s="7">
        <v>2705937.6</v>
      </c>
      <c r="M8" s="7">
        <v>217731.3</v>
      </c>
    </row>
    <row r="9" spans="1:13" x14ac:dyDescent="0.2">
      <c r="A9" t="s">
        <v>398</v>
      </c>
      <c r="C9" s="7">
        <v>6656294.9000000004</v>
      </c>
      <c r="D9" s="7">
        <v>7678614.7999999998</v>
      </c>
      <c r="E9" s="7">
        <v>8613438</v>
      </c>
      <c r="F9" s="7">
        <v>9415968.1999999993</v>
      </c>
      <c r="G9" s="7">
        <v>9742158</v>
      </c>
      <c r="H9" s="7">
        <v>10078275.6</v>
      </c>
      <c r="I9" s="7">
        <v>9778958.5</v>
      </c>
      <c r="J9" s="7">
        <v>10291130.199999999</v>
      </c>
      <c r="K9" s="7">
        <v>10893606.6</v>
      </c>
      <c r="L9" s="7">
        <v>11460496.699999999</v>
      </c>
      <c r="M9" s="7">
        <v>8642422.0999999996</v>
      </c>
    </row>
    <row r="10" spans="1:13" x14ac:dyDescent="0.2">
      <c r="A10" t="s">
        <v>399</v>
      </c>
      <c r="C10" s="7">
        <v>5983436.9000000004</v>
      </c>
      <c r="D10" s="7">
        <v>6869098.0999999996</v>
      </c>
      <c r="E10" s="7">
        <v>7665477.5999999996</v>
      </c>
      <c r="F10" s="7">
        <v>8369646.2000000002</v>
      </c>
      <c r="G10" s="7">
        <v>8688533.9000000004</v>
      </c>
      <c r="H10" s="7">
        <v>8725059.4000000004</v>
      </c>
      <c r="I10" s="7">
        <v>8533585.1999999993</v>
      </c>
      <c r="J10" s="7">
        <v>9227587.5</v>
      </c>
      <c r="K10" s="7">
        <v>9690088.4000000004</v>
      </c>
      <c r="L10" s="7">
        <v>9879168.0999999996</v>
      </c>
      <c r="M10" s="7">
        <v>7534578.9000000004</v>
      </c>
    </row>
    <row r="11" spans="1:13" x14ac:dyDescent="0.2">
      <c r="A11" t="s">
        <v>400</v>
      </c>
      <c r="C11" s="7">
        <v>137755.29999999999</v>
      </c>
      <c r="D11" s="7">
        <v>162188.29999999999</v>
      </c>
      <c r="E11" s="7">
        <v>222211.4</v>
      </c>
      <c r="F11" s="7">
        <v>215188.8</v>
      </c>
      <c r="G11" s="7">
        <v>243315</v>
      </c>
      <c r="H11" s="7">
        <v>215968.7</v>
      </c>
      <c r="I11" s="7">
        <v>236904.4</v>
      </c>
      <c r="J11" s="7">
        <v>234673.6</v>
      </c>
      <c r="K11" s="7">
        <v>273560.90000000002</v>
      </c>
      <c r="L11" s="7">
        <v>262063.1</v>
      </c>
      <c r="M11" s="7">
        <v>190237.2</v>
      </c>
    </row>
    <row r="12" spans="1:13" x14ac:dyDescent="0.2">
      <c r="A12" t="s">
        <v>401</v>
      </c>
      <c r="C12" s="7">
        <v>150586.5</v>
      </c>
      <c r="D12" s="7">
        <v>234548.6</v>
      </c>
      <c r="E12" s="7">
        <v>284400.2</v>
      </c>
      <c r="F12" s="7">
        <v>385713.1</v>
      </c>
      <c r="G12" s="7">
        <v>319797.40000000002</v>
      </c>
      <c r="H12" s="7">
        <v>677765</v>
      </c>
      <c r="I12" s="7">
        <v>500503</v>
      </c>
      <c r="J12" s="7">
        <v>297438.40000000002</v>
      </c>
      <c r="K12" s="7">
        <v>400589.6</v>
      </c>
      <c r="L12" s="7">
        <v>792186.8</v>
      </c>
      <c r="M12" s="7">
        <v>410488.2</v>
      </c>
    </row>
    <row r="13" spans="1:13" x14ac:dyDescent="0.2">
      <c r="A13" t="s">
        <v>402</v>
      </c>
      <c r="C13" s="7">
        <v>318124.59999999998</v>
      </c>
      <c r="D13" s="7">
        <v>341900.7</v>
      </c>
      <c r="E13" s="7">
        <v>743005.6</v>
      </c>
      <c r="F13" s="7">
        <v>800710.7</v>
      </c>
      <c r="G13" s="7">
        <v>918325.4</v>
      </c>
      <c r="H13" s="7">
        <v>985572</v>
      </c>
      <c r="I13" s="7">
        <v>959893.3</v>
      </c>
      <c r="J13" s="7">
        <v>1009207.6</v>
      </c>
      <c r="K13" s="7">
        <v>1118109.3999999999</v>
      </c>
      <c r="L13" s="7">
        <v>1014281.7</v>
      </c>
      <c r="M13" s="7">
        <v>444876.2</v>
      </c>
    </row>
    <row r="14" spans="1:13" x14ac:dyDescent="0.2">
      <c r="A14" t="s">
        <v>403</v>
      </c>
      <c r="C14" s="7">
        <v>255722.8</v>
      </c>
      <c r="D14" s="7">
        <v>281119.2</v>
      </c>
      <c r="E14" s="7">
        <v>464494.7</v>
      </c>
      <c r="F14" s="7">
        <v>384240.6</v>
      </c>
      <c r="G14" s="7">
        <v>720362.3</v>
      </c>
      <c r="H14" s="7">
        <v>602556.1</v>
      </c>
      <c r="I14" s="7">
        <v>907786.9</v>
      </c>
      <c r="J14" s="7">
        <v>783244.3</v>
      </c>
      <c r="K14" s="7">
        <v>675337.1</v>
      </c>
      <c r="L14" s="7">
        <v>666686</v>
      </c>
      <c r="M14" s="7">
        <v>338542.6</v>
      </c>
    </row>
    <row r="15" spans="1:13" x14ac:dyDescent="0.2">
      <c r="A15" t="s">
        <v>404</v>
      </c>
      <c r="C15" s="7">
        <v>29654223.199999999</v>
      </c>
      <c r="D15" s="7">
        <v>33463569.5</v>
      </c>
      <c r="E15" s="7">
        <v>37072314.200000003</v>
      </c>
      <c r="F15" s="7">
        <v>37968123</v>
      </c>
      <c r="G15" s="7">
        <v>37456516.100000001</v>
      </c>
      <c r="H15" s="7">
        <v>40005615.100000001</v>
      </c>
      <c r="I15" s="7">
        <v>42804059</v>
      </c>
      <c r="J15" s="7">
        <v>48079594.5</v>
      </c>
      <c r="K15" s="7">
        <v>48026403.100000001</v>
      </c>
      <c r="L15" s="7">
        <v>47109438</v>
      </c>
      <c r="M15" s="7">
        <v>30658838.399999999</v>
      </c>
    </row>
    <row r="16" spans="1:13" x14ac:dyDescent="0.2">
      <c r="A16" t="s">
        <v>405</v>
      </c>
      <c r="C16" s="7">
        <v>28896429.899999999</v>
      </c>
      <c r="D16" s="7">
        <v>32691503.699999999</v>
      </c>
      <c r="E16" s="7">
        <v>36230496.200000003</v>
      </c>
      <c r="F16" s="7">
        <v>37177543.399999999</v>
      </c>
      <c r="G16" s="7">
        <v>37355005.5</v>
      </c>
      <c r="H16" s="7">
        <v>39887288.899999999</v>
      </c>
      <c r="I16" s="7">
        <v>43511893.299999997</v>
      </c>
      <c r="J16" s="7">
        <v>48524934.100000001</v>
      </c>
      <c r="K16" s="7">
        <v>48626703.299999997</v>
      </c>
      <c r="L16" s="7">
        <v>45706500.5</v>
      </c>
      <c r="M16" s="7">
        <v>29139691.699999999</v>
      </c>
    </row>
    <row r="17" spans="1:13" x14ac:dyDescent="0.2">
      <c r="A17" t="s">
        <v>406</v>
      </c>
      <c r="C17" s="7">
        <v>21458109.199999999</v>
      </c>
      <c r="D17" s="7">
        <v>24328475.699999999</v>
      </c>
      <c r="E17" s="7">
        <v>26826652.300000001</v>
      </c>
      <c r="F17" s="7">
        <v>27126587.699999999</v>
      </c>
      <c r="G17" s="7">
        <v>25896058.300000001</v>
      </c>
      <c r="H17" s="7">
        <v>28149286.5</v>
      </c>
      <c r="I17" s="7">
        <v>30663105.100000001</v>
      </c>
      <c r="J17" s="7">
        <v>35393951.200000003</v>
      </c>
      <c r="K17" s="7">
        <v>34834296.799999997</v>
      </c>
      <c r="L17" s="7">
        <v>32921035.800000001</v>
      </c>
      <c r="M17" s="7">
        <v>21939849.699999999</v>
      </c>
    </row>
    <row r="18" spans="1:13" x14ac:dyDescent="0.2">
      <c r="A18" t="s">
        <v>407</v>
      </c>
      <c r="C18" s="7">
        <v>6996332.5999999996</v>
      </c>
      <c r="D18" s="7">
        <v>7955397.2999999998</v>
      </c>
      <c r="E18" s="7">
        <v>9080890.4000000004</v>
      </c>
      <c r="F18" s="7">
        <v>8362356</v>
      </c>
      <c r="G18" s="7">
        <v>6257924</v>
      </c>
      <c r="H18" s="7">
        <v>6710513.4000000004</v>
      </c>
      <c r="I18" s="7">
        <v>7833606</v>
      </c>
      <c r="J18" s="7">
        <v>10063787.4</v>
      </c>
      <c r="K18" s="7">
        <v>9606189.8000000007</v>
      </c>
      <c r="L18" s="7">
        <v>7285059</v>
      </c>
      <c r="M18" s="7">
        <v>7003219.9000000004</v>
      </c>
    </row>
    <row r="19" spans="1:13" x14ac:dyDescent="0.2">
      <c r="A19" t="s">
        <v>408</v>
      </c>
      <c r="C19" s="7">
        <v>8774519.3000000007</v>
      </c>
      <c r="D19" s="7">
        <v>9771222.8000000007</v>
      </c>
      <c r="E19" s="7">
        <v>10608389.699999999</v>
      </c>
      <c r="F19" s="7">
        <v>10709085.9</v>
      </c>
      <c r="G19" s="7">
        <v>10460962.1</v>
      </c>
      <c r="H19" s="7">
        <v>10730477.1</v>
      </c>
      <c r="I19" s="7">
        <v>11755575.199999999</v>
      </c>
      <c r="J19" s="7">
        <v>13755108.9</v>
      </c>
      <c r="K19" s="7">
        <v>13467400</v>
      </c>
      <c r="L19" s="7">
        <v>12922144.699999999</v>
      </c>
      <c r="M19" s="7">
        <v>7331009.7999999998</v>
      </c>
    </row>
    <row r="20" spans="1:13" x14ac:dyDescent="0.2">
      <c r="A20" t="s">
        <v>409</v>
      </c>
      <c r="C20" s="7">
        <v>88267</v>
      </c>
      <c r="D20" s="7">
        <v>55216.4</v>
      </c>
      <c r="E20" s="7">
        <v>20826</v>
      </c>
      <c r="F20" s="7">
        <v>24414.9</v>
      </c>
      <c r="G20" s="7">
        <v>25414.6</v>
      </c>
      <c r="H20" s="7">
        <v>27091.200000000001</v>
      </c>
      <c r="I20" s="7">
        <v>22181</v>
      </c>
      <c r="J20" s="7">
        <v>25807.5</v>
      </c>
      <c r="K20" s="7">
        <v>26035.7</v>
      </c>
      <c r="L20" s="7">
        <v>25403.200000000001</v>
      </c>
      <c r="M20" s="7">
        <v>12134.9</v>
      </c>
    </row>
    <row r="21" spans="1:13" x14ac:dyDescent="0.2">
      <c r="A21" t="s">
        <v>410</v>
      </c>
      <c r="C21" s="7">
        <v>530630.1</v>
      </c>
      <c r="D21" s="7">
        <v>612237.19999999995</v>
      </c>
      <c r="E21" s="7">
        <v>719574.5</v>
      </c>
      <c r="F21" s="7">
        <v>823519.5</v>
      </c>
      <c r="G21" s="7">
        <v>794210.9</v>
      </c>
      <c r="H21" s="7">
        <v>1044367.9</v>
      </c>
      <c r="I21" s="7">
        <v>770656.7</v>
      </c>
      <c r="J21" s="7">
        <v>833463.2</v>
      </c>
      <c r="K21" s="7">
        <v>810853.1</v>
      </c>
      <c r="L21" s="7">
        <v>674434.6</v>
      </c>
      <c r="M21" s="7">
        <v>198026.6</v>
      </c>
    </row>
    <row r="22" spans="1:13" x14ac:dyDescent="0.2">
      <c r="A22" t="s">
        <v>411</v>
      </c>
      <c r="C22" s="7">
        <v>2114706.7999999998</v>
      </c>
      <c r="D22" s="7">
        <v>2380267.7000000002</v>
      </c>
      <c r="E22" s="7">
        <v>2614919</v>
      </c>
      <c r="F22" s="7">
        <v>2803842.8</v>
      </c>
      <c r="G22" s="7">
        <v>2935806.6</v>
      </c>
      <c r="H22" s="7">
        <v>3164607.9</v>
      </c>
      <c r="I22" s="7">
        <v>3462959.5</v>
      </c>
      <c r="J22" s="7">
        <v>3619427</v>
      </c>
      <c r="K22" s="7">
        <v>3704883.1</v>
      </c>
      <c r="L22" s="7">
        <v>3792834.3</v>
      </c>
      <c r="M22" s="7">
        <v>2109624.2000000002</v>
      </c>
    </row>
    <row r="23" spans="1:13" x14ac:dyDescent="0.2">
      <c r="A23" t="s">
        <v>412</v>
      </c>
      <c r="C23" s="7">
        <v>1023859.7</v>
      </c>
      <c r="D23" s="7">
        <v>1138655.6000000001</v>
      </c>
      <c r="E23" s="7">
        <v>1211736.5</v>
      </c>
      <c r="F23" s="7">
        <v>1523301.2</v>
      </c>
      <c r="G23" s="7">
        <v>2461139.7999999998</v>
      </c>
      <c r="H23" s="7">
        <v>2985457.1</v>
      </c>
      <c r="I23" s="7">
        <v>3005807.3</v>
      </c>
      <c r="J23" s="7">
        <v>2806501.1</v>
      </c>
      <c r="K23" s="7">
        <v>2781829.8</v>
      </c>
      <c r="L23" s="7">
        <v>3938980.6</v>
      </c>
      <c r="M23" s="7">
        <v>3185215.5</v>
      </c>
    </row>
    <row r="24" spans="1:13" x14ac:dyDescent="0.2">
      <c r="A24" t="s">
        <v>413</v>
      </c>
      <c r="C24" s="7">
        <v>227743.8</v>
      </c>
      <c r="D24" s="7">
        <v>255078.8</v>
      </c>
      <c r="E24" s="7">
        <v>267559.8</v>
      </c>
      <c r="F24" s="7">
        <v>282423.8</v>
      </c>
      <c r="G24" s="7">
        <v>265018.40000000002</v>
      </c>
      <c r="H24" s="7">
        <v>345069.2</v>
      </c>
      <c r="I24" s="7">
        <v>261041.5</v>
      </c>
      <c r="J24" s="7">
        <v>287919.3</v>
      </c>
      <c r="K24" s="7">
        <v>270945.40000000002</v>
      </c>
      <c r="L24" s="7">
        <v>229025.2</v>
      </c>
      <c r="M24" s="7">
        <v>107960.7</v>
      </c>
    </row>
    <row r="25" spans="1:13" x14ac:dyDescent="0.2">
      <c r="A25" t="s">
        <v>414</v>
      </c>
      <c r="C25" s="7">
        <v>248690.1</v>
      </c>
      <c r="D25" s="7">
        <v>291588.40000000002</v>
      </c>
      <c r="E25" s="7">
        <v>344487.3</v>
      </c>
      <c r="F25" s="7">
        <v>367948.3</v>
      </c>
      <c r="G25" s="7">
        <v>430787.2</v>
      </c>
      <c r="H25" s="7">
        <v>456572.9</v>
      </c>
      <c r="I25" s="7">
        <v>470873.5</v>
      </c>
      <c r="J25" s="7">
        <v>450643.6</v>
      </c>
      <c r="K25" s="7">
        <v>367216.5</v>
      </c>
      <c r="L25" s="7">
        <v>387712.7</v>
      </c>
      <c r="M25" s="7">
        <v>303213.2</v>
      </c>
    </row>
    <row r="26" spans="1:13" x14ac:dyDescent="0.2">
      <c r="A26" t="s">
        <v>415</v>
      </c>
      <c r="C26" s="7">
        <v>228475</v>
      </c>
      <c r="D26" s="7">
        <v>266294.3</v>
      </c>
      <c r="E26" s="7">
        <v>311807.40000000002</v>
      </c>
      <c r="F26" s="7">
        <v>348080.1</v>
      </c>
      <c r="G26" s="7">
        <v>383303.9</v>
      </c>
      <c r="H26" s="7">
        <v>409159.5</v>
      </c>
      <c r="I26" s="7">
        <v>457611.1</v>
      </c>
      <c r="J26" s="7">
        <v>495545.4</v>
      </c>
      <c r="K26" s="7">
        <v>516452.7</v>
      </c>
      <c r="L26" s="7">
        <v>495074.5</v>
      </c>
      <c r="M26" s="7">
        <v>206296.9</v>
      </c>
    </row>
    <row r="27" spans="1:13" x14ac:dyDescent="0.2">
      <c r="A27" t="s">
        <v>416</v>
      </c>
      <c r="C27" s="7">
        <v>58568.7</v>
      </c>
      <c r="D27" s="7">
        <v>68000.5</v>
      </c>
      <c r="E27" s="7">
        <v>82795.100000000006</v>
      </c>
      <c r="F27" s="7">
        <v>91953.9</v>
      </c>
      <c r="G27" s="7">
        <v>100355.4</v>
      </c>
      <c r="H27" s="7">
        <v>105571</v>
      </c>
      <c r="I27" s="7">
        <v>113953.60000000001</v>
      </c>
      <c r="J27" s="7">
        <v>117028</v>
      </c>
      <c r="K27" s="7">
        <v>130574.9</v>
      </c>
      <c r="L27" s="7">
        <v>168498.3</v>
      </c>
      <c r="M27" s="7">
        <v>150793.29999999999</v>
      </c>
    </row>
    <row r="28" spans="1:13" x14ac:dyDescent="0.2">
      <c r="A28" t="s">
        <v>417</v>
      </c>
      <c r="C28" s="7">
        <v>169000.8</v>
      </c>
      <c r="D28" s="7">
        <v>168889.1</v>
      </c>
      <c r="E28" s="7">
        <v>163243.4</v>
      </c>
      <c r="F28" s="7">
        <v>171529.9</v>
      </c>
      <c r="G28" s="7">
        <v>152877.4</v>
      </c>
      <c r="H28" s="7">
        <v>131462</v>
      </c>
      <c r="I28" s="7">
        <v>147043.29999999999</v>
      </c>
      <c r="J28" s="7">
        <v>136284.1</v>
      </c>
      <c r="K28" s="7">
        <v>159357.6</v>
      </c>
      <c r="L28" s="7">
        <v>149406</v>
      </c>
      <c r="M28" s="7">
        <v>4555.3</v>
      </c>
    </row>
    <row r="29" spans="1:13" x14ac:dyDescent="0.2">
      <c r="A29" t="s">
        <v>418</v>
      </c>
      <c r="C29" s="7">
        <v>72015.100000000006</v>
      </c>
      <c r="D29" s="7">
        <v>81444.800000000003</v>
      </c>
      <c r="E29" s="7">
        <v>95378.3</v>
      </c>
      <c r="F29" s="7">
        <v>237892.3</v>
      </c>
      <c r="G29" s="7">
        <v>117790.7</v>
      </c>
      <c r="H29" s="7">
        <v>151571.4</v>
      </c>
      <c r="I29" s="7">
        <v>178098.3</v>
      </c>
      <c r="J29" s="7">
        <v>200582.6</v>
      </c>
      <c r="K29" s="7">
        <v>188286.9</v>
      </c>
      <c r="L29" s="7">
        <v>188117.6</v>
      </c>
      <c r="M29" s="7">
        <v>91279.3</v>
      </c>
    </row>
    <row r="30" spans="1:13" x14ac:dyDescent="0.2">
      <c r="A30" t="s">
        <v>419</v>
      </c>
      <c r="C30">
        <v>272.10000000000002</v>
      </c>
      <c r="D30">
        <v>356</v>
      </c>
      <c r="E30">
        <v>383.08</v>
      </c>
      <c r="F30">
        <v>332.1</v>
      </c>
      <c r="G30">
        <v>360.8</v>
      </c>
      <c r="H30">
        <v>378.4</v>
      </c>
      <c r="I30">
        <v>383.5</v>
      </c>
      <c r="J30">
        <v>471.4</v>
      </c>
      <c r="K30">
        <v>471.6</v>
      </c>
      <c r="L30">
        <v>382.4</v>
      </c>
      <c r="M30">
        <v>214.7</v>
      </c>
    </row>
    <row r="31" spans="1:13" x14ac:dyDescent="0.2">
      <c r="A31" t="s">
        <v>420</v>
      </c>
      <c r="C31" s="7">
        <v>400511.6</v>
      </c>
      <c r="D31" s="7">
        <v>479666.8</v>
      </c>
      <c r="E31" s="7">
        <v>540514.80000000005</v>
      </c>
      <c r="F31" s="7">
        <v>576077.4</v>
      </c>
      <c r="G31" s="7">
        <v>523286.6</v>
      </c>
      <c r="H31" s="7">
        <v>609552.1</v>
      </c>
      <c r="I31" s="7">
        <v>585200.5</v>
      </c>
      <c r="J31" s="7">
        <v>750823.8</v>
      </c>
      <c r="K31" s="7">
        <v>771045.5</v>
      </c>
      <c r="L31" s="7">
        <v>757898.1</v>
      </c>
      <c r="M31" s="7">
        <v>544062.30000000005</v>
      </c>
    </row>
    <row r="32" spans="1:13" x14ac:dyDescent="0.2">
      <c r="A32" t="s">
        <v>421</v>
      </c>
      <c r="C32" s="7">
        <v>40987.599999999999</v>
      </c>
      <c r="D32" s="7">
        <v>45371.6</v>
      </c>
      <c r="E32" s="7">
        <v>48278.400000000001</v>
      </c>
      <c r="F32" s="7">
        <v>50498.9</v>
      </c>
      <c r="G32" s="7">
        <v>52543.4</v>
      </c>
      <c r="H32" s="7">
        <v>55417.2</v>
      </c>
      <c r="I32" s="7">
        <v>59680</v>
      </c>
      <c r="J32" s="7">
        <v>63513.1</v>
      </c>
      <c r="K32" s="7">
        <v>61918</v>
      </c>
      <c r="L32" s="7">
        <v>40473.9</v>
      </c>
      <c r="M32" s="7">
        <v>17216</v>
      </c>
    </row>
    <row r="33" spans="1:13" x14ac:dyDescent="0.2">
      <c r="A33" t="s">
        <v>422</v>
      </c>
      <c r="C33" s="7">
        <v>20507.8</v>
      </c>
      <c r="D33" s="7">
        <v>22253</v>
      </c>
      <c r="E33" s="7">
        <v>26887.54</v>
      </c>
      <c r="F33" s="7">
        <v>28930.37</v>
      </c>
      <c r="G33" s="7">
        <v>29567.83</v>
      </c>
      <c r="H33" s="7">
        <v>32669.29</v>
      </c>
      <c r="I33" s="7">
        <v>27499.3</v>
      </c>
      <c r="J33" s="7">
        <v>28748.400000000001</v>
      </c>
      <c r="K33" s="7">
        <v>27794</v>
      </c>
      <c r="L33" s="7">
        <v>26679.5</v>
      </c>
      <c r="M33" s="7">
        <v>23025</v>
      </c>
    </row>
    <row r="34" spans="1:13" x14ac:dyDescent="0.2">
      <c r="A34" t="s">
        <v>423</v>
      </c>
      <c r="C34" s="7">
        <v>13609</v>
      </c>
      <c r="D34" s="7">
        <v>14715.8</v>
      </c>
      <c r="E34" s="7">
        <v>16584.240000000002</v>
      </c>
      <c r="F34" s="7">
        <v>18076.099999999999</v>
      </c>
      <c r="G34" s="7">
        <v>18115.259999999998</v>
      </c>
      <c r="H34" s="7">
        <v>19423.68</v>
      </c>
      <c r="I34" s="7">
        <v>19390.3</v>
      </c>
      <c r="J34" s="7">
        <v>19443.900000000001</v>
      </c>
      <c r="K34" s="7">
        <v>18562.099999999999</v>
      </c>
      <c r="L34" s="7">
        <v>17021.599999999999</v>
      </c>
      <c r="M34" s="7">
        <v>14465.1</v>
      </c>
    </row>
    <row r="35" spans="1:13" x14ac:dyDescent="0.2">
      <c r="A35" t="s">
        <v>424</v>
      </c>
      <c r="C35" s="7">
        <v>323906.40000000002</v>
      </c>
      <c r="D35" s="7">
        <v>540173.19999999995</v>
      </c>
      <c r="E35" s="7">
        <v>411995.4</v>
      </c>
      <c r="F35" s="7">
        <v>450552.9</v>
      </c>
      <c r="G35" s="7">
        <v>520242.5</v>
      </c>
      <c r="H35" s="7">
        <v>668001.19999999995</v>
      </c>
      <c r="I35" s="7">
        <v>887080.1</v>
      </c>
      <c r="J35" s="7">
        <v>1077790.5</v>
      </c>
      <c r="K35" s="7">
        <v>1121273.8999999999</v>
      </c>
      <c r="L35" s="7">
        <v>1135260.1000000001</v>
      </c>
      <c r="M35" s="7">
        <v>547549</v>
      </c>
    </row>
    <row r="36" spans="1:13" x14ac:dyDescent="0.2">
      <c r="A36" t="s">
        <v>425</v>
      </c>
      <c r="C36" s="7">
        <v>213010.8</v>
      </c>
      <c r="D36" s="7">
        <v>213486.6</v>
      </c>
      <c r="E36" s="7">
        <v>321168.09999999998</v>
      </c>
      <c r="F36" s="7">
        <v>315988.5</v>
      </c>
      <c r="G36" s="7">
        <v>366586.1</v>
      </c>
      <c r="H36" s="7">
        <v>452754.7</v>
      </c>
      <c r="I36" s="7">
        <v>449758.5</v>
      </c>
      <c r="J36" s="7">
        <v>544675.6</v>
      </c>
      <c r="K36" s="7">
        <v>689129.5</v>
      </c>
      <c r="L36" s="7">
        <v>657280.30000000005</v>
      </c>
      <c r="M36" s="7">
        <v>108506.5</v>
      </c>
    </row>
    <row r="37" spans="1:13" x14ac:dyDescent="0.2">
      <c r="A37" t="s">
        <v>426</v>
      </c>
      <c r="C37" s="7">
        <v>214685.2</v>
      </c>
      <c r="D37" s="7">
        <v>318906.3</v>
      </c>
      <c r="E37" s="7">
        <v>353513.5</v>
      </c>
      <c r="F37" s="7">
        <v>307142.7</v>
      </c>
      <c r="G37" s="7">
        <v>352811.4</v>
      </c>
      <c r="H37" s="7">
        <v>367950.5</v>
      </c>
      <c r="I37" s="7">
        <v>460483.4</v>
      </c>
      <c r="J37" s="7">
        <v>419277.1</v>
      </c>
      <c r="K37" s="7">
        <v>377433.8</v>
      </c>
      <c r="L37" s="7">
        <v>276811.40000000002</v>
      </c>
      <c r="M37" s="7">
        <v>7167.7</v>
      </c>
    </row>
    <row r="38" spans="1:13" x14ac:dyDescent="0.2">
      <c r="A38" t="s">
        <v>427</v>
      </c>
      <c r="C38">
        <v>117.5</v>
      </c>
      <c r="D38">
        <v>128.80000000000001</v>
      </c>
      <c r="E38">
        <v>53</v>
      </c>
      <c r="F38">
        <v>43.2</v>
      </c>
      <c r="G38">
        <v>990.9</v>
      </c>
      <c r="H38">
        <v>582.20000000000005</v>
      </c>
      <c r="I38">
        <v>113.2</v>
      </c>
      <c r="J38">
        <v>34.700000000000003</v>
      </c>
      <c r="K38">
        <v>2.2000000000000002</v>
      </c>
      <c r="L38">
        <v>0.3</v>
      </c>
      <c r="M38">
        <v>0</v>
      </c>
    </row>
    <row r="39" spans="1:13" x14ac:dyDescent="0.2">
      <c r="A39" t="s">
        <v>428</v>
      </c>
      <c r="C39" s="7">
        <v>4733299.4000000004</v>
      </c>
      <c r="D39" s="7">
        <v>5506817.4000000004</v>
      </c>
      <c r="E39" s="7">
        <v>6315046.7000000002</v>
      </c>
      <c r="F39" s="7">
        <v>6786586.5999999996</v>
      </c>
      <c r="G39" s="7">
        <v>7331761.2999999998</v>
      </c>
      <c r="H39" s="7">
        <v>7215924.7999999998</v>
      </c>
      <c r="I39" s="7">
        <v>7386042.2000000002</v>
      </c>
      <c r="J39" s="7">
        <v>7720146.4000000004</v>
      </c>
      <c r="K39" s="7">
        <v>8250091.7000000002</v>
      </c>
      <c r="L39" s="7">
        <v>7791827.2999999998</v>
      </c>
      <c r="M39" s="7">
        <v>4732817.8</v>
      </c>
    </row>
    <row r="40" spans="1:13" x14ac:dyDescent="0.2">
      <c r="A40" t="s">
        <v>429</v>
      </c>
      <c r="C40" s="7">
        <v>21236</v>
      </c>
      <c r="D40" s="7">
        <v>31060.5</v>
      </c>
      <c r="E40" s="7">
        <v>28610.5</v>
      </c>
      <c r="F40" s="7">
        <v>30244.3</v>
      </c>
      <c r="G40" s="7">
        <v>35090.300000000003</v>
      </c>
      <c r="H40" s="7">
        <v>40527.800000000003</v>
      </c>
      <c r="I40" s="7">
        <v>47650.400000000001</v>
      </c>
      <c r="J40" s="7">
        <v>57608.7</v>
      </c>
      <c r="K40" s="7">
        <v>60845.2</v>
      </c>
      <c r="L40" s="7">
        <v>56889.1</v>
      </c>
      <c r="M40" s="7">
        <v>29315.599999999999</v>
      </c>
    </row>
    <row r="41" spans="1:13" x14ac:dyDescent="0.2">
      <c r="A41" t="s">
        <v>430</v>
      </c>
      <c r="C41" s="7">
        <v>4711760.5</v>
      </c>
      <c r="D41" s="7">
        <v>5475407.4000000004</v>
      </c>
      <c r="E41" s="7">
        <v>6284388.7000000002</v>
      </c>
      <c r="F41" s="7">
        <v>6746535.0999999996</v>
      </c>
      <c r="G41" s="7">
        <v>7284198.7999999998</v>
      </c>
      <c r="H41" s="7">
        <v>7155355.5</v>
      </c>
      <c r="I41" s="7">
        <v>7324316.4000000004</v>
      </c>
      <c r="J41" s="7">
        <v>7646590.7999999998</v>
      </c>
      <c r="K41" s="7">
        <v>8174854.9000000004</v>
      </c>
      <c r="L41" s="7">
        <v>7719574.0999999996</v>
      </c>
      <c r="M41" s="7">
        <v>4702810.4000000004</v>
      </c>
    </row>
    <row r="42" spans="1:13" x14ac:dyDescent="0.2">
      <c r="A42" t="s">
        <v>431</v>
      </c>
      <c r="C42" s="7">
        <v>4446093.5999999996</v>
      </c>
      <c r="D42" s="7">
        <v>5303888.7</v>
      </c>
      <c r="E42" s="7">
        <v>5998671.2000000002</v>
      </c>
      <c r="F42" s="7">
        <v>6612173.2000000002</v>
      </c>
      <c r="G42" s="7">
        <v>7030839.2000000002</v>
      </c>
      <c r="H42" s="7">
        <v>6996368.4000000004</v>
      </c>
      <c r="I42" s="7">
        <v>6919894.2999999998</v>
      </c>
      <c r="J42" s="7">
        <v>7196597.9000000004</v>
      </c>
      <c r="K42" s="7">
        <v>7639691.5</v>
      </c>
      <c r="L42" s="7">
        <v>7499294.9000000004</v>
      </c>
      <c r="M42" s="7">
        <v>4521628.8</v>
      </c>
    </row>
    <row r="43" spans="1:13" x14ac:dyDescent="0.2">
      <c r="A43" t="s">
        <v>432</v>
      </c>
      <c r="C43" s="7">
        <v>1094.8</v>
      </c>
      <c r="D43" s="7">
        <v>1342.2</v>
      </c>
      <c r="E43" s="7">
        <v>1345.5</v>
      </c>
      <c r="F43">
        <v>426.7</v>
      </c>
      <c r="G43" s="7">
        <v>4376.3</v>
      </c>
      <c r="H43" s="7">
        <v>6665.1</v>
      </c>
      <c r="I43" s="7">
        <v>2885.9</v>
      </c>
      <c r="J43" s="7">
        <v>35140.400000000001</v>
      </c>
      <c r="K43" s="7">
        <v>29513.8</v>
      </c>
      <c r="L43" s="7">
        <v>18532.8</v>
      </c>
      <c r="M43" s="7">
        <v>2942.7</v>
      </c>
    </row>
    <row r="44" spans="1:13" x14ac:dyDescent="0.2">
      <c r="A44" t="s">
        <v>433</v>
      </c>
      <c r="C44" s="7">
        <v>593525.1</v>
      </c>
      <c r="D44" s="7">
        <v>786501.6</v>
      </c>
      <c r="E44" s="7">
        <v>863214</v>
      </c>
      <c r="F44" s="7">
        <v>997771.8</v>
      </c>
      <c r="G44" s="7">
        <v>1759091.2</v>
      </c>
      <c r="H44" s="7">
        <v>1923956.8</v>
      </c>
      <c r="I44" s="7">
        <v>2938195</v>
      </c>
      <c r="J44" s="7">
        <v>2714888.9</v>
      </c>
      <c r="K44" s="7">
        <v>2161372.7999999998</v>
      </c>
      <c r="L44" s="7">
        <v>1725325.3</v>
      </c>
      <c r="M44" s="7">
        <v>961794.6</v>
      </c>
    </row>
    <row r="45" spans="1:13" x14ac:dyDescent="0.2">
      <c r="A45" t="s">
        <v>434</v>
      </c>
      <c r="C45" s="7">
        <v>1619574.8</v>
      </c>
      <c r="D45" s="7">
        <v>1975655.6</v>
      </c>
      <c r="E45" s="7">
        <v>2192497.2000000002</v>
      </c>
      <c r="F45" s="7">
        <v>2366258.2999999998</v>
      </c>
      <c r="G45" s="7">
        <v>3281258.6</v>
      </c>
      <c r="H45" s="7">
        <v>3464426.7</v>
      </c>
      <c r="I45" s="7">
        <v>4727423.0999999996</v>
      </c>
      <c r="J45" s="7">
        <v>4635671.8</v>
      </c>
      <c r="K45" s="7">
        <v>4483024.0999999996</v>
      </c>
      <c r="L45" s="7">
        <v>3881378.5</v>
      </c>
      <c r="M45" s="7">
        <v>1834509.9</v>
      </c>
    </row>
    <row r="46" spans="1:13" x14ac:dyDescent="0.2">
      <c r="A46" t="s">
        <v>435</v>
      </c>
      <c r="C46" s="7">
        <v>802431.2</v>
      </c>
      <c r="D46" s="7">
        <v>867469.7</v>
      </c>
      <c r="E46" s="7">
        <v>999244.9</v>
      </c>
      <c r="F46" s="7">
        <v>1062915</v>
      </c>
      <c r="G46" s="7">
        <v>1143774.3</v>
      </c>
      <c r="H46" s="7">
        <v>1267202.2</v>
      </c>
      <c r="I46" s="7">
        <v>1401373.5</v>
      </c>
      <c r="J46" s="7">
        <v>1485536</v>
      </c>
      <c r="K46" s="7">
        <v>1710700.7</v>
      </c>
      <c r="L46" s="7">
        <v>1761632.1</v>
      </c>
      <c r="M46" s="7">
        <v>646836.9</v>
      </c>
    </row>
    <row r="47" spans="1:13" x14ac:dyDescent="0.2">
      <c r="A47" t="s">
        <v>436</v>
      </c>
      <c r="C47" s="7">
        <v>45840</v>
      </c>
      <c r="D47" s="7">
        <v>46905.4</v>
      </c>
      <c r="E47" s="7">
        <v>44520.1</v>
      </c>
      <c r="F47" s="7">
        <v>31736.1</v>
      </c>
      <c r="G47" s="7">
        <v>10562.9</v>
      </c>
      <c r="H47" s="7">
        <v>13785.1</v>
      </c>
      <c r="I47" s="7">
        <v>8211.2999999999993</v>
      </c>
      <c r="J47" s="7">
        <v>10906.4</v>
      </c>
      <c r="K47" s="7">
        <v>10328</v>
      </c>
      <c r="L47" s="7">
        <v>13603.2</v>
      </c>
      <c r="M47" s="7">
        <v>5879.7</v>
      </c>
    </row>
    <row r="48" spans="1:13" x14ac:dyDescent="0.2">
      <c r="A48" t="s">
        <v>437</v>
      </c>
      <c r="C48" s="7">
        <v>177803.2</v>
      </c>
      <c r="D48" s="7">
        <v>274795.8</v>
      </c>
      <c r="E48" s="7">
        <v>285521.90000000002</v>
      </c>
      <c r="F48" s="7">
        <v>273841.90000000002</v>
      </c>
      <c r="G48" s="7">
        <v>369089.2</v>
      </c>
      <c r="H48" s="7">
        <v>260443.2</v>
      </c>
      <c r="I48" s="7">
        <v>381057.7</v>
      </c>
      <c r="J48" s="7">
        <v>426355.1</v>
      </c>
      <c r="K48" s="7">
        <v>601526.30000000005</v>
      </c>
      <c r="L48" s="7">
        <v>381694.9</v>
      </c>
      <c r="M48" s="7">
        <v>220207.4</v>
      </c>
    </row>
    <row r="49" spans="1:13" x14ac:dyDescent="0.2">
      <c r="A49" t="s">
        <v>438</v>
      </c>
      <c r="C49" s="7">
        <v>302064.90000000002</v>
      </c>
      <c r="D49" s="7">
        <v>129759</v>
      </c>
      <c r="E49" s="7">
        <v>138640.9</v>
      </c>
      <c r="F49" s="7">
        <v>120030.3</v>
      </c>
      <c r="G49" s="7">
        <v>248472.9</v>
      </c>
      <c r="H49" s="7">
        <v>356994.5</v>
      </c>
      <c r="I49" s="7">
        <v>249919.3</v>
      </c>
      <c r="J49" s="7">
        <v>119197.5</v>
      </c>
      <c r="K49" s="7">
        <v>376073.5</v>
      </c>
      <c r="L49" s="7">
        <v>273603.3</v>
      </c>
      <c r="M49" s="7">
        <v>16287.7</v>
      </c>
    </row>
    <row r="50" spans="1:13" x14ac:dyDescent="0.2">
      <c r="A50" t="s">
        <v>439</v>
      </c>
      <c r="C50" s="7">
        <v>2026932.2</v>
      </c>
      <c r="D50" s="7">
        <v>1985483.9</v>
      </c>
      <c r="E50" s="7">
        <v>2132018.2000000002</v>
      </c>
      <c r="F50" s="7">
        <v>1916094.1</v>
      </c>
      <c r="G50" s="7">
        <v>1351464.4</v>
      </c>
      <c r="H50" s="7">
        <v>1775525.7</v>
      </c>
      <c r="I50" s="7">
        <v>766132.3</v>
      </c>
      <c r="J50" s="7">
        <v>1265423.1000000001</v>
      </c>
      <c r="K50" s="7">
        <v>1303049.6000000001</v>
      </c>
      <c r="L50" s="7">
        <v>2924145.3</v>
      </c>
      <c r="M50" s="7">
        <v>2663353.7000000002</v>
      </c>
    </row>
    <row r="51" spans="1:13" x14ac:dyDescent="0.2">
      <c r="A51" t="s">
        <v>440</v>
      </c>
      <c r="C51" s="7">
        <v>783381.6</v>
      </c>
      <c r="D51" s="7">
        <v>750796</v>
      </c>
      <c r="E51" s="7">
        <v>757659.2</v>
      </c>
      <c r="F51" s="7">
        <v>778080.5</v>
      </c>
      <c r="G51" s="7">
        <v>597454.4</v>
      </c>
      <c r="H51" s="7">
        <v>700656.5</v>
      </c>
      <c r="I51" s="7">
        <v>485403.6</v>
      </c>
      <c r="J51" s="7">
        <v>655967.19999999995</v>
      </c>
      <c r="K51" s="7">
        <v>683217.2</v>
      </c>
      <c r="L51" s="7">
        <v>838655.6</v>
      </c>
      <c r="M51" s="7">
        <v>616226.6</v>
      </c>
    </row>
    <row r="52" spans="1:13" x14ac:dyDescent="0.2">
      <c r="A52" t="s">
        <v>441</v>
      </c>
      <c r="C52" s="7">
        <v>1243549.7</v>
      </c>
      <c r="D52" s="7">
        <v>1234678.8999999999</v>
      </c>
      <c r="E52" s="7">
        <v>1374220.3</v>
      </c>
      <c r="F52" s="7">
        <v>1138016.5</v>
      </c>
      <c r="G52" s="7">
        <v>754005.1</v>
      </c>
      <c r="H52" s="7">
        <v>1074886.1000000001</v>
      </c>
      <c r="I52" s="7">
        <v>280644.7</v>
      </c>
      <c r="J52" s="7">
        <v>608874.6</v>
      </c>
      <c r="K52" s="7">
        <v>619578</v>
      </c>
      <c r="L52" s="7">
        <v>2085256.6</v>
      </c>
      <c r="M52" s="7">
        <v>2047129.4</v>
      </c>
    </row>
    <row r="53" spans="1:13" x14ac:dyDescent="0.2">
      <c r="A53" t="s">
        <v>442</v>
      </c>
      <c r="C53" s="7">
        <v>1289891.8999999999</v>
      </c>
      <c r="D53" s="7">
        <v>1083318.7</v>
      </c>
      <c r="E53" s="7">
        <v>1048366.5</v>
      </c>
      <c r="F53" s="7">
        <v>873806.2</v>
      </c>
      <c r="G53" s="7">
        <v>282115.59999999998</v>
      </c>
      <c r="H53" s="7">
        <v>829324.4</v>
      </c>
      <c r="I53" s="7">
        <v>-377222.9</v>
      </c>
      <c r="J53" s="7">
        <v>-55172.2</v>
      </c>
      <c r="K53" s="7">
        <v>320314.40000000002</v>
      </c>
      <c r="L53" s="7">
        <v>1692173.9</v>
      </c>
      <c r="M53" s="7">
        <v>1724874.5</v>
      </c>
    </row>
    <row r="54" spans="1:13" x14ac:dyDescent="0.2">
      <c r="A54" t="s">
        <v>443</v>
      </c>
      <c r="B54" s="7"/>
      <c r="C54" s="7">
        <v>102287797.09999999</v>
      </c>
      <c r="D54" s="7">
        <v>116881235.2</v>
      </c>
      <c r="E54" s="7">
        <v>132144137.3</v>
      </c>
      <c r="F54" s="7">
        <v>142848287.80000001</v>
      </c>
      <c r="G54" s="7">
        <v>155788190.80000001</v>
      </c>
      <c r="H54" s="7">
        <v>166663924.09999999</v>
      </c>
      <c r="I54" s="7">
        <v>177677598.5</v>
      </c>
      <c r="J54" s="7">
        <v>189775316.40000001</v>
      </c>
      <c r="K54" s="7">
        <v>201729184.5</v>
      </c>
      <c r="L54" s="7">
        <v>216403452</v>
      </c>
      <c r="M54" s="7">
        <v>150794729.09999999</v>
      </c>
    </row>
    <row r="55" spans="1:13" x14ac:dyDescent="0.2">
      <c r="A55" t="s">
        <v>444</v>
      </c>
      <c r="C55" s="7">
        <v>17515218.600000001</v>
      </c>
      <c r="D55" s="7">
        <v>19467731.699999999</v>
      </c>
      <c r="E55" s="7">
        <v>22098930.800000001</v>
      </c>
      <c r="F55" s="7">
        <v>24297933.5</v>
      </c>
      <c r="G55" s="7">
        <v>24032101.800000001</v>
      </c>
      <c r="H55" s="7">
        <v>27250825.600000001</v>
      </c>
      <c r="I55" s="7">
        <v>29763890.5</v>
      </c>
      <c r="J55" s="7">
        <v>32328918.5</v>
      </c>
      <c r="K55" s="7">
        <v>35696238.5</v>
      </c>
      <c r="L55" s="7">
        <v>37392864.200000003</v>
      </c>
      <c r="M55" s="7">
        <v>12719393.1</v>
      </c>
    </row>
    <row r="56" spans="1:13" x14ac:dyDescent="0.2">
      <c r="A56" t="s">
        <v>445</v>
      </c>
      <c r="C56" s="7">
        <v>9817306.4000000004</v>
      </c>
      <c r="D56" s="7">
        <v>11041343.800000001</v>
      </c>
      <c r="E56" s="7">
        <v>12680828</v>
      </c>
      <c r="F56" s="7">
        <v>14071209.1</v>
      </c>
      <c r="G56" s="7">
        <v>17994120.899999999</v>
      </c>
      <c r="H56" s="7">
        <v>20508991.199999999</v>
      </c>
      <c r="I56" s="7">
        <v>21951379.399999999</v>
      </c>
      <c r="J56" s="7">
        <v>23141868.800000001</v>
      </c>
      <c r="K56" s="7">
        <v>24896647.300000001</v>
      </c>
      <c r="L56" s="7">
        <v>25192564.300000001</v>
      </c>
      <c r="M56" s="7">
        <v>8965587.3000000007</v>
      </c>
    </row>
    <row r="57" spans="1:13" x14ac:dyDescent="0.2">
      <c r="A57" t="s">
        <v>446</v>
      </c>
      <c r="C57" s="7">
        <v>17259892.800000001</v>
      </c>
      <c r="D57" s="7">
        <v>20006158.5</v>
      </c>
      <c r="E57" s="7">
        <v>22689485.100000001</v>
      </c>
      <c r="F57" s="7">
        <v>23631965.399999999</v>
      </c>
      <c r="G57" s="7">
        <v>26174465.300000001</v>
      </c>
      <c r="H57" s="7">
        <v>29743788.600000001</v>
      </c>
      <c r="I57" s="7">
        <v>33226365</v>
      </c>
      <c r="J57" s="7">
        <v>33872079.200000003</v>
      </c>
      <c r="K57" s="7">
        <v>35781552.799999997</v>
      </c>
      <c r="L57" s="7">
        <v>41956796.700000003</v>
      </c>
      <c r="M57" s="7">
        <v>38521691</v>
      </c>
    </row>
    <row r="58" spans="1:13" x14ac:dyDescent="0.2">
      <c r="A58" t="s">
        <v>447</v>
      </c>
      <c r="C58" s="7">
        <v>19142958.199999999</v>
      </c>
      <c r="D58" s="7">
        <v>21330882.899999999</v>
      </c>
      <c r="E58" s="7">
        <v>23552501</v>
      </c>
      <c r="F58" s="7">
        <v>26298913.899999999</v>
      </c>
      <c r="G58" s="7">
        <v>29014451.100000001</v>
      </c>
      <c r="H58" s="7">
        <v>31273711.300000001</v>
      </c>
      <c r="I58" s="7">
        <v>32531669.899999999</v>
      </c>
      <c r="J58" s="7">
        <v>33826446.5</v>
      </c>
      <c r="K58" s="7">
        <v>36788475.700000003</v>
      </c>
      <c r="L58" s="7">
        <v>39088284.799999997</v>
      </c>
      <c r="M58" s="7">
        <v>23100799.300000001</v>
      </c>
    </row>
    <row r="59" spans="1:13" x14ac:dyDescent="0.2">
      <c r="A59" t="s">
        <v>448</v>
      </c>
      <c r="B59" s="7"/>
      <c r="C59" s="7">
        <v>102287797.09999999</v>
      </c>
      <c r="D59" s="7">
        <v>116881235.2</v>
      </c>
      <c r="E59" s="7">
        <v>132144137.3</v>
      </c>
      <c r="F59" s="7">
        <v>142848287.80000001</v>
      </c>
      <c r="G59" s="7">
        <v>155788190.80000001</v>
      </c>
      <c r="H59" s="7">
        <v>166663924.09999999</v>
      </c>
      <c r="I59" s="7">
        <v>177677598.5</v>
      </c>
      <c r="J59" s="7">
        <v>189775316.40000001</v>
      </c>
      <c r="K59" s="7">
        <v>201729184.5</v>
      </c>
      <c r="L59" s="7">
        <v>216403452</v>
      </c>
      <c r="M59" s="7">
        <v>150794729.09999999</v>
      </c>
    </row>
    <row r="60" spans="1:13" x14ac:dyDescent="0.2">
      <c r="A60" t="s">
        <v>449</v>
      </c>
      <c r="B60" s="7"/>
      <c r="C60" s="7">
        <v>14316801.300000001</v>
      </c>
      <c r="D60" s="7">
        <v>15486416.6</v>
      </c>
      <c r="E60" s="7">
        <v>16969659.800000001</v>
      </c>
      <c r="F60" s="7">
        <v>17781373.600000001</v>
      </c>
      <c r="G60" s="7">
        <v>20017220.100000001</v>
      </c>
      <c r="H60" s="7">
        <v>21079793.800000001</v>
      </c>
      <c r="I60" s="7">
        <v>22097601.699999999</v>
      </c>
      <c r="J60" s="7">
        <v>24115859.600000001</v>
      </c>
      <c r="K60" s="7">
        <v>25107251.300000001</v>
      </c>
      <c r="L60" s="7">
        <v>26834816</v>
      </c>
      <c r="M60" s="7">
        <v>13975611.199999999</v>
      </c>
    </row>
    <row r="61" spans="1:13" x14ac:dyDescent="0.2">
      <c r="A61" t="s">
        <v>450</v>
      </c>
      <c r="B61" s="7"/>
      <c r="C61" s="7">
        <v>3783665.1</v>
      </c>
      <c r="D61" s="7">
        <v>4370695.4000000004</v>
      </c>
      <c r="E61" s="7">
        <v>4969672.7</v>
      </c>
      <c r="F61" s="7">
        <v>5328403.0999999996</v>
      </c>
      <c r="G61" s="7">
        <v>6685821.0999999996</v>
      </c>
      <c r="H61" s="7">
        <v>7818117.2000000002</v>
      </c>
      <c r="I61" s="7">
        <v>9284439.3000000007</v>
      </c>
      <c r="J61" s="7">
        <v>10231556</v>
      </c>
      <c r="K61" s="7">
        <v>10861498.9</v>
      </c>
      <c r="L61" s="7">
        <v>10769499.699999999</v>
      </c>
      <c r="M61" s="7">
        <v>1538106.9</v>
      </c>
    </row>
    <row r="62" spans="1:13" x14ac:dyDescent="0.2">
      <c r="A62" t="s">
        <v>451</v>
      </c>
      <c r="C62" s="7">
        <v>10693405</v>
      </c>
      <c r="D62" s="7">
        <v>11223831.300000001</v>
      </c>
      <c r="E62" s="7">
        <v>12251625.5</v>
      </c>
      <c r="F62" s="7">
        <v>12613893.6</v>
      </c>
      <c r="G62" s="7">
        <v>13839804.800000001</v>
      </c>
      <c r="H62" s="7">
        <v>14419461.9</v>
      </c>
      <c r="I62" s="7">
        <v>13673616.5</v>
      </c>
      <c r="J62" s="7">
        <v>14925857</v>
      </c>
      <c r="K62" s="7">
        <v>15236497.1</v>
      </c>
      <c r="L62" s="7">
        <v>17150800.199999999</v>
      </c>
      <c r="M62" s="7">
        <v>13517924.1</v>
      </c>
    </row>
    <row r="63" spans="1:13" x14ac:dyDescent="0.2">
      <c r="A63" t="s">
        <v>452</v>
      </c>
      <c r="B63" s="7"/>
      <c r="C63" s="7">
        <v>14076560</v>
      </c>
      <c r="D63" s="7">
        <v>15234578.4</v>
      </c>
      <c r="E63" s="7">
        <v>16753142</v>
      </c>
      <c r="F63" s="7">
        <v>17582224.699999999</v>
      </c>
      <c r="G63" s="7">
        <v>19814157.300000001</v>
      </c>
      <c r="H63" s="7">
        <v>20874067.600000001</v>
      </c>
      <c r="I63" s="7">
        <v>21896391.800000001</v>
      </c>
      <c r="J63" s="7">
        <v>23920581.699999999</v>
      </c>
      <c r="K63" s="7">
        <v>24946669</v>
      </c>
      <c r="L63" s="7">
        <v>26665839.899999999</v>
      </c>
      <c r="M63" s="7">
        <v>13968181.1</v>
      </c>
    </row>
    <row r="64" spans="1:13" x14ac:dyDescent="0.2">
      <c r="A64" t="s">
        <v>503</v>
      </c>
      <c r="B64" s="7"/>
      <c r="C64" s="7">
        <v>21398358.399999999</v>
      </c>
      <c r="D64" s="7">
        <v>25449809.899999999</v>
      </c>
      <c r="E64" s="7">
        <v>28714626.600000001</v>
      </c>
      <c r="F64" s="7">
        <v>32554003.399999999</v>
      </c>
      <c r="G64" s="7">
        <v>36521661.200000003</v>
      </c>
      <c r="H64" s="7">
        <v>38316152</v>
      </c>
      <c r="I64" s="7">
        <v>44333612.100000001</v>
      </c>
      <c r="J64" s="7">
        <v>49407035.299999997</v>
      </c>
      <c r="K64" s="7">
        <v>53975201.600000001</v>
      </c>
      <c r="L64" s="7">
        <v>54006095.700000003</v>
      </c>
      <c r="M64" s="7">
        <v>15388139.9</v>
      </c>
    </row>
    <row r="65" spans="1:13" x14ac:dyDescent="0.2">
      <c r="B65" t="s">
        <v>454</v>
      </c>
      <c r="C65" s="7">
        <v>4878869.8</v>
      </c>
      <c r="D65" s="7">
        <v>5333662.0999999996</v>
      </c>
      <c r="E65" s="7">
        <v>5698259.5</v>
      </c>
      <c r="F65" s="7">
        <v>5875287.0999999996</v>
      </c>
      <c r="G65" s="7">
        <v>5955840</v>
      </c>
      <c r="H65" s="7">
        <v>5372874.5</v>
      </c>
      <c r="I65" s="7">
        <v>6294783.4000000004</v>
      </c>
      <c r="J65" s="7">
        <v>8694450.6999999993</v>
      </c>
      <c r="K65" s="7">
        <v>9554623.5</v>
      </c>
      <c r="L65" s="7">
        <v>10214590</v>
      </c>
      <c r="M65" s="7">
        <v>2068169.2</v>
      </c>
    </row>
    <row r="66" spans="1:13" x14ac:dyDescent="0.2">
      <c r="B66" t="s">
        <v>456</v>
      </c>
      <c r="C66" s="7">
        <v>4118448.1</v>
      </c>
      <c r="D66" s="7">
        <v>5285340.7</v>
      </c>
      <c r="E66" s="7">
        <v>6139206.5999999996</v>
      </c>
      <c r="F66" s="7">
        <v>6326875.5999999996</v>
      </c>
      <c r="G66" s="7">
        <v>6783622.2999999998</v>
      </c>
      <c r="H66" s="7">
        <v>6772637.4000000004</v>
      </c>
      <c r="I66" s="7">
        <v>7243419.0999999996</v>
      </c>
      <c r="J66" s="7">
        <v>7826310.5999999996</v>
      </c>
      <c r="K66" s="7">
        <v>8186435.2999999998</v>
      </c>
      <c r="L66" s="7">
        <v>7302666.4000000004</v>
      </c>
      <c r="M66" s="7">
        <v>4212543.2</v>
      </c>
    </row>
    <row r="67" spans="1:13" x14ac:dyDescent="0.2">
      <c r="A67" t="s">
        <v>457</v>
      </c>
      <c r="B67" s="7"/>
      <c r="C67" s="7">
        <v>9885198.8000000007</v>
      </c>
      <c r="D67" s="7">
        <v>10990775.699999999</v>
      </c>
      <c r="E67" s="7">
        <v>12041135.800000001</v>
      </c>
      <c r="F67" s="7">
        <v>13449937.300000001</v>
      </c>
      <c r="G67" s="7">
        <v>16055743.199999999</v>
      </c>
      <c r="H67" s="7">
        <v>17085851.800000001</v>
      </c>
      <c r="I67" s="7">
        <v>18090656</v>
      </c>
      <c r="J67" s="7">
        <v>18012611.699999999</v>
      </c>
      <c r="K67" s="7">
        <v>20141566.100000001</v>
      </c>
      <c r="L67" s="7">
        <v>21548133.899999999</v>
      </c>
      <c r="M67" s="7">
        <v>8048039.2999999998</v>
      </c>
    </row>
    <row r="68" spans="1:13" x14ac:dyDescent="0.2">
      <c r="A68" t="s">
        <v>458</v>
      </c>
    </row>
    <row r="69" spans="1:13" x14ac:dyDescent="0.2">
      <c r="A69" t="s">
        <v>481</v>
      </c>
    </row>
    <row r="70" spans="1:13" x14ac:dyDescent="0.2">
      <c r="A70" t="s">
        <v>482</v>
      </c>
      <c r="C70" s="7">
        <v>1007022.2</v>
      </c>
      <c r="D70" s="7">
        <v>1141813</v>
      </c>
      <c r="E70" s="7">
        <v>1312105.8999999999</v>
      </c>
      <c r="F70" s="7">
        <v>921344.4</v>
      </c>
      <c r="G70" s="7">
        <v>735295.8</v>
      </c>
      <c r="H70" s="7">
        <v>717484.6</v>
      </c>
      <c r="I70" s="7">
        <v>886265.5</v>
      </c>
      <c r="J70" s="7">
        <v>1163121.2</v>
      </c>
      <c r="K70" s="7">
        <v>1192199.2</v>
      </c>
      <c r="L70" s="7">
        <v>922105.8</v>
      </c>
      <c r="M70" s="7">
        <v>971126.2</v>
      </c>
    </row>
    <row r="71" spans="1:13" x14ac:dyDescent="0.2">
      <c r="A71" t="s">
        <v>483</v>
      </c>
      <c r="C71" s="7">
        <v>6995117</v>
      </c>
      <c r="D71" s="7">
        <v>7060522.7000000002</v>
      </c>
      <c r="E71" s="7">
        <v>7718597.2999999998</v>
      </c>
      <c r="F71" s="7">
        <v>6401829.2999999998</v>
      </c>
      <c r="G71" s="7">
        <v>5351940.2</v>
      </c>
      <c r="H71" s="7">
        <v>3414760.2</v>
      </c>
      <c r="I71" s="7">
        <v>5738579</v>
      </c>
      <c r="J71" s="7">
        <v>7622731.7999999998</v>
      </c>
      <c r="K71" s="7">
        <v>7572274.0999999996</v>
      </c>
      <c r="L71" s="7">
        <v>5629079.4000000004</v>
      </c>
      <c r="M71" s="7">
        <v>6348628.5999999996</v>
      </c>
    </row>
    <row r="72" spans="1:13" x14ac:dyDescent="0.2">
      <c r="A72" t="s">
        <v>458</v>
      </c>
    </row>
    <row r="73" spans="1:13" x14ac:dyDescent="0.2">
      <c r="A73" t="s">
        <v>486</v>
      </c>
    </row>
    <row r="74" spans="1:13" x14ac:dyDescent="0.2">
      <c r="A74" t="s">
        <v>487</v>
      </c>
      <c r="C74" s="7">
        <v>1868569.9</v>
      </c>
      <c r="D74" s="7">
        <v>1995158.1</v>
      </c>
      <c r="E74" s="7">
        <v>2047534.6</v>
      </c>
      <c r="F74" s="7">
        <v>2455237.7999999998</v>
      </c>
      <c r="G74" s="7">
        <v>3242363.2</v>
      </c>
      <c r="H74" s="7">
        <v>3935676.4</v>
      </c>
      <c r="I74" s="7">
        <v>3881848.7</v>
      </c>
      <c r="J74" s="7">
        <v>3772259.6</v>
      </c>
      <c r="K74" s="7">
        <v>3585598</v>
      </c>
      <c r="L74" s="7">
        <v>4784085.9000000004</v>
      </c>
      <c r="M74" s="7">
        <v>3752281</v>
      </c>
    </row>
    <row r="75" spans="1:13" x14ac:dyDescent="0.2">
      <c r="A75" t="s">
        <v>488</v>
      </c>
      <c r="C75" s="7">
        <v>824722.7</v>
      </c>
      <c r="D75" s="7">
        <v>841744.1</v>
      </c>
      <c r="E75" s="7">
        <v>821568.8</v>
      </c>
      <c r="F75" s="7">
        <v>921848.1</v>
      </c>
      <c r="G75" s="7">
        <v>769687.2</v>
      </c>
      <c r="H75" s="7">
        <v>925562.8</v>
      </c>
      <c r="I75" s="7">
        <v>855907.7</v>
      </c>
      <c r="J75" s="7">
        <v>951806.2</v>
      </c>
      <c r="K75" s="7">
        <v>713250.7</v>
      </c>
      <c r="L75" s="7">
        <v>769646.5</v>
      </c>
      <c r="M75" s="7">
        <v>554788.5</v>
      </c>
    </row>
    <row r="76" spans="1:13" x14ac:dyDescent="0.2">
      <c r="A76" t="s">
        <v>489</v>
      </c>
      <c r="C76" s="7">
        <v>4030.5</v>
      </c>
      <c r="D76" s="7">
        <v>2629</v>
      </c>
      <c r="E76" s="7">
        <v>3847.4</v>
      </c>
      <c r="F76" s="7">
        <v>3216.4</v>
      </c>
      <c r="G76" s="7">
        <v>3056.7</v>
      </c>
      <c r="H76" s="7">
        <v>4050.5</v>
      </c>
      <c r="I76" s="7">
        <v>4699.3</v>
      </c>
      <c r="J76" s="7">
        <v>5463</v>
      </c>
      <c r="K76" s="7">
        <v>3610.1</v>
      </c>
      <c r="L76" s="7">
        <v>8222.7000000000007</v>
      </c>
      <c r="M76" s="7">
        <v>1339.2</v>
      </c>
    </row>
    <row r="77" spans="1:13" x14ac:dyDescent="0.2">
      <c r="A77" t="s">
        <v>458</v>
      </c>
    </row>
    <row r="78" spans="1:13" x14ac:dyDescent="0.2">
      <c r="A78" t="s">
        <v>495</v>
      </c>
    </row>
    <row r="79" spans="1:13" x14ac:dyDescent="0.2">
      <c r="A79" t="s">
        <v>496</v>
      </c>
      <c r="C79">
        <v>0</v>
      </c>
      <c r="D79">
        <v>0</v>
      </c>
      <c r="E79">
        <v>5.8</v>
      </c>
      <c r="F79" s="7">
        <v>29609.7</v>
      </c>
      <c r="G79" s="7">
        <v>35238.1</v>
      </c>
      <c r="H79" s="7">
        <v>36056.199999999997</v>
      </c>
      <c r="I79" s="7">
        <v>36528.699999999997</v>
      </c>
      <c r="J79" s="7">
        <v>40709.199999999997</v>
      </c>
      <c r="K79" s="7">
        <v>62568.6</v>
      </c>
      <c r="L79" s="7">
        <v>43738.8</v>
      </c>
      <c r="M79" s="7">
        <v>21329.3</v>
      </c>
    </row>
    <row r="80" spans="1:13" x14ac:dyDescent="0.2">
      <c r="A80" t="s">
        <v>497</v>
      </c>
      <c r="C80">
        <v>0</v>
      </c>
      <c r="D80">
        <v>0</v>
      </c>
      <c r="E80">
        <v>154.9</v>
      </c>
      <c r="F80" s="7">
        <v>21299.599999999999</v>
      </c>
      <c r="G80" s="7">
        <v>34819</v>
      </c>
      <c r="H80" s="7">
        <v>34457.699999999997</v>
      </c>
      <c r="I80" s="7">
        <v>35262.1</v>
      </c>
      <c r="J80" s="7">
        <v>39051.1</v>
      </c>
      <c r="K80" s="7">
        <v>66488.800000000003</v>
      </c>
      <c r="L80" s="7">
        <v>44343.3</v>
      </c>
      <c r="M80">
        <v>0</v>
      </c>
    </row>
    <row r="81" spans="1:13" x14ac:dyDescent="0.2">
      <c r="A81" t="s">
        <v>498</v>
      </c>
      <c r="C81">
        <v>0</v>
      </c>
      <c r="D81">
        <v>0</v>
      </c>
      <c r="E81">
        <v>0</v>
      </c>
      <c r="F81" s="7">
        <v>8871.9</v>
      </c>
      <c r="G81" s="7">
        <v>4978.5</v>
      </c>
      <c r="H81" s="7">
        <v>4590.8</v>
      </c>
      <c r="I81" s="7">
        <v>5567.4</v>
      </c>
      <c r="J81" s="7">
        <v>4185</v>
      </c>
      <c r="K81" s="7">
        <v>6304.9</v>
      </c>
      <c r="L81" s="7">
        <v>1483.6</v>
      </c>
      <c r="M81">
        <v>0</v>
      </c>
    </row>
    <row r="82" spans="1:13" x14ac:dyDescent="0.2">
      <c r="A82" t="s">
        <v>499</v>
      </c>
      <c r="C82">
        <v>803</v>
      </c>
      <c r="D82">
        <v>806</v>
      </c>
      <c r="E82">
        <v>821</v>
      </c>
      <c r="F82">
        <v>839</v>
      </c>
      <c r="G82">
        <v>851</v>
      </c>
      <c r="H82">
        <v>881</v>
      </c>
      <c r="I82">
        <v>859</v>
      </c>
      <c r="J82">
        <v>842</v>
      </c>
      <c r="K82">
        <v>795</v>
      </c>
      <c r="L82">
        <v>741</v>
      </c>
      <c r="M82">
        <v>61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593E-8A8D-B442-9C71-4CA66BB95F69}">
  <dimension ref="A1:M112"/>
  <sheetViews>
    <sheetView topLeftCell="A57" workbookViewId="0">
      <selection activeCell="C77" activeCellId="1" sqref="C73:M73 C77:M77"/>
    </sheetView>
  </sheetViews>
  <sheetFormatPr baseColWidth="10" defaultRowHeight="16" x14ac:dyDescent="0.2"/>
  <cols>
    <col min="1" max="1" width="54.33203125" bestFit="1" customWidth="1"/>
  </cols>
  <sheetData>
    <row r="1" spans="1:13" x14ac:dyDescent="0.2">
      <c r="A1" t="s">
        <v>388</v>
      </c>
    </row>
    <row r="2" spans="1:13" x14ac:dyDescent="0.2">
      <c r="A2" t="s">
        <v>389</v>
      </c>
    </row>
    <row r="3" spans="1:13" x14ac:dyDescent="0.2">
      <c r="B3" t="s">
        <v>390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8</v>
      </c>
      <c r="M3" t="s">
        <v>9</v>
      </c>
    </row>
    <row r="4" spans="1:13" x14ac:dyDescent="0.2">
      <c r="B4" t="s">
        <v>391</v>
      </c>
      <c r="C4" t="s">
        <v>391</v>
      </c>
      <c r="D4" t="s">
        <v>391</v>
      </c>
      <c r="E4" t="s">
        <v>391</v>
      </c>
      <c r="F4" t="s">
        <v>391</v>
      </c>
      <c r="G4" t="s">
        <v>391</v>
      </c>
      <c r="H4" t="s">
        <v>391</v>
      </c>
      <c r="I4" t="s">
        <v>391</v>
      </c>
      <c r="J4" t="s">
        <v>391</v>
      </c>
      <c r="K4" t="s">
        <v>391</v>
      </c>
      <c r="L4" t="s">
        <v>391</v>
      </c>
      <c r="M4" t="s">
        <v>392</v>
      </c>
    </row>
    <row r="5" spans="1:13" x14ac:dyDescent="0.2">
      <c r="A5" t="s">
        <v>393</v>
      </c>
      <c r="B5" t="s">
        <v>394</v>
      </c>
      <c r="C5">
        <v>19.600000000000001</v>
      </c>
      <c r="D5">
        <v>12.4</v>
      </c>
      <c r="E5">
        <v>9.8000000000000007</v>
      </c>
      <c r="F5">
        <v>5.8</v>
      </c>
      <c r="G5">
        <v>2.8</v>
      </c>
      <c r="H5">
        <v>6.2</v>
      </c>
      <c r="I5">
        <v>9</v>
      </c>
      <c r="J5">
        <v>13.4</v>
      </c>
      <c r="K5">
        <v>0.3</v>
      </c>
      <c r="L5">
        <v>-0.8</v>
      </c>
      <c r="M5">
        <v>24.3</v>
      </c>
    </row>
    <row r="6" spans="1:13" x14ac:dyDescent="0.2">
      <c r="A6" t="s">
        <v>395</v>
      </c>
      <c r="B6" t="s">
        <v>394</v>
      </c>
      <c r="C6">
        <v>19.2</v>
      </c>
      <c r="D6">
        <v>11.18</v>
      </c>
      <c r="E6">
        <v>16.53</v>
      </c>
      <c r="F6">
        <v>5.34</v>
      </c>
      <c r="G6">
        <v>1.35</v>
      </c>
      <c r="H6">
        <v>6.14</v>
      </c>
      <c r="I6">
        <v>8.82</v>
      </c>
      <c r="J6">
        <v>13.78</v>
      </c>
      <c r="K6">
        <v>-1.6</v>
      </c>
      <c r="L6">
        <v>-2.2400000000000002</v>
      </c>
      <c r="M6">
        <v>33.19</v>
      </c>
    </row>
    <row r="7" spans="1:13" x14ac:dyDescent="0.2">
      <c r="A7" t="s">
        <v>396</v>
      </c>
      <c r="B7" t="s">
        <v>394</v>
      </c>
      <c r="C7">
        <v>20.8</v>
      </c>
      <c r="D7">
        <v>11.1</v>
      </c>
      <c r="E7">
        <v>12.2</v>
      </c>
      <c r="F7">
        <v>2.6</v>
      </c>
      <c r="G7">
        <v>-0.2</v>
      </c>
      <c r="H7">
        <v>7.3</v>
      </c>
      <c r="I7">
        <v>8.8000000000000007</v>
      </c>
      <c r="J7">
        <v>13.9</v>
      </c>
      <c r="K7">
        <v>-2.9</v>
      </c>
      <c r="L7">
        <v>-2.2999999999999998</v>
      </c>
      <c r="M7">
        <v>35.700000000000003</v>
      </c>
    </row>
    <row r="8" spans="1:13" x14ac:dyDescent="0.2">
      <c r="A8" t="s">
        <v>397</v>
      </c>
      <c r="B8" t="s">
        <v>394</v>
      </c>
      <c r="C8">
        <v>13.4</v>
      </c>
      <c r="D8">
        <v>11.6</v>
      </c>
      <c r="E8">
        <v>31.5</v>
      </c>
      <c r="F8">
        <v>13.2</v>
      </c>
      <c r="G8">
        <v>5.3</v>
      </c>
      <c r="H8">
        <v>3.2</v>
      </c>
      <c r="I8">
        <v>8.8000000000000007</v>
      </c>
      <c r="J8">
        <v>13.6</v>
      </c>
      <c r="K8">
        <v>2</v>
      </c>
      <c r="L8">
        <v>-2.2000000000000002</v>
      </c>
      <c r="M8">
        <v>23.3</v>
      </c>
    </row>
    <row r="9" spans="1:13" x14ac:dyDescent="0.2">
      <c r="A9" t="s">
        <v>398</v>
      </c>
      <c r="B9" t="s">
        <v>394</v>
      </c>
      <c r="C9">
        <v>29.8</v>
      </c>
      <c r="D9">
        <v>16.899999999999999</v>
      </c>
      <c r="E9">
        <v>12.9</v>
      </c>
      <c r="F9">
        <v>11.1</v>
      </c>
      <c r="G9">
        <v>7.5</v>
      </c>
      <c r="H9">
        <v>8.1999999999999993</v>
      </c>
      <c r="I9">
        <v>6.8</v>
      </c>
      <c r="J9">
        <v>10</v>
      </c>
      <c r="K9">
        <v>12.6</v>
      </c>
      <c r="L9">
        <v>6.7</v>
      </c>
      <c r="M9">
        <v>4.3</v>
      </c>
    </row>
    <row r="10" spans="1:13" x14ac:dyDescent="0.2">
      <c r="A10" t="s">
        <v>399</v>
      </c>
      <c r="B10" t="s">
        <v>394</v>
      </c>
      <c r="C10">
        <v>33.4</v>
      </c>
      <c r="D10">
        <v>17.7</v>
      </c>
      <c r="E10">
        <v>13</v>
      </c>
      <c r="F10">
        <v>9.6999999999999993</v>
      </c>
      <c r="G10">
        <v>9.4</v>
      </c>
      <c r="H10">
        <v>4.7</v>
      </c>
      <c r="I10">
        <v>5.9</v>
      </c>
      <c r="J10">
        <v>14.4</v>
      </c>
      <c r="K10">
        <v>11.1</v>
      </c>
      <c r="L10">
        <v>5.9</v>
      </c>
      <c r="M10">
        <v>2.8</v>
      </c>
    </row>
    <row r="11" spans="1:13" x14ac:dyDescent="0.2">
      <c r="A11" t="s">
        <v>400</v>
      </c>
      <c r="B11" t="s">
        <v>394</v>
      </c>
      <c r="C11">
        <v>38.6</v>
      </c>
      <c r="D11">
        <v>14.1</v>
      </c>
      <c r="E11">
        <v>30.5</v>
      </c>
      <c r="F11">
        <v>15.8</v>
      </c>
      <c r="G11">
        <v>7.8</v>
      </c>
      <c r="H11">
        <v>-8.8000000000000007</v>
      </c>
      <c r="I11">
        <v>15.9</v>
      </c>
      <c r="J11">
        <v>5.4</v>
      </c>
      <c r="K11">
        <v>35.200000000000003</v>
      </c>
      <c r="L11">
        <v>-20</v>
      </c>
      <c r="M11">
        <v>46.8</v>
      </c>
    </row>
    <row r="12" spans="1:13" x14ac:dyDescent="0.2">
      <c r="A12" t="s">
        <v>401</v>
      </c>
      <c r="B12" t="s">
        <v>394</v>
      </c>
      <c r="C12">
        <v>7.7</v>
      </c>
      <c r="D12">
        <v>24.1</v>
      </c>
      <c r="E12">
        <v>24.4</v>
      </c>
      <c r="F12">
        <v>26.4</v>
      </c>
      <c r="G12">
        <v>-7.8</v>
      </c>
      <c r="H12">
        <v>56.6</v>
      </c>
      <c r="I12">
        <v>2.2999999999999998</v>
      </c>
      <c r="J12">
        <v>-24.6</v>
      </c>
      <c r="K12">
        <v>26.8</v>
      </c>
      <c r="L12">
        <v>36.4</v>
      </c>
      <c r="M12">
        <v>-12.3</v>
      </c>
    </row>
    <row r="13" spans="1:13" x14ac:dyDescent="0.2">
      <c r="A13" t="s">
        <v>402</v>
      </c>
      <c r="B13" t="s">
        <v>394</v>
      </c>
      <c r="C13">
        <v>11.9</v>
      </c>
      <c r="D13">
        <v>6.2</v>
      </c>
      <c r="E13">
        <v>68.400000000000006</v>
      </c>
      <c r="F13">
        <v>19.600000000000001</v>
      </c>
      <c r="G13">
        <v>20.9</v>
      </c>
      <c r="H13">
        <v>-3.6</v>
      </c>
      <c r="I13">
        <v>8.5</v>
      </c>
      <c r="J13">
        <v>18.399999999999999</v>
      </c>
      <c r="K13">
        <v>19</v>
      </c>
      <c r="L13">
        <v>-8.1999999999999993</v>
      </c>
      <c r="M13">
        <v>18.899999999999999</v>
      </c>
    </row>
    <row r="14" spans="1:13" x14ac:dyDescent="0.2">
      <c r="A14" t="s">
        <v>403</v>
      </c>
      <c r="B14" t="s">
        <v>394</v>
      </c>
      <c r="C14">
        <v>-14.5</v>
      </c>
      <c r="D14">
        <v>24.2</v>
      </c>
      <c r="E14">
        <v>9.6999999999999993</v>
      </c>
      <c r="F14">
        <v>22</v>
      </c>
      <c r="G14">
        <v>37.5</v>
      </c>
      <c r="H14">
        <v>-2.2000000000000002</v>
      </c>
      <c r="I14">
        <v>43.6</v>
      </c>
      <c r="J14">
        <v>20</v>
      </c>
      <c r="K14">
        <v>-12.2</v>
      </c>
      <c r="L14">
        <v>11.2</v>
      </c>
      <c r="M14">
        <v>-14.8</v>
      </c>
    </row>
    <row r="15" spans="1:13" x14ac:dyDescent="0.2">
      <c r="A15" t="s">
        <v>404</v>
      </c>
      <c r="B15" t="s">
        <v>394</v>
      </c>
      <c r="C15">
        <v>20</v>
      </c>
      <c r="D15">
        <v>12.3</v>
      </c>
      <c r="E15">
        <v>9.8000000000000007</v>
      </c>
      <c r="F15">
        <v>5.7</v>
      </c>
      <c r="G15">
        <v>2.4</v>
      </c>
      <c r="H15">
        <v>6.3</v>
      </c>
      <c r="I15">
        <v>8.5</v>
      </c>
      <c r="J15">
        <v>13.3</v>
      </c>
      <c r="K15">
        <v>0.6</v>
      </c>
      <c r="L15">
        <v>-1</v>
      </c>
      <c r="M15">
        <v>25.2</v>
      </c>
    </row>
    <row r="16" spans="1:13" x14ac:dyDescent="0.2">
      <c r="A16" t="s">
        <v>405</v>
      </c>
      <c r="B16" t="s">
        <v>394</v>
      </c>
      <c r="C16">
        <v>21.2</v>
      </c>
      <c r="D16">
        <v>12.1</v>
      </c>
      <c r="E16">
        <v>9.5</v>
      </c>
      <c r="F16">
        <v>5.9</v>
      </c>
      <c r="G16">
        <v>3</v>
      </c>
      <c r="H16">
        <v>6.5</v>
      </c>
      <c r="I16">
        <v>10.4</v>
      </c>
      <c r="J16">
        <v>13.2</v>
      </c>
      <c r="K16">
        <v>1.2</v>
      </c>
      <c r="L16">
        <v>-4.0999999999999996</v>
      </c>
      <c r="M16">
        <v>22.8</v>
      </c>
    </row>
    <row r="17" spans="1:13" x14ac:dyDescent="0.2">
      <c r="A17" t="s">
        <v>406</v>
      </c>
      <c r="B17" t="s">
        <v>394</v>
      </c>
      <c r="C17">
        <v>19.23</v>
      </c>
      <c r="D17">
        <v>11.78</v>
      </c>
      <c r="E17">
        <v>8.66</v>
      </c>
      <c r="F17">
        <v>5.12</v>
      </c>
      <c r="G17">
        <v>0.03</v>
      </c>
      <c r="H17">
        <v>6.3</v>
      </c>
      <c r="I17">
        <v>8.49</v>
      </c>
      <c r="J17">
        <v>14.83</v>
      </c>
      <c r="K17">
        <v>-1.85</v>
      </c>
      <c r="L17">
        <v>-3.82</v>
      </c>
      <c r="M17">
        <v>34.28</v>
      </c>
    </row>
    <row r="18" spans="1:13" x14ac:dyDescent="0.2">
      <c r="A18" t="s">
        <v>407</v>
      </c>
      <c r="B18" t="s">
        <v>394</v>
      </c>
      <c r="C18">
        <v>24.66</v>
      </c>
      <c r="D18">
        <v>10.53</v>
      </c>
      <c r="E18">
        <v>14.39</v>
      </c>
      <c r="F18">
        <v>0.71</v>
      </c>
      <c r="G18">
        <v>-8.65</v>
      </c>
      <c r="H18">
        <v>6.07</v>
      </c>
      <c r="I18">
        <v>14.52</v>
      </c>
      <c r="J18">
        <v>18.46</v>
      </c>
      <c r="K18">
        <v>-6.21</v>
      </c>
      <c r="L18">
        <v>-8.93</v>
      </c>
      <c r="M18">
        <v>54.76</v>
      </c>
    </row>
    <row r="19" spans="1:13" x14ac:dyDescent="0.2">
      <c r="A19" t="s">
        <v>408</v>
      </c>
      <c r="B19" t="s">
        <v>394</v>
      </c>
      <c r="C19">
        <v>18.41</v>
      </c>
      <c r="D19">
        <v>10</v>
      </c>
      <c r="E19">
        <v>21.61</v>
      </c>
      <c r="F19">
        <v>7.04</v>
      </c>
      <c r="G19">
        <v>-1.69</v>
      </c>
      <c r="H19">
        <v>-0.2</v>
      </c>
      <c r="I19">
        <v>8.3000000000000007</v>
      </c>
      <c r="J19">
        <v>15.73</v>
      </c>
      <c r="K19">
        <v>-3.12</v>
      </c>
      <c r="L19">
        <v>-1.31</v>
      </c>
      <c r="M19">
        <v>50.01</v>
      </c>
    </row>
    <row r="20" spans="1:13" x14ac:dyDescent="0.2">
      <c r="A20" t="s">
        <v>409</v>
      </c>
      <c r="B20" t="s">
        <v>394</v>
      </c>
      <c r="C20">
        <v>19.2</v>
      </c>
      <c r="D20">
        <v>-1.2</v>
      </c>
      <c r="E20">
        <v>5.7</v>
      </c>
      <c r="F20">
        <v>15.4</v>
      </c>
      <c r="G20">
        <v>-7.3</v>
      </c>
      <c r="H20">
        <v>10.9</v>
      </c>
      <c r="I20">
        <v>0.2</v>
      </c>
      <c r="J20">
        <v>8.5</v>
      </c>
      <c r="K20">
        <v>1.3</v>
      </c>
      <c r="L20">
        <v>-0.8</v>
      </c>
      <c r="M20">
        <v>28.4</v>
      </c>
    </row>
    <row r="21" spans="1:13" x14ac:dyDescent="0.2">
      <c r="A21" t="s">
        <v>410</v>
      </c>
      <c r="B21" t="s">
        <v>394</v>
      </c>
      <c r="C21">
        <v>24.42</v>
      </c>
      <c r="D21">
        <v>12.73</v>
      </c>
      <c r="E21">
        <v>17.21</v>
      </c>
      <c r="F21">
        <v>8.82</v>
      </c>
      <c r="G21">
        <v>-8.1199999999999992</v>
      </c>
      <c r="H21">
        <v>12.54</v>
      </c>
      <c r="I21">
        <v>1.6</v>
      </c>
      <c r="J21">
        <v>21.67</v>
      </c>
      <c r="K21">
        <v>-3.25</v>
      </c>
      <c r="L21">
        <v>-14.02</v>
      </c>
      <c r="M21">
        <v>37.72</v>
      </c>
    </row>
    <row r="22" spans="1:13" x14ac:dyDescent="0.2">
      <c r="A22" t="s">
        <v>411</v>
      </c>
      <c r="B22" t="s">
        <v>394</v>
      </c>
      <c r="C22">
        <v>13.4</v>
      </c>
      <c r="D22">
        <v>13.8</v>
      </c>
      <c r="E22">
        <v>24.6</v>
      </c>
      <c r="F22">
        <v>12.1</v>
      </c>
      <c r="G22">
        <v>11.5</v>
      </c>
      <c r="H22">
        <v>10.8</v>
      </c>
      <c r="I22">
        <v>10.3</v>
      </c>
      <c r="J22">
        <v>10.3</v>
      </c>
      <c r="K22">
        <v>8.5</v>
      </c>
      <c r="L22">
        <v>3.4</v>
      </c>
      <c r="M22">
        <v>13</v>
      </c>
    </row>
    <row r="23" spans="1:13" x14ac:dyDescent="0.2">
      <c r="A23" t="s">
        <v>412</v>
      </c>
      <c r="B23" t="s">
        <v>394</v>
      </c>
      <c r="C23">
        <v>12.9</v>
      </c>
      <c r="D23">
        <v>17.399999999999999</v>
      </c>
      <c r="E23">
        <v>11.4</v>
      </c>
      <c r="F23">
        <v>11.9</v>
      </c>
      <c r="G23">
        <v>27.4</v>
      </c>
      <c r="H23">
        <v>13.1</v>
      </c>
      <c r="I23">
        <v>-25.1</v>
      </c>
      <c r="J23">
        <v>-8.9</v>
      </c>
      <c r="K23">
        <v>2.9</v>
      </c>
      <c r="L23">
        <v>25.7</v>
      </c>
      <c r="M23">
        <v>1.3</v>
      </c>
    </row>
    <row r="24" spans="1:13" x14ac:dyDescent="0.2">
      <c r="A24" t="s">
        <v>413</v>
      </c>
      <c r="B24" t="s">
        <v>394</v>
      </c>
      <c r="C24">
        <v>20.53</v>
      </c>
      <c r="D24">
        <v>13.97</v>
      </c>
      <c r="E24">
        <v>21.45</v>
      </c>
      <c r="F24">
        <v>13.87</v>
      </c>
      <c r="G24">
        <v>11.41</v>
      </c>
      <c r="H24">
        <v>15.78</v>
      </c>
      <c r="I24">
        <v>-2.5499999999999998</v>
      </c>
      <c r="J24">
        <v>11.04</v>
      </c>
      <c r="K24">
        <v>-2.59</v>
      </c>
      <c r="L24">
        <v>4.79</v>
      </c>
      <c r="M24">
        <v>62.73</v>
      </c>
    </row>
    <row r="25" spans="1:13" x14ac:dyDescent="0.2">
      <c r="A25" t="s">
        <v>414</v>
      </c>
      <c r="B25" t="s">
        <v>394</v>
      </c>
      <c r="C25">
        <v>11.1</v>
      </c>
      <c r="D25">
        <v>17.5</v>
      </c>
      <c r="E25">
        <v>21</v>
      </c>
      <c r="F25">
        <v>12.6</v>
      </c>
      <c r="G25">
        <v>9.4</v>
      </c>
      <c r="H25">
        <v>8.9</v>
      </c>
      <c r="I25">
        <v>10.1</v>
      </c>
      <c r="J25">
        <v>6.7</v>
      </c>
      <c r="K25">
        <v>-26.8</v>
      </c>
      <c r="L25">
        <v>-1.7</v>
      </c>
      <c r="M25">
        <v>12.3</v>
      </c>
    </row>
    <row r="26" spans="1:13" x14ac:dyDescent="0.2">
      <c r="A26" t="s">
        <v>415</v>
      </c>
      <c r="B26" t="s">
        <v>394</v>
      </c>
      <c r="C26">
        <v>13.1</v>
      </c>
      <c r="D26">
        <v>13.7</v>
      </c>
      <c r="E26">
        <v>20.8</v>
      </c>
      <c r="F26">
        <v>12.4</v>
      </c>
      <c r="G26">
        <v>4.8</v>
      </c>
      <c r="H26">
        <v>9.5</v>
      </c>
      <c r="I26">
        <v>9.5</v>
      </c>
      <c r="J26">
        <v>12</v>
      </c>
      <c r="K26">
        <v>4.3</v>
      </c>
      <c r="L26">
        <v>-3.9</v>
      </c>
      <c r="M26">
        <v>16.3</v>
      </c>
    </row>
    <row r="27" spans="1:13" x14ac:dyDescent="0.2">
      <c r="A27" t="s">
        <v>416</v>
      </c>
      <c r="B27" t="s">
        <v>394</v>
      </c>
      <c r="C27">
        <v>14.8</v>
      </c>
      <c r="D27">
        <v>14.9</v>
      </c>
      <c r="E27">
        <v>23.7</v>
      </c>
      <c r="F27">
        <v>9.5</v>
      </c>
      <c r="G27">
        <v>7.9</v>
      </c>
      <c r="H27">
        <v>6.8</v>
      </c>
      <c r="I27">
        <v>12.4</v>
      </c>
      <c r="J27">
        <v>9</v>
      </c>
      <c r="K27">
        <v>22.6</v>
      </c>
      <c r="L27">
        <v>26</v>
      </c>
      <c r="M27">
        <v>14.3</v>
      </c>
    </row>
    <row r="28" spans="1:13" x14ac:dyDescent="0.2">
      <c r="A28" t="s">
        <v>417</v>
      </c>
      <c r="B28" t="s">
        <v>394</v>
      </c>
      <c r="C28">
        <v>-3.56</v>
      </c>
      <c r="D28">
        <v>4.97</v>
      </c>
      <c r="E28">
        <v>10.93</v>
      </c>
      <c r="F28">
        <v>4.0199999999999996</v>
      </c>
      <c r="G28">
        <v>1.24</v>
      </c>
      <c r="H28">
        <v>12.92</v>
      </c>
      <c r="I28">
        <v>7.51</v>
      </c>
      <c r="J28">
        <v>4.7300000000000004</v>
      </c>
      <c r="K28">
        <v>2.19</v>
      </c>
      <c r="L28">
        <v>-9.26</v>
      </c>
      <c r="M28">
        <v>17.8</v>
      </c>
    </row>
    <row r="29" spans="1:13" x14ac:dyDescent="0.2">
      <c r="A29" t="s">
        <v>418</v>
      </c>
      <c r="B29" t="s">
        <v>394</v>
      </c>
      <c r="C29">
        <v>18</v>
      </c>
      <c r="D29">
        <v>9.1</v>
      </c>
      <c r="E29">
        <v>40.299999999999997</v>
      </c>
      <c r="F29">
        <v>31</v>
      </c>
      <c r="G29">
        <v>5.4</v>
      </c>
      <c r="H29">
        <v>16.899999999999999</v>
      </c>
      <c r="I29">
        <v>-5.5</v>
      </c>
      <c r="J29">
        <v>12.1</v>
      </c>
      <c r="K29">
        <v>7.7</v>
      </c>
      <c r="L29">
        <v>-7.9</v>
      </c>
      <c r="M29">
        <v>19.600000000000001</v>
      </c>
    </row>
    <row r="30" spans="1:13" x14ac:dyDescent="0.2">
      <c r="A30" t="s">
        <v>419</v>
      </c>
      <c r="B30" t="s">
        <v>394</v>
      </c>
      <c r="C30">
        <v>7.7</v>
      </c>
      <c r="D30">
        <v>26.7</v>
      </c>
      <c r="E30">
        <v>6.1</v>
      </c>
      <c r="F30">
        <v>43.8</v>
      </c>
      <c r="G30">
        <v>36.299999999999997</v>
      </c>
      <c r="H30">
        <v>11.2</v>
      </c>
      <c r="I30">
        <v>15.5</v>
      </c>
      <c r="J30">
        <v>17.399999999999999</v>
      </c>
      <c r="K30">
        <v>2.9</v>
      </c>
      <c r="L30">
        <v>2.2999999999999998</v>
      </c>
      <c r="M30">
        <v>21.4</v>
      </c>
    </row>
    <row r="31" spans="1:13" x14ac:dyDescent="0.2">
      <c r="A31" t="s">
        <v>420</v>
      </c>
      <c r="B31" t="s">
        <v>394</v>
      </c>
      <c r="C31">
        <v>10.14</v>
      </c>
      <c r="D31">
        <v>10.01</v>
      </c>
      <c r="E31">
        <v>22.51</v>
      </c>
      <c r="F31">
        <v>12.12</v>
      </c>
      <c r="G31">
        <v>-0.21</v>
      </c>
      <c r="H31">
        <v>5.65</v>
      </c>
      <c r="I31">
        <v>7.48</v>
      </c>
      <c r="J31">
        <v>18</v>
      </c>
      <c r="K31">
        <v>3.71</v>
      </c>
      <c r="L31">
        <v>-5.23</v>
      </c>
      <c r="M31">
        <v>24.99</v>
      </c>
    </row>
    <row r="32" spans="1:13" x14ac:dyDescent="0.2">
      <c r="A32" t="s">
        <v>421</v>
      </c>
      <c r="B32" t="s">
        <v>394</v>
      </c>
      <c r="C32">
        <v>12.6</v>
      </c>
      <c r="D32">
        <v>10.7</v>
      </c>
      <c r="E32">
        <v>45.3</v>
      </c>
      <c r="F32">
        <v>10.199999999999999</v>
      </c>
      <c r="G32">
        <v>10.4</v>
      </c>
      <c r="H32">
        <v>3.3</v>
      </c>
      <c r="I32">
        <v>2.8</v>
      </c>
      <c r="J32">
        <v>10.7</v>
      </c>
      <c r="K32">
        <v>-2.8</v>
      </c>
      <c r="L32">
        <v>-56.3</v>
      </c>
      <c r="M32">
        <v>40.6</v>
      </c>
    </row>
    <row r="33" spans="1:13" x14ac:dyDescent="0.2">
      <c r="A33" t="s">
        <v>422</v>
      </c>
      <c r="B33" t="s">
        <v>394</v>
      </c>
      <c r="C33">
        <v>12.6</v>
      </c>
      <c r="D33">
        <v>8.4</v>
      </c>
      <c r="E33">
        <v>31.9</v>
      </c>
      <c r="F33">
        <v>9.3000000000000007</v>
      </c>
      <c r="G33">
        <v>6.4</v>
      </c>
      <c r="H33">
        <v>12.5</v>
      </c>
      <c r="I33">
        <v>-1.2</v>
      </c>
      <c r="J33">
        <v>2.6</v>
      </c>
      <c r="K33">
        <v>5.3</v>
      </c>
      <c r="L33">
        <v>4.9000000000000004</v>
      </c>
      <c r="M33">
        <v>12</v>
      </c>
    </row>
    <row r="34" spans="1:13" x14ac:dyDescent="0.2">
      <c r="A34" t="s">
        <v>423</v>
      </c>
      <c r="B34" t="s">
        <v>394</v>
      </c>
      <c r="C34">
        <v>4.8</v>
      </c>
      <c r="D34">
        <v>4.7</v>
      </c>
      <c r="E34">
        <v>17.100000000000001</v>
      </c>
      <c r="F34">
        <v>7</v>
      </c>
      <c r="G34">
        <v>6.5</v>
      </c>
      <c r="H34">
        <v>5.0999999999999996</v>
      </c>
      <c r="I34">
        <v>3.1</v>
      </c>
      <c r="J34">
        <v>5.6</v>
      </c>
      <c r="K34">
        <v>-3.1</v>
      </c>
      <c r="L34">
        <v>-15.9</v>
      </c>
      <c r="M34">
        <v>17.5</v>
      </c>
    </row>
    <row r="35" spans="1:13" x14ac:dyDescent="0.2">
      <c r="A35" t="s">
        <v>424</v>
      </c>
      <c r="B35" t="s">
        <v>394</v>
      </c>
      <c r="C35">
        <v>13.9</v>
      </c>
      <c r="D35">
        <v>18.600000000000001</v>
      </c>
      <c r="E35">
        <v>-66.099999999999994</v>
      </c>
      <c r="F35">
        <v>-16</v>
      </c>
      <c r="G35">
        <v>15.7</v>
      </c>
      <c r="H35">
        <v>14</v>
      </c>
      <c r="I35">
        <v>18.2</v>
      </c>
      <c r="J35">
        <v>10.3</v>
      </c>
      <c r="K35">
        <v>7.1</v>
      </c>
      <c r="L35">
        <v>-0.7</v>
      </c>
      <c r="M35">
        <v>16</v>
      </c>
    </row>
    <row r="36" spans="1:13" x14ac:dyDescent="0.2">
      <c r="A36" t="s">
        <v>425</v>
      </c>
      <c r="B36" t="s">
        <v>394</v>
      </c>
      <c r="C36">
        <v>13.4</v>
      </c>
      <c r="D36">
        <v>2.63</v>
      </c>
      <c r="E36">
        <v>8.19</v>
      </c>
      <c r="F36">
        <v>2.96</v>
      </c>
      <c r="G36">
        <v>23.62</v>
      </c>
      <c r="H36">
        <v>0.53</v>
      </c>
      <c r="I36">
        <v>12.83</v>
      </c>
      <c r="J36">
        <v>26.03</v>
      </c>
      <c r="K36">
        <v>-3.78</v>
      </c>
      <c r="L36">
        <v>-9.82</v>
      </c>
      <c r="M36">
        <v>24.13</v>
      </c>
    </row>
    <row r="37" spans="1:13" x14ac:dyDescent="0.2">
      <c r="A37" t="s">
        <v>426</v>
      </c>
      <c r="B37" t="s">
        <v>394</v>
      </c>
      <c r="C37">
        <v>16.11</v>
      </c>
      <c r="D37">
        <v>15.49</v>
      </c>
      <c r="E37">
        <v>17.8</v>
      </c>
      <c r="F37">
        <v>9.7799999999999994</v>
      </c>
      <c r="G37">
        <v>15.31</v>
      </c>
      <c r="H37">
        <v>7.8</v>
      </c>
      <c r="I37">
        <v>14.25</v>
      </c>
      <c r="J37">
        <v>18.11</v>
      </c>
      <c r="K37">
        <v>3.91</v>
      </c>
      <c r="L37">
        <v>-8.56</v>
      </c>
      <c r="M37">
        <v>4.04</v>
      </c>
    </row>
    <row r="38" spans="1:13" x14ac:dyDescent="0.2">
      <c r="A38" t="s">
        <v>427</v>
      </c>
      <c r="B38" t="s">
        <v>394</v>
      </c>
      <c r="C38">
        <v>92.4</v>
      </c>
      <c r="D38">
        <v>-40.4</v>
      </c>
      <c r="E38">
        <v>-40.700000000000003</v>
      </c>
      <c r="F38">
        <v>75.8</v>
      </c>
      <c r="G38">
        <v>495.2</v>
      </c>
      <c r="H38">
        <v>0.6</v>
      </c>
      <c r="I38">
        <v>17.600000000000001</v>
      </c>
      <c r="J38">
        <v>105</v>
      </c>
      <c r="K38">
        <v>-50.1</v>
      </c>
      <c r="L38">
        <v>-62.6</v>
      </c>
      <c r="M38">
        <v>-72.400000000000006</v>
      </c>
    </row>
    <row r="39" spans="1:13" x14ac:dyDescent="0.2">
      <c r="A39" t="s">
        <v>428</v>
      </c>
      <c r="B39" t="s">
        <v>394</v>
      </c>
      <c r="C39">
        <v>44.5</v>
      </c>
      <c r="D39">
        <v>17.100000000000001</v>
      </c>
      <c r="E39">
        <v>17.5</v>
      </c>
      <c r="F39">
        <v>6.8</v>
      </c>
      <c r="G39">
        <v>11.3</v>
      </c>
      <c r="H39">
        <v>2.8</v>
      </c>
      <c r="I39">
        <v>8.8000000000000007</v>
      </c>
      <c r="J39">
        <v>11.5</v>
      </c>
      <c r="K39">
        <v>11.5</v>
      </c>
      <c r="L39">
        <v>-4.4000000000000004</v>
      </c>
      <c r="M39">
        <v>-3.1</v>
      </c>
    </row>
    <row r="40" spans="1:13" x14ac:dyDescent="0.2">
      <c r="A40" t="s">
        <v>429</v>
      </c>
      <c r="B40" t="s">
        <v>394</v>
      </c>
      <c r="C40">
        <v>6.4</v>
      </c>
      <c r="D40">
        <v>11</v>
      </c>
      <c r="E40">
        <v>18.2</v>
      </c>
      <c r="F40">
        <v>9.5</v>
      </c>
      <c r="G40">
        <v>12</v>
      </c>
      <c r="H40">
        <v>0.5</v>
      </c>
      <c r="I40">
        <v>58.1</v>
      </c>
      <c r="J40">
        <v>14</v>
      </c>
      <c r="K40">
        <v>-12.8</v>
      </c>
      <c r="L40">
        <v>-15</v>
      </c>
      <c r="M40">
        <v>32.4</v>
      </c>
    </row>
    <row r="41" spans="1:13" x14ac:dyDescent="0.2">
      <c r="A41" t="s">
        <v>430</v>
      </c>
      <c r="B41" t="s">
        <v>394</v>
      </c>
      <c r="C41">
        <v>45.3</v>
      </c>
      <c r="D41">
        <v>17.2</v>
      </c>
      <c r="E41">
        <v>17.5</v>
      </c>
      <c r="F41">
        <v>6.7</v>
      </c>
      <c r="G41">
        <v>11</v>
      </c>
      <c r="H41">
        <v>2.9</v>
      </c>
      <c r="I41">
        <v>7.9</v>
      </c>
      <c r="J41">
        <v>11.4</v>
      </c>
      <c r="K41">
        <v>12.2</v>
      </c>
      <c r="L41">
        <v>-4.2</v>
      </c>
      <c r="M41">
        <v>-3.6</v>
      </c>
    </row>
    <row r="42" spans="1:13" x14ac:dyDescent="0.2">
      <c r="A42" t="s">
        <v>431</v>
      </c>
      <c r="B42" t="s">
        <v>394</v>
      </c>
      <c r="C42">
        <v>39.6</v>
      </c>
      <c r="D42">
        <v>21.3</v>
      </c>
      <c r="E42">
        <v>14.4</v>
      </c>
      <c r="F42">
        <v>11.1</v>
      </c>
      <c r="G42">
        <v>10.1</v>
      </c>
      <c r="H42">
        <v>4</v>
      </c>
      <c r="I42">
        <v>5.2</v>
      </c>
      <c r="J42">
        <v>10.1</v>
      </c>
      <c r="K42">
        <v>10.7</v>
      </c>
      <c r="L42">
        <v>0.7</v>
      </c>
      <c r="M42">
        <v>-4.3</v>
      </c>
    </row>
    <row r="43" spans="1:13" x14ac:dyDescent="0.2">
      <c r="A43" t="s">
        <v>432</v>
      </c>
      <c r="B43" t="s">
        <v>394</v>
      </c>
      <c r="C43">
        <v>32.6</v>
      </c>
      <c r="D43">
        <v>7.9</v>
      </c>
      <c r="E43">
        <v>16.100000000000001</v>
      </c>
      <c r="F43">
        <v>53</v>
      </c>
      <c r="G43">
        <v>23.8</v>
      </c>
      <c r="H43">
        <v>24.2</v>
      </c>
      <c r="I43">
        <v>-43.6</v>
      </c>
      <c r="J43">
        <v>91.1</v>
      </c>
      <c r="K43">
        <v>-20.6</v>
      </c>
      <c r="L43">
        <v>-40.200000000000003</v>
      </c>
      <c r="M43">
        <v>-6.1</v>
      </c>
    </row>
    <row r="44" spans="1:13" x14ac:dyDescent="0.2">
      <c r="A44" t="s">
        <v>433</v>
      </c>
      <c r="B44" t="s">
        <v>394</v>
      </c>
      <c r="C44">
        <v>24</v>
      </c>
      <c r="D44">
        <v>24.9</v>
      </c>
      <c r="E44">
        <v>18.399999999999999</v>
      </c>
      <c r="F44">
        <v>12.7</v>
      </c>
      <c r="G44">
        <v>73.3</v>
      </c>
      <c r="H44">
        <v>13.6</v>
      </c>
      <c r="I44">
        <v>66.2</v>
      </c>
      <c r="J44">
        <v>-1</v>
      </c>
      <c r="K44">
        <v>8</v>
      </c>
      <c r="L44">
        <v>-2.8</v>
      </c>
      <c r="M44">
        <v>-33.700000000000003</v>
      </c>
    </row>
    <row r="45" spans="1:13" x14ac:dyDescent="0.2">
      <c r="A45" t="s">
        <v>434</v>
      </c>
      <c r="B45" t="s">
        <v>394</v>
      </c>
      <c r="C45">
        <v>14.4</v>
      </c>
      <c r="D45">
        <v>17.8</v>
      </c>
      <c r="E45">
        <v>13.9</v>
      </c>
      <c r="F45">
        <v>10.7</v>
      </c>
      <c r="G45">
        <v>26.3</v>
      </c>
      <c r="H45">
        <v>8.8000000000000007</v>
      </c>
      <c r="I45">
        <v>33.200000000000003</v>
      </c>
      <c r="J45">
        <v>4.4000000000000004</v>
      </c>
      <c r="K45">
        <v>14</v>
      </c>
      <c r="L45">
        <v>-1.5</v>
      </c>
      <c r="M45">
        <v>-13.7</v>
      </c>
    </row>
    <row r="46" spans="1:13" x14ac:dyDescent="0.2">
      <c r="A46" t="s">
        <v>435</v>
      </c>
      <c r="B46" t="s">
        <v>394</v>
      </c>
      <c r="C46">
        <v>11.5</v>
      </c>
      <c r="D46">
        <v>13.6</v>
      </c>
      <c r="E46">
        <v>11.6</v>
      </c>
      <c r="F46">
        <v>9.5</v>
      </c>
      <c r="G46">
        <v>11.8</v>
      </c>
      <c r="H46">
        <v>8.3000000000000007</v>
      </c>
      <c r="I46">
        <v>8.3000000000000007</v>
      </c>
      <c r="J46">
        <v>8</v>
      </c>
      <c r="K46">
        <v>21.5</v>
      </c>
      <c r="L46">
        <v>2.4</v>
      </c>
      <c r="M46">
        <v>6.8</v>
      </c>
    </row>
    <row r="47" spans="1:13" x14ac:dyDescent="0.2">
      <c r="A47" t="s">
        <v>436</v>
      </c>
      <c r="B47" t="s">
        <v>394</v>
      </c>
      <c r="C47">
        <v>36.4</v>
      </c>
      <c r="D47">
        <v>8</v>
      </c>
      <c r="E47">
        <v>0.5</v>
      </c>
      <c r="F47">
        <v>-18.600000000000001</v>
      </c>
      <c r="G47">
        <v>-52.2</v>
      </c>
      <c r="H47">
        <v>9.1999999999999993</v>
      </c>
      <c r="I47">
        <v>-24.9</v>
      </c>
      <c r="J47">
        <v>28</v>
      </c>
      <c r="K47">
        <v>7.2</v>
      </c>
      <c r="L47">
        <v>20.3</v>
      </c>
      <c r="M47">
        <v>-22.3</v>
      </c>
    </row>
    <row r="48" spans="1:13" x14ac:dyDescent="0.2">
      <c r="A48" t="s">
        <v>437</v>
      </c>
      <c r="B48" t="s">
        <v>394</v>
      </c>
      <c r="C48">
        <v>11</v>
      </c>
      <c r="D48">
        <v>36.6</v>
      </c>
      <c r="E48">
        <v>22</v>
      </c>
      <c r="F48">
        <v>17.3</v>
      </c>
      <c r="G48">
        <v>15.7</v>
      </c>
      <c r="H48">
        <v>-5.8</v>
      </c>
      <c r="I48">
        <v>78.5</v>
      </c>
      <c r="J48">
        <v>9.8000000000000007</v>
      </c>
      <c r="K48">
        <v>3.8</v>
      </c>
      <c r="L48">
        <v>-19</v>
      </c>
      <c r="M48">
        <v>-6.1</v>
      </c>
    </row>
    <row r="49" spans="1:13" x14ac:dyDescent="0.2">
      <c r="A49" t="s">
        <v>438</v>
      </c>
      <c r="B49" t="s">
        <v>394</v>
      </c>
      <c r="C49">
        <v>89.5</v>
      </c>
      <c r="D49">
        <v>-23</v>
      </c>
      <c r="E49">
        <v>-21.1</v>
      </c>
      <c r="F49">
        <v>32.6</v>
      </c>
      <c r="G49">
        <v>99</v>
      </c>
      <c r="H49">
        <v>27.5</v>
      </c>
      <c r="I49">
        <v>41.6</v>
      </c>
      <c r="J49">
        <v>-17.399999999999999</v>
      </c>
      <c r="K49">
        <v>61.3</v>
      </c>
      <c r="L49">
        <v>-48.1</v>
      </c>
      <c r="M49">
        <v>-24.5</v>
      </c>
    </row>
    <row r="50" spans="1:13" x14ac:dyDescent="0.2">
      <c r="A50" t="s">
        <v>439</v>
      </c>
      <c r="B50" t="s">
        <v>394</v>
      </c>
      <c r="C50">
        <v>-11.1</v>
      </c>
      <c r="D50">
        <v>10</v>
      </c>
      <c r="E50">
        <v>3.6</v>
      </c>
      <c r="F50">
        <v>5.8</v>
      </c>
      <c r="G50">
        <v>-9.6</v>
      </c>
      <c r="H50">
        <v>14.7</v>
      </c>
      <c r="I50">
        <v>-25.3</v>
      </c>
      <c r="J50">
        <v>31.7</v>
      </c>
      <c r="K50">
        <v>-31.3</v>
      </c>
      <c r="L50">
        <v>85.3</v>
      </c>
      <c r="M50">
        <v>47</v>
      </c>
    </row>
    <row r="51" spans="1:13" x14ac:dyDescent="0.2">
      <c r="A51" t="s">
        <v>440</v>
      </c>
      <c r="B51" t="s">
        <v>394</v>
      </c>
      <c r="C51">
        <v>2.1</v>
      </c>
      <c r="D51">
        <v>6.6</v>
      </c>
      <c r="E51">
        <v>3.4</v>
      </c>
      <c r="F51">
        <v>13.7</v>
      </c>
      <c r="G51">
        <v>-7.4</v>
      </c>
      <c r="H51">
        <v>17.8</v>
      </c>
      <c r="I51">
        <v>4.7</v>
      </c>
      <c r="J51">
        <v>20.5</v>
      </c>
      <c r="K51">
        <v>-16.399999999999999</v>
      </c>
      <c r="L51">
        <v>22</v>
      </c>
      <c r="M51">
        <v>29.4</v>
      </c>
    </row>
    <row r="52" spans="1:13" x14ac:dyDescent="0.2">
      <c r="A52" t="s">
        <v>441</v>
      </c>
      <c r="B52" t="s">
        <v>394</v>
      </c>
      <c r="C52">
        <v>-17</v>
      </c>
      <c r="D52">
        <v>12</v>
      </c>
      <c r="E52">
        <v>3.8</v>
      </c>
      <c r="F52">
        <v>1.2</v>
      </c>
      <c r="G52">
        <v>-11.2</v>
      </c>
      <c r="H52">
        <v>13.4</v>
      </c>
      <c r="I52">
        <v>-46.2</v>
      </c>
      <c r="J52">
        <v>46.1</v>
      </c>
      <c r="K52">
        <v>-44.4</v>
      </c>
      <c r="L52">
        <v>149.69999999999999</v>
      </c>
      <c r="M52">
        <v>51.3</v>
      </c>
    </row>
    <row r="53" spans="1:13" x14ac:dyDescent="0.2">
      <c r="A53" t="s">
        <v>442</v>
      </c>
      <c r="B53" t="s">
        <v>394</v>
      </c>
      <c r="C53">
        <v>-5.4</v>
      </c>
      <c r="D53">
        <v>0.6</v>
      </c>
      <c r="E53">
        <v>-2.4</v>
      </c>
      <c r="F53">
        <v>-0.3</v>
      </c>
      <c r="G53">
        <v>-6.2</v>
      </c>
      <c r="H53">
        <v>27.8</v>
      </c>
      <c r="I53">
        <v>-43.9</v>
      </c>
      <c r="J53">
        <v>9.1999999999999993</v>
      </c>
      <c r="K53">
        <v>-6</v>
      </c>
      <c r="L53">
        <v>72</v>
      </c>
      <c r="M53">
        <v>58.8</v>
      </c>
    </row>
    <row r="54" spans="1:13" x14ac:dyDescent="0.2">
      <c r="A54" t="s">
        <v>443</v>
      </c>
      <c r="B54" t="s">
        <v>394</v>
      </c>
      <c r="C54">
        <v>15.8</v>
      </c>
      <c r="D54">
        <v>14</v>
      </c>
      <c r="E54">
        <v>12.1</v>
      </c>
      <c r="F54">
        <v>9.4</v>
      </c>
      <c r="G54">
        <v>10.5</v>
      </c>
      <c r="H54">
        <v>8.8000000000000007</v>
      </c>
      <c r="I54">
        <v>10.9</v>
      </c>
      <c r="J54">
        <v>9.8000000000000007</v>
      </c>
      <c r="K54">
        <v>8.8000000000000007</v>
      </c>
      <c r="L54">
        <v>10</v>
      </c>
      <c r="M54">
        <v>10.4</v>
      </c>
    </row>
    <row r="55" spans="1:13" x14ac:dyDescent="0.2">
      <c r="A55" t="s">
        <v>444</v>
      </c>
      <c r="B55" t="s">
        <v>394</v>
      </c>
      <c r="C55">
        <v>13.9</v>
      </c>
      <c r="D55">
        <v>13.4</v>
      </c>
      <c r="E55">
        <v>12.8</v>
      </c>
      <c r="F55">
        <v>12.9</v>
      </c>
      <c r="G55">
        <v>2.2999999999999998</v>
      </c>
      <c r="H55">
        <v>9.5</v>
      </c>
      <c r="I55">
        <v>10.1</v>
      </c>
      <c r="J55">
        <v>9.4</v>
      </c>
      <c r="K55">
        <v>13.3</v>
      </c>
      <c r="L55">
        <v>7.1</v>
      </c>
      <c r="M55">
        <v>5.9</v>
      </c>
    </row>
    <row r="56" spans="1:13" x14ac:dyDescent="0.2">
      <c r="A56" t="s">
        <v>445</v>
      </c>
      <c r="B56" t="s">
        <v>394</v>
      </c>
      <c r="C56">
        <v>13.7</v>
      </c>
      <c r="D56">
        <v>12.4</v>
      </c>
      <c r="E56">
        <v>11.8</v>
      </c>
      <c r="F56">
        <v>13.2</v>
      </c>
      <c r="G56">
        <v>19.100000000000001</v>
      </c>
      <c r="H56">
        <v>10.199999999999999</v>
      </c>
      <c r="I56">
        <v>7.2</v>
      </c>
      <c r="J56">
        <v>5.7</v>
      </c>
      <c r="K56">
        <v>10.9</v>
      </c>
      <c r="L56">
        <v>2.8</v>
      </c>
      <c r="M56">
        <v>2.4</v>
      </c>
    </row>
    <row r="57" spans="1:13" x14ac:dyDescent="0.2">
      <c r="A57" t="s">
        <v>446</v>
      </c>
      <c r="B57" t="s">
        <v>394</v>
      </c>
      <c r="C57">
        <v>14.7</v>
      </c>
      <c r="D57">
        <v>14.6</v>
      </c>
      <c r="E57">
        <v>11.2</v>
      </c>
      <c r="F57">
        <v>7.4</v>
      </c>
      <c r="G57">
        <v>14.3</v>
      </c>
      <c r="H57">
        <v>12.9</v>
      </c>
      <c r="I57">
        <v>16</v>
      </c>
      <c r="J57">
        <v>7.1</v>
      </c>
      <c r="K57">
        <v>7.8</v>
      </c>
      <c r="L57">
        <v>18.8</v>
      </c>
      <c r="M57">
        <v>9.1</v>
      </c>
    </row>
    <row r="58" spans="1:13" x14ac:dyDescent="0.2">
      <c r="A58" t="s">
        <v>447</v>
      </c>
      <c r="B58" t="s">
        <v>394</v>
      </c>
      <c r="C58">
        <v>13.7</v>
      </c>
      <c r="D58">
        <v>11.5</v>
      </c>
      <c r="E58">
        <v>10.3</v>
      </c>
      <c r="F58">
        <v>9.8000000000000007</v>
      </c>
      <c r="G58">
        <v>6.2</v>
      </c>
      <c r="H58">
        <v>8.6</v>
      </c>
      <c r="I58">
        <v>6.4</v>
      </c>
      <c r="J58">
        <v>10.8</v>
      </c>
      <c r="K58">
        <v>10.7</v>
      </c>
      <c r="L58">
        <v>8</v>
      </c>
      <c r="M58">
        <v>15</v>
      </c>
    </row>
    <row r="59" spans="1:13" x14ac:dyDescent="0.2">
      <c r="A59" t="s">
        <v>448</v>
      </c>
      <c r="B59" t="s">
        <v>394</v>
      </c>
      <c r="C59">
        <v>15.8</v>
      </c>
      <c r="D59">
        <v>14</v>
      </c>
      <c r="E59">
        <v>12.1</v>
      </c>
      <c r="F59">
        <v>9.4</v>
      </c>
      <c r="G59">
        <v>10.5</v>
      </c>
      <c r="H59">
        <v>8.8000000000000007</v>
      </c>
      <c r="I59">
        <v>10.9</v>
      </c>
      <c r="J59">
        <v>9.8000000000000007</v>
      </c>
      <c r="K59">
        <v>8.8000000000000007</v>
      </c>
      <c r="L59">
        <v>10</v>
      </c>
      <c r="M59">
        <v>10.4</v>
      </c>
    </row>
    <row r="60" spans="1:13" x14ac:dyDescent="0.2">
      <c r="A60" t="s">
        <v>449</v>
      </c>
      <c r="B60" t="s">
        <v>394</v>
      </c>
      <c r="C60">
        <v>12.8</v>
      </c>
      <c r="D60">
        <v>9.4</v>
      </c>
      <c r="E60">
        <v>9.4</v>
      </c>
      <c r="F60">
        <v>8.5</v>
      </c>
      <c r="G60">
        <v>11.8</v>
      </c>
      <c r="H60">
        <v>10.199999999999999</v>
      </c>
      <c r="I60">
        <v>7.1</v>
      </c>
      <c r="J60">
        <v>8.4</v>
      </c>
      <c r="K60">
        <v>6</v>
      </c>
      <c r="L60">
        <v>11.3</v>
      </c>
      <c r="M60">
        <v>12.6</v>
      </c>
    </row>
    <row r="61" spans="1:13" x14ac:dyDescent="0.2">
      <c r="A61" t="s">
        <v>450</v>
      </c>
      <c r="B61" t="s">
        <v>394</v>
      </c>
      <c r="C61">
        <v>13.7</v>
      </c>
      <c r="D61">
        <v>14.3</v>
      </c>
      <c r="E61">
        <v>14.3</v>
      </c>
      <c r="F61">
        <v>10.3</v>
      </c>
      <c r="G61">
        <v>18.2</v>
      </c>
      <c r="H61">
        <v>13.1</v>
      </c>
      <c r="I61">
        <v>9.1999999999999993</v>
      </c>
      <c r="J61">
        <v>13.6</v>
      </c>
      <c r="K61">
        <v>13</v>
      </c>
      <c r="L61">
        <v>6.4</v>
      </c>
      <c r="M61">
        <v>8.9</v>
      </c>
    </row>
    <row r="62" spans="1:13" x14ac:dyDescent="0.2">
      <c r="A62" t="s">
        <v>451</v>
      </c>
      <c r="B62" t="s">
        <v>394</v>
      </c>
      <c r="C62">
        <v>13.4</v>
      </c>
      <c r="D62">
        <v>7.8</v>
      </c>
      <c r="E62">
        <v>8.6</v>
      </c>
      <c r="F62">
        <v>7.8</v>
      </c>
      <c r="G62">
        <v>10.6</v>
      </c>
      <c r="H62">
        <v>10</v>
      </c>
      <c r="I62">
        <v>7.2</v>
      </c>
      <c r="J62">
        <v>6.8</v>
      </c>
      <c r="K62">
        <v>2.1</v>
      </c>
      <c r="L62">
        <v>15.2</v>
      </c>
      <c r="M62">
        <v>14.2</v>
      </c>
    </row>
    <row r="63" spans="1:13" x14ac:dyDescent="0.2">
      <c r="A63" t="s">
        <v>452</v>
      </c>
      <c r="B63" t="s">
        <v>394</v>
      </c>
      <c r="C63">
        <v>12.8</v>
      </c>
      <c r="D63">
        <v>9.3000000000000007</v>
      </c>
      <c r="E63">
        <v>9.3000000000000007</v>
      </c>
      <c r="F63">
        <v>8.4</v>
      </c>
      <c r="G63">
        <v>11.3</v>
      </c>
      <c r="H63">
        <v>10.1</v>
      </c>
      <c r="I63">
        <v>7</v>
      </c>
      <c r="J63">
        <v>8.3000000000000007</v>
      </c>
      <c r="K63">
        <v>4.8</v>
      </c>
      <c r="L63">
        <v>11.7</v>
      </c>
      <c r="M63">
        <v>12.7</v>
      </c>
    </row>
    <row r="64" spans="1:13" x14ac:dyDescent="0.2">
      <c r="A64" t="s">
        <v>453</v>
      </c>
      <c r="B64" t="s">
        <v>394</v>
      </c>
      <c r="C64">
        <v>21.4</v>
      </c>
      <c r="D64">
        <v>17.7</v>
      </c>
      <c r="E64">
        <v>11.4</v>
      </c>
      <c r="F64">
        <v>11.9</v>
      </c>
      <c r="G64">
        <v>11.4</v>
      </c>
      <c r="H64">
        <v>5.2</v>
      </c>
      <c r="I64">
        <v>13.8</v>
      </c>
      <c r="J64">
        <v>10.7</v>
      </c>
      <c r="K64">
        <v>9.8000000000000007</v>
      </c>
      <c r="L64">
        <v>-0.9</v>
      </c>
      <c r="M64">
        <v>7.8</v>
      </c>
    </row>
    <row r="65" spans="1:13" x14ac:dyDescent="0.2">
      <c r="A65" t="s">
        <v>454</v>
      </c>
      <c r="B65" t="s">
        <v>394</v>
      </c>
      <c r="C65">
        <v>16.2</v>
      </c>
      <c r="D65">
        <v>13.6</v>
      </c>
      <c r="E65">
        <v>12.8</v>
      </c>
      <c r="F65">
        <v>5.9</v>
      </c>
      <c r="G65">
        <v>7.1</v>
      </c>
      <c r="H65">
        <v>-2.2000000000000002</v>
      </c>
      <c r="I65">
        <v>7.6</v>
      </c>
      <c r="J65">
        <v>12</v>
      </c>
      <c r="K65">
        <v>4.4000000000000004</v>
      </c>
      <c r="L65">
        <v>-4.3</v>
      </c>
      <c r="M65">
        <v>7.5</v>
      </c>
    </row>
    <row r="66" spans="1:13" x14ac:dyDescent="0.2">
      <c r="A66" t="s">
        <v>455</v>
      </c>
      <c r="B66" t="s">
        <v>394</v>
      </c>
      <c r="C66">
        <v>24.5</v>
      </c>
      <c r="D66">
        <v>25.5</v>
      </c>
      <c r="E66">
        <v>14</v>
      </c>
      <c r="F66">
        <v>19.3</v>
      </c>
      <c r="G66">
        <v>14.4</v>
      </c>
      <c r="H66">
        <v>19.3</v>
      </c>
      <c r="I66">
        <v>14.6</v>
      </c>
      <c r="J66">
        <v>5.6</v>
      </c>
      <c r="K66">
        <v>9.5</v>
      </c>
      <c r="L66">
        <v>9.1999999999999993</v>
      </c>
      <c r="M66">
        <v>8.5</v>
      </c>
    </row>
    <row r="67" spans="1:13" x14ac:dyDescent="0.2">
      <c r="A67" t="s">
        <v>456</v>
      </c>
      <c r="B67" t="s">
        <v>394</v>
      </c>
      <c r="C67">
        <v>35.6</v>
      </c>
      <c r="D67">
        <v>19.5</v>
      </c>
      <c r="E67">
        <v>12</v>
      </c>
      <c r="F67">
        <v>3.5</v>
      </c>
      <c r="G67">
        <v>4.2</v>
      </c>
      <c r="H67">
        <v>-4.5999999999999996</v>
      </c>
      <c r="I67">
        <v>7.3</v>
      </c>
      <c r="J67">
        <v>6.6</v>
      </c>
      <c r="K67">
        <v>3.1</v>
      </c>
      <c r="L67">
        <v>-14.1</v>
      </c>
      <c r="M67">
        <v>10.199999999999999</v>
      </c>
    </row>
    <row r="68" spans="1:13" x14ac:dyDescent="0.2">
      <c r="A68" t="s">
        <v>457</v>
      </c>
      <c r="B68" t="s">
        <v>394</v>
      </c>
      <c r="C68">
        <v>13.85</v>
      </c>
      <c r="D68">
        <v>12.21</v>
      </c>
      <c r="E68">
        <v>10.75</v>
      </c>
      <c r="F68">
        <v>7.74</v>
      </c>
      <c r="G68">
        <v>11.47</v>
      </c>
      <c r="H68">
        <v>9.33</v>
      </c>
      <c r="I68">
        <v>8.6</v>
      </c>
      <c r="J68">
        <v>11.94</v>
      </c>
      <c r="K68">
        <v>7.99</v>
      </c>
      <c r="L68">
        <v>4.46</v>
      </c>
      <c r="M68">
        <v>13.18</v>
      </c>
    </row>
    <row r="69" spans="1:13" x14ac:dyDescent="0.2">
      <c r="A69" t="s">
        <v>458</v>
      </c>
      <c r="B69" t="s">
        <v>391</v>
      </c>
    </row>
    <row r="70" spans="1:13" x14ac:dyDescent="0.2">
      <c r="A70" t="s">
        <v>459</v>
      </c>
      <c r="B70" t="s">
        <v>391</v>
      </c>
    </row>
    <row r="71" spans="1:13" x14ac:dyDescent="0.2">
      <c r="A71" t="s">
        <v>460</v>
      </c>
      <c r="B71" t="s">
        <v>391</v>
      </c>
    </row>
    <row r="72" spans="1:13" x14ac:dyDescent="0.2">
      <c r="A72" t="s">
        <v>461</v>
      </c>
      <c r="B72" t="s">
        <v>391</v>
      </c>
    </row>
    <row r="73" spans="1:13" x14ac:dyDescent="0.2">
      <c r="A73" t="s">
        <v>462</v>
      </c>
      <c r="B73" t="s">
        <v>18</v>
      </c>
      <c r="C73">
        <v>4.0999999999999996</v>
      </c>
      <c r="D73">
        <v>3.7</v>
      </c>
      <c r="E73">
        <v>3.5</v>
      </c>
      <c r="F73">
        <v>3.3</v>
      </c>
      <c r="G73">
        <v>2.8</v>
      </c>
      <c r="H73">
        <v>3.1</v>
      </c>
      <c r="I73">
        <v>1.6</v>
      </c>
      <c r="J73">
        <v>2.2999999999999998</v>
      </c>
      <c r="K73">
        <v>1.4</v>
      </c>
      <c r="L73">
        <v>4.9000000000000004</v>
      </c>
      <c r="M73">
        <v>9.9</v>
      </c>
    </row>
    <row r="74" spans="1:13" x14ac:dyDescent="0.2">
      <c r="A74" t="s">
        <v>463</v>
      </c>
      <c r="B74" t="s">
        <v>391</v>
      </c>
    </row>
    <row r="75" spans="1:13" x14ac:dyDescent="0.2">
      <c r="A75" t="s">
        <v>464</v>
      </c>
      <c r="B75" t="s">
        <v>18</v>
      </c>
      <c r="C75">
        <v>4.2</v>
      </c>
      <c r="D75">
        <v>3.5</v>
      </c>
      <c r="E75">
        <v>3.1</v>
      </c>
      <c r="F75">
        <v>2.9</v>
      </c>
      <c r="G75">
        <v>2.6</v>
      </c>
      <c r="H75">
        <v>3.2</v>
      </c>
      <c r="I75">
        <v>1.7</v>
      </c>
      <c r="J75">
        <v>1.9</v>
      </c>
      <c r="K75">
        <v>2</v>
      </c>
      <c r="L75">
        <v>4.3</v>
      </c>
      <c r="M75">
        <v>9.3000000000000007</v>
      </c>
    </row>
    <row r="76" spans="1:13" x14ac:dyDescent="0.2">
      <c r="A76" t="s">
        <v>465</v>
      </c>
      <c r="B76" t="s">
        <v>391</v>
      </c>
    </row>
    <row r="77" spans="1:13" x14ac:dyDescent="0.2">
      <c r="A77" t="s">
        <v>466</v>
      </c>
      <c r="B77" t="s">
        <v>18</v>
      </c>
      <c r="C77">
        <v>1.8</v>
      </c>
      <c r="D77">
        <v>1.5</v>
      </c>
      <c r="E77">
        <v>1.3</v>
      </c>
      <c r="F77">
        <v>1.2</v>
      </c>
      <c r="G77">
        <v>1</v>
      </c>
      <c r="H77">
        <v>1.2</v>
      </c>
      <c r="I77">
        <v>0.7</v>
      </c>
      <c r="J77">
        <v>0.7</v>
      </c>
      <c r="K77">
        <v>0.7</v>
      </c>
      <c r="L77">
        <v>1.4</v>
      </c>
      <c r="M77">
        <v>2.5</v>
      </c>
    </row>
    <row r="78" spans="1:13" x14ac:dyDescent="0.2">
      <c r="A78" t="s">
        <v>467</v>
      </c>
      <c r="B78" t="s">
        <v>18</v>
      </c>
      <c r="C78">
        <v>1.8</v>
      </c>
      <c r="D78">
        <v>1.6</v>
      </c>
      <c r="E78">
        <v>1.5</v>
      </c>
      <c r="F78">
        <v>1.4</v>
      </c>
      <c r="G78">
        <v>1.1000000000000001</v>
      </c>
      <c r="H78">
        <v>1.2</v>
      </c>
      <c r="I78">
        <v>0.6</v>
      </c>
      <c r="J78">
        <v>0.9</v>
      </c>
      <c r="K78">
        <v>0.5</v>
      </c>
      <c r="L78">
        <v>1.7</v>
      </c>
      <c r="M78">
        <v>2.7</v>
      </c>
    </row>
    <row r="79" spans="1:13" x14ac:dyDescent="0.2">
      <c r="A79" t="s">
        <v>468</v>
      </c>
      <c r="B79" t="s">
        <v>391</v>
      </c>
    </row>
    <row r="80" spans="1:13" x14ac:dyDescent="0.2">
      <c r="A80" t="s">
        <v>469</v>
      </c>
      <c r="B80" t="s">
        <v>18</v>
      </c>
      <c r="C80">
        <v>8</v>
      </c>
      <c r="D80">
        <v>6.8</v>
      </c>
      <c r="E80">
        <v>6.1</v>
      </c>
      <c r="F80">
        <v>5.7</v>
      </c>
      <c r="G80">
        <v>4.8</v>
      </c>
      <c r="H80">
        <v>5.6</v>
      </c>
      <c r="I80">
        <v>3</v>
      </c>
      <c r="J80">
        <v>3.4</v>
      </c>
      <c r="K80">
        <v>3.4</v>
      </c>
      <c r="L80">
        <v>6.8</v>
      </c>
      <c r="M80">
        <v>13.1</v>
      </c>
    </row>
    <row r="81" spans="1:13" x14ac:dyDescent="0.2">
      <c r="A81" t="s">
        <v>470</v>
      </c>
      <c r="B81" t="s">
        <v>18</v>
      </c>
      <c r="C81">
        <v>7.9</v>
      </c>
      <c r="D81">
        <v>7.4</v>
      </c>
      <c r="E81">
        <v>7.1</v>
      </c>
      <c r="F81">
        <v>6.6</v>
      </c>
      <c r="G81">
        <v>5.2</v>
      </c>
      <c r="H81">
        <v>5.4</v>
      </c>
      <c r="I81">
        <v>2.8</v>
      </c>
      <c r="J81">
        <v>4.2</v>
      </c>
      <c r="K81">
        <v>2.4</v>
      </c>
      <c r="L81">
        <v>7.7</v>
      </c>
      <c r="M81">
        <v>14.2</v>
      </c>
    </row>
    <row r="82" spans="1:13" x14ac:dyDescent="0.2">
      <c r="A82" t="s">
        <v>471</v>
      </c>
      <c r="B82" t="s">
        <v>391</v>
      </c>
    </row>
    <row r="83" spans="1:13" x14ac:dyDescent="0.2">
      <c r="A83" t="s">
        <v>472</v>
      </c>
      <c r="B83" t="s">
        <v>18</v>
      </c>
      <c r="C83">
        <v>3.6</v>
      </c>
      <c r="D83">
        <v>3</v>
      </c>
      <c r="E83">
        <v>2.6</v>
      </c>
      <c r="F83">
        <v>2.4</v>
      </c>
      <c r="G83">
        <v>2</v>
      </c>
      <c r="H83">
        <v>2.4</v>
      </c>
      <c r="I83">
        <v>1.3</v>
      </c>
      <c r="J83">
        <v>1.4</v>
      </c>
      <c r="K83">
        <v>1.4</v>
      </c>
      <c r="L83">
        <v>2.8</v>
      </c>
      <c r="M83">
        <v>6.6</v>
      </c>
    </row>
    <row r="84" spans="1:13" x14ac:dyDescent="0.2">
      <c r="A84" t="s">
        <v>473</v>
      </c>
      <c r="B84" t="s">
        <v>18</v>
      </c>
      <c r="C84">
        <v>3.6</v>
      </c>
      <c r="D84">
        <v>3.2</v>
      </c>
      <c r="E84">
        <v>3</v>
      </c>
      <c r="F84">
        <v>2.8</v>
      </c>
      <c r="G84">
        <v>2.2000000000000002</v>
      </c>
      <c r="H84">
        <v>2.2999999999999998</v>
      </c>
      <c r="I84">
        <v>1.2</v>
      </c>
      <c r="J84">
        <v>1.8</v>
      </c>
      <c r="K84">
        <v>1</v>
      </c>
      <c r="L84">
        <v>3.2</v>
      </c>
      <c r="M84">
        <v>7.1</v>
      </c>
    </row>
    <row r="85" spans="1:13" x14ac:dyDescent="0.2">
      <c r="A85" t="s">
        <v>474</v>
      </c>
      <c r="B85" t="s">
        <v>391</v>
      </c>
    </row>
    <row r="86" spans="1:13" x14ac:dyDescent="0.2">
      <c r="A86" t="s">
        <v>475</v>
      </c>
      <c r="B86" t="s">
        <v>18</v>
      </c>
      <c r="C86">
        <v>36</v>
      </c>
      <c r="D86">
        <v>41.1</v>
      </c>
      <c r="E86">
        <v>47.1</v>
      </c>
      <c r="F86">
        <v>50.2</v>
      </c>
      <c r="G86">
        <v>64.7</v>
      </c>
      <c r="H86">
        <v>53.4</v>
      </c>
      <c r="I86">
        <v>103.9</v>
      </c>
      <c r="J86">
        <v>69.099999999999994</v>
      </c>
      <c r="K86">
        <v>135.9</v>
      </c>
      <c r="L86">
        <v>45</v>
      </c>
      <c r="M86">
        <v>34.200000000000003</v>
      </c>
    </row>
    <row r="87" spans="1:13" x14ac:dyDescent="0.2">
      <c r="A87" t="s">
        <v>476</v>
      </c>
      <c r="B87" t="s">
        <v>391</v>
      </c>
    </row>
    <row r="88" spans="1:13" x14ac:dyDescent="0.2">
      <c r="A88" t="s">
        <v>477</v>
      </c>
      <c r="B88" t="s">
        <v>478</v>
      </c>
      <c r="C88">
        <v>0.4</v>
      </c>
      <c r="D88">
        <v>0.4</v>
      </c>
      <c r="E88">
        <v>0.4</v>
      </c>
      <c r="F88">
        <v>0.4</v>
      </c>
      <c r="G88">
        <v>0.4</v>
      </c>
      <c r="H88">
        <v>0.4</v>
      </c>
      <c r="I88">
        <v>0.4</v>
      </c>
      <c r="J88">
        <v>0.4</v>
      </c>
      <c r="K88">
        <v>0.4</v>
      </c>
      <c r="L88">
        <v>0.3</v>
      </c>
      <c r="M88">
        <v>0.3</v>
      </c>
    </row>
    <row r="89" spans="1:13" x14ac:dyDescent="0.2">
      <c r="A89" t="s">
        <v>479</v>
      </c>
      <c r="B89" t="s">
        <v>391</v>
      </c>
    </row>
    <row r="90" spans="1:13" x14ac:dyDescent="0.2">
      <c r="A90" t="s">
        <v>480</v>
      </c>
      <c r="B90" t="s">
        <v>478</v>
      </c>
      <c r="C90">
        <v>15.1</v>
      </c>
      <c r="D90">
        <v>14.9</v>
      </c>
      <c r="E90">
        <v>13.4</v>
      </c>
      <c r="F90">
        <v>12.5</v>
      </c>
      <c r="G90">
        <v>11.4</v>
      </c>
      <c r="H90">
        <v>11</v>
      </c>
      <c r="I90">
        <v>10.8</v>
      </c>
      <c r="J90">
        <v>11</v>
      </c>
      <c r="K90">
        <v>10.199999999999999</v>
      </c>
      <c r="L90">
        <v>9.8000000000000007</v>
      </c>
      <c r="M90">
        <v>11.1</v>
      </c>
    </row>
    <row r="91" spans="1:13" x14ac:dyDescent="0.2">
      <c r="A91" t="s">
        <v>458</v>
      </c>
      <c r="B91" t="s">
        <v>391</v>
      </c>
    </row>
    <row r="92" spans="1:13" x14ac:dyDescent="0.2">
      <c r="A92" t="s">
        <v>481</v>
      </c>
      <c r="B92" t="s">
        <v>391</v>
      </c>
    </row>
    <row r="93" spans="1:13" x14ac:dyDescent="0.2">
      <c r="A93" t="s">
        <v>482</v>
      </c>
      <c r="B93" t="s">
        <v>394</v>
      </c>
      <c r="C93">
        <v>25.6</v>
      </c>
      <c r="D93">
        <v>19.100000000000001</v>
      </c>
      <c r="E93">
        <v>21.1</v>
      </c>
      <c r="F93">
        <v>1.6</v>
      </c>
      <c r="G93">
        <v>-7.1</v>
      </c>
      <c r="H93">
        <v>1.1000000000000001</v>
      </c>
      <c r="I93">
        <v>7.4</v>
      </c>
      <c r="J93">
        <v>15.2</v>
      </c>
      <c r="K93">
        <v>-0.8</v>
      </c>
      <c r="L93">
        <v>-2.8</v>
      </c>
      <c r="M93">
        <v>61.1</v>
      </c>
    </row>
    <row r="94" spans="1:13" x14ac:dyDescent="0.2">
      <c r="A94" t="s">
        <v>483</v>
      </c>
      <c r="B94" t="s">
        <v>394</v>
      </c>
      <c r="C94">
        <v>14.2</v>
      </c>
      <c r="D94">
        <v>7.9</v>
      </c>
      <c r="E94">
        <v>10.199999999999999</v>
      </c>
      <c r="F94">
        <v>-1.2</v>
      </c>
      <c r="G94">
        <v>-1.1000000000000001</v>
      </c>
      <c r="H94">
        <v>-11.8</v>
      </c>
      <c r="I94">
        <v>8.3000000000000007</v>
      </c>
      <c r="J94">
        <v>26.9</v>
      </c>
      <c r="K94">
        <v>-6.2</v>
      </c>
      <c r="L94">
        <v>-14.6</v>
      </c>
      <c r="M94">
        <v>55.1</v>
      </c>
    </row>
    <row r="95" spans="1:13" x14ac:dyDescent="0.2">
      <c r="A95" t="s">
        <v>484</v>
      </c>
      <c r="B95" t="s">
        <v>18</v>
      </c>
      <c r="C95">
        <v>15.4</v>
      </c>
      <c r="D95">
        <v>16.5</v>
      </c>
      <c r="E95">
        <v>17.5</v>
      </c>
      <c r="F95">
        <v>16.7</v>
      </c>
      <c r="G95">
        <v>13.6</v>
      </c>
      <c r="H95">
        <v>8.3000000000000007</v>
      </c>
      <c r="I95">
        <v>6.8</v>
      </c>
      <c r="J95">
        <v>6.4</v>
      </c>
      <c r="K95">
        <v>6</v>
      </c>
      <c r="L95">
        <v>5.2</v>
      </c>
      <c r="M95">
        <v>6</v>
      </c>
    </row>
    <row r="96" spans="1:13" x14ac:dyDescent="0.2">
      <c r="A96" t="s">
        <v>485</v>
      </c>
      <c r="B96" t="s">
        <v>18</v>
      </c>
      <c r="C96">
        <v>13.3</v>
      </c>
      <c r="D96">
        <v>14</v>
      </c>
      <c r="E96">
        <v>15.6</v>
      </c>
      <c r="F96">
        <v>14.9</v>
      </c>
      <c r="G96">
        <v>14.1</v>
      </c>
      <c r="H96">
        <v>13.4</v>
      </c>
      <c r="I96">
        <v>13.1</v>
      </c>
      <c r="J96">
        <v>13.3</v>
      </c>
      <c r="K96">
        <v>13.3</v>
      </c>
      <c r="L96">
        <v>13.1</v>
      </c>
      <c r="M96">
        <v>16</v>
      </c>
    </row>
    <row r="97" spans="1:13" x14ac:dyDescent="0.2">
      <c r="A97" t="s">
        <v>458</v>
      </c>
      <c r="B97" t="s">
        <v>391</v>
      </c>
    </row>
    <row r="98" spans="1:13" x14ac:dyDescent="0.2">
      <c r="A98" t="s">
        <v>486</v>
      </c>
      <c r="B98" t="s">
        <v>391</v>
      </c>
    </row>
    <row r="99" spans="1:13" x14ac:dyDescent="0.2">
      <c r="A99" t="s">
        <v>487</v>
      </c>
      <c r="B99" t="s">
        <v>394</v>
      </c>
      <c r="C99">
        <v>10</v>
      </c>
      <c r="D99">
        <v>12.9</v>
      </c>
      <c r="E99">
        <v>10.8</v>
      </c>
      <c r="F99">
        <v>12.2</v>
      </c>
      <c r="G99">
        <v>18.5</v>
      </c>
      <c r="H99">
        <v>12.3</v>
      </c>
      <c r="I99">
        <v>-13.7</v>
      </c>
      <c r="J99">
        <v>0.2</v>
      </c>
      <c r="K99">
        <v>-5.4</v>
      </c>
      <c r="L99">
        <v>14</v>
      </c>
      <c r="M99">
        <v>9.6</v>
      </c>
    </row>
    <row r="100" spans="1:13" x14ac:dyDescent="0.2">
      <c r="A100" t="s">
        <v>488</v>
      </c>
      <c r="B100" t="s">
        <v>394</v>
      </c>
      <c r="C100">
        <v>5.4</v>
      </c>
      <c r="D100">
        <v>7.4</v>
      </c>
      <c r="E100">
        <v>8.6</v>
      </c>
      <c r="F100">
        <v>13.6</v>
      </c>
      <c r="G100">
        <v>5</v>
      </c>
      <c r="H100">
        <v>9.6999999999999993</v>
      </c>
      <c r="I100">
        <v>6.9</v>
      </c>
      <c r="J100">
        <v>14</v>
      </c>
      <c r="K100">
        <v>-16.8</v>
      </c>
      <c r="L100">
        <v>-1.3</v>
      </c>
      <c r="M100">
        <v>29.6</v>
      </c>
    </row>
    <row r="101" spans="1:13" x14ac:dyDescent="0.2">
      <c r="A101" t="s">
        <v>489</v>
      </c>
      <c r="B101" t="s">
        <v>394</v>
      </c>
      <c r="C101">
        <v>71.099999999999994</v>
      </c>
      <c r="D101">
        <v>0.9</v>
      </c>
      <c r="E101">
        <v>84.9</v>
      </c>
      <c r="F101">
        <v>-7.7</v>
      </c>
      <c r="G101">
        <v>-1.9</v>
      </c>
      <c r="H101">
        <v>24.1</v>
      </c>
      <c r="I101">
        <v>6.2</v>
      </c>
      <c r="J101">
        <v>6.3</v>
      </c>
      <c r="K101">
        <v>-4.5999999999999996</v>
      </c>
      <c r="L101">
        <v>14.4</v>
      </c>
      <c r="M101">
        <v>18.3</v>
      </c>
    </row>
    <row r="102" spans="1:13" x14ac:dyDescent="0.2">
      <c r="A102" t="s">
        <v>490</v>
      </c>
      <c r="B102" t="s">
        <v>391</v>
      </c>
    </row>
    <row r="103" spans="1:13" x14ac:dyDescent="0.2">
      <c r="A103" t="s">
        <v>491</v>
      </c>
      <c r="B103" t="s">
        <v>18</v>
      </c>
      <c r="C103">
        <v>6.3</v>
      </c>
      <c r="D103">
        <v>6.1</v>
      </c>
      <c r="E103">
        <v>6.1</v>
      </c>
      <c r="F103">
        <v>6.5</v>
      </c>
      <c r="G103">
        <v>7.5</v>
      </c>
      <c r="H103">
        <v>7.9</v>
      </c>
      <c r="I103">
        <v>6.3</v>
      </c>
      <c r="J103">
        <v>5.6</v>
      </c>
      <c r="K103">
        <v>5.4</v>
      </c>
      <c r="L103">
        <v>6.2</v>
      </c>
      <c r="M103">
        <v>7.9</v>
      </c>
    </row>
    <row r="104" spans="1:13" x14ac:dyDescent="0.2">
      <c r="A104" t="s">
        <v>492</v>
      </c>
      <c r="B104" t="s">
        <v>18</v>
      </c>
      <c r="C104">
        <v>3.7</v>
      </c>
      <c r="D104">
        <v>3.7</v>
      </c>
      <c r="E104">
        <v>3.7</v>
      </c>
      <c r="F104">
        <v>3.9</v>
      </c>
      <c r="G104">
        <v>4.9000000000000004</v>
      </c>
      <c r="H104">
        <v>5.2</v>
      </c>
      <c r="I104">
        <v>3.6</v>
      </c>
      <c r="J104">
        <v>2.9</v>
      </c>
      <c r="K104">
        <v>3</v>
      </c>
      <c r="L104">
        <v>3.9</v>
      </c>
      <c r="M104">
        <v>5</v>
      </c>
    </row>
    <row r="105" spans="1:13" x14ac:dyDescent="0.2">
      <c r="A105" t="s">
        <v>493</v>
      </c>
      <c r="B105" t="s">
        <v>18</v>
      </c>
      <c r="C105">
        <v>2.5</v>
      </c>
      <c r="D105">
        <v>2.4</v>
      </c>
      <c r="E105">
        <v>2.2999999999999998</v>
      </c>
      <c r="F105">
        <v>2.5</v>
      </c>
      <c r="G105">
        <v>2.5</v>
      </c>
      <c r="H105">
        <v>2.6</v>
      </c>
      <c r="I105">
        <v>2.6</v>
      </c>
      <c r="J105">
        <v>2.6</v>
      </c>
      <c r="K105">
        <v>2.2000000000000002</v>
      </c>
      <c r="L105">
        <v>2.2000000000000002</v>
      </c>
      <c r="M105">
        <v>2.9</v>
      </c>
    </row>
    <row r="106" spans="1:13" x14ac:dyDescent="0.2">
      <c r="A106" t="s">
        <v>494</v>
      </c>
      <c r="B106" t="s">
        <v>18</v>
      </c>
      <c r="C106">
        <v>36.299999999999997</v>
      </c>
      <c r="D106">
        <v>36.9</v>
      </c>
      <c r="E106">
        <v>38.200000000000003</v>
      </c>
      <c r="F106">
        <v>40.4</v>
      </c>
      <c r="G106">
        <v>47.2</v>
      </c>
      <c r="H106">
        <v>45.3</v>
      </c>
      <c r="I106">
        <v>64.099999999999994</v>
      </c>
      <c r="J106">
        <v>53</v>
      </c>
      <c r="K106">
        <v>58.7</v>
      </c>
      <c r="L106">
        <v>30.8</v>
      </c>
      <c r="M106">
        <v>22.1</v>
      </c>
    </row>
    <row r="107" spans="1:13" x14ac:dyDescent="0.2">
      <c r="A107" t="s">
        <v>458</v>
      </c>
      <c r="B107" t="s">
        <v>391</v>
      </c>
    </row>
    <row r="108" spans="1:13" x14ac:dyDescent="0.2">
      <c r="A108" t="s">
        <v>495</v>
      </c>
      <c r="B108" t="s">
        <v>391</v>
      </c>
    </row>
    <row r="109" spans="1:13" x14ac:dyDescent="0.2">
      <c r="A109" t="s">
        <v>496</v>
      </c>
      <c r="B109" t="s">
        <v>394</v>
      </c>
      <c r="F109" s="7">
        <v>160159.4</v>
      </c>
      <c r="G109">
        <v>22.9</v>
      </c>
      <c r="H109">
        <v>12.5</v>
      </c>
      <c r="I109">
        <v>7.9</v>
      </c>
      <c r="J109">
        <v>12.6</v>
      </c>
      <c r="K109">
        <v>19.5</v>
      </c>
      <c r="L109">
        <v>-3.3</v>
      </c>
      <c r="M109">
        <v>7</v>
      </c>
    </row>
    <row r="110" spans="1:13" x14ac:dyDescent="0.2">
      <c r="A110" t="s">
        <v>497</v>
      </c>
      <c r="B110" t="s">
        <v>394</v>
      </c>
      <c r="C110" s="7">
        <v>2625</v>
      </c>
      <c r="D110">
        <v>-17.399999999999999</v>
      </c>
      <c r="E110" s="7">
        <v>3773.7</v>
      </c>
      <c r="F110" s="7">
        <v>5248.6</v>
      </c>
      <c r="G110">
        <v>44</v>
      </c>
      <c r="H110">
        <v>15.9</v>
      </c>
      <c r="I110">
        <v>11.4</v>
      </c>
      <c r="J110">
        <v>17.3</v>
      </c>
      <c r="K110">
        <v>27.5</v>
      </c>
      <c r="L110">
        <v>-20.2</v>
      </c>
      <c r="M110">
        <v>-99.6</v>
      </c>
    </row>
    <row r="111" spans="1:13" x14ac:dyDescent="0.2">
      <c r="A111" t="s">
        <v>498</v>
      </c>
      <c r="B111" t="s">
        <v>394</v>
      </c>
      <c r="F111" s="7">
        <v>190224.9</v>
      </c>
      <c r="G111">
        <v>-18.600000000000001</v>
      </c>
      <c r="H111">
        <v>-0.2</v>
      </c>
      <c r="I111">
        <v>4</v>
      </c>
      <c r="J111">
        <v>-9.3000000000000007</v>
      </c>
      <c r="K111">
        <v>-9</v>
      </c>
      <c r="L111">
        <v>-68.5</v>
      </c>
    </row>
    <row r="112" spans="1:13" x14ac:dyDescent="0.2">
      <c r="A112" t="s">
        <v>499</v>
      </c>
      <c r="B112" t="s">
        <v>500</v>
      </c>
      <c r="C112" s="14">
        <v>27045</v>
      </c>
      <c r="D112" s="14">
        <v>27368</v>
      </c>
      <c r="E112" s="14">
        <v>26167</v>
      </c>
      <c r="F112" s="14">
        <v>28722</v>
      </c>
      <c r="G112" s="14">
        <v>31762</v>
      </c>
      <c r="H112" s="14">
        <v>33799</v>
      </c>
      <c r="I112" s="14">
        <v>33718</v>
      </c>
      <c r="J112" s="14">
        <v>33462</v>
      </c>
      <c r="K112" s="14">
        <v>32648</v>
      </c>
      <c r="L112" s="14">
        <v>30830</v>
      </c>
      <c r="M112" s="14">
        <v>2738</v>
      </c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66CD-22FC-2747-A23C-7F9452C50B5F}">
  <dimension ref="A1:V66"/>
  <sheetViews>
    <sheetView workbookViewId="0">
      <pane ySplit="5" topLeftCell="A6" activePane="bottomLeft" state="frozen"/>
      <selection pane="bottomLeft" activeCell="E28" sqref="E28"/>
    </sheetView>
  </sheetViews>
  <sheetFormatPr baseColWidth="10" defaultRowHeight="16" x14ac:dyDescent="0.2"/>
  <cols>
    <col min="9" max="9" width="34.6640625" customWidth="1"/>
    <col min="10" max="12" width="16.5" bestFit="1" customWidth="1"/>
    <col min="19" max="19" width="22.83203125" bestFit="1" customWidth="1"/>
    <col min="20" max="20" width="18.6640625" bestFit="1" customWidth="1"/>
    <col min="21" max="21" width="12.33203125" bestFit="1" customWidth="1"/>
    <col min="22" max="22" width="83.83203125" bestFit="1" customWidth="1"/>
  </cols>
  <sheetData>
    <row r="1" spans="1:22" x14ac:dyDescent="0.2">
      <c r="A1" t="s">
        <v>333</v>
      </c>
    </row>
    <row r="2" spans="1:22" x14ac:dyDescent="0.2">
      <c r="A2" t="s">
        <v>334</v>
      </c>
    </row>
    <row r="3" spans="1:22" x14ac:dyDescent="0.2">
      <c r="A3" t="s">
        <v>46</v>
      </c>
      <c r="B3" t="s">
        <v>47</v>
      </c>
      <c r="C3" t="s">
        <v>335</v>
      </c>
      <c r="D3" t="s">
        <v>335</v>
      </c>
      <c r="E3" t="s">
        <v>335</v>
      </c>
      <c r="F3" t="s">
        <v>335</v>
      </c>
      <c r="G3" t="s">
        <v>335</v>
      </c>
      <c r="H3" t="s">
        <v>335</v>
      </c>
      <c r="I3" t="s">
        <v>335</v>
      </c>
      <c r="J3" t="s">
        <v>335</v>
      </c>
      <c r="K3" t="s">
        <v>335</v>
      </c>
      <c r="L3" t="s">
        <v>335</v>
      </c>
      <c r="M3" t="s">
        <v>335</v>
      </c>
      <c r="N3" t="s">
        <v>335</v>
      </c>
      <c r="O3" t="s">
        <v>335</v>
      </c>
      <c r="P3" t="s">
        <v>335</v>
      </c>
      <c r="Q3" t="s">
        <v>335</v>
      </c>
      <c r="R3" t="s">
        <v>335</v>
      </c>
      <c r="S3" t="s">
        <v>335</v>
      </c>
      <c r="T3" t="s">
        <v>335</v>
      </c>
      <c r="U3" t="s">
        <v>336</v>
      </c>
      <c r="V3" t="s">
        <v>337</v>
      </c>
    </row>
    <row r="4" spans="1:22" x14ac:dyDescent="0.2">
      <c r="A4" t="s">
        <v>46</v>
      </c>
      <c r="B4" t="s">
        <v>55</v>
      </c>
      <c r="C4" t="s">
        <v>47</v>
      </c>
      <c r="D4" t="s">
        <v>338</v>
      </c>
      <c r="E4" t="s">
        <v>339</v>
      </c>
      <c r="F4" t="s">
        <v>340</v>
      </c>
      <c r="G4" t="s">
        <v>340</v>
      </c>
      <c r="H4" t="s">
        <v>340</v>
      </c>
      <c r="I4" t="s">
        <v>340</v>
      </c>
      <c r="J4" t="s">
        <v>341</v>
      </c>
      <c r="K4" t="s">
        <v>342</v>
      </c>
      <c r="L4" t="s">
        <v>343</v>
      </c>
      <c r="M4" t="s">
        <v>344</v>
      </c>
      <c r="N4" t="s">
        <v>345</v>
      </c>
      <c r="O4" t="s">
        <v>346</v>
      </c>
      <c r="P4" t="s">
        <v>347</v>
      </c>
      <c r="Q4" t="s">
        <v>348</v>
      </c>
      <c r="R4" t="s">
        <v>349</v>
      </c>
      <c r="S4" t="s">
        <v>349</v>
      </c>
      <c r="T4" t="s">
        <v>350</v>
      </c>
      <c r="U4" t="s">
        <v>55</v>
      </c>
      <c r="V4" t="s">
        <v>55</v>
      </c>
    </row>
    <row r="5" spans="1:22" x14ac:dyDescent="0.2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47</v>
      </c>
      <c r="G5" t="s">
        <v>351</v>
      </c>
      <c r="H5" t="s">
        <v>352</v>
      </c>
      <c r="I5" t="s">
        <v>353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  <c r="P5" t="s">
        <v>55</v>
      </c>
      <c r="Q5" t="s">
        <v>55</v>
      </c>
      <c r="R5" t="s">
        <v>55</v>
      </c>
      <c r="S5" t="s">
        <v>354</v>
      </c>
      <c r="T5" t="s">
        <v>55</v>
      </c>
      <c r="U5" t="s">
        <v>55</v>
      </c>
      <c r="V5" t="s">
        <v>55</v>
      </c>
    </row>
    <row r="6" spans="1:22" x14ac:dyDescent="0.2">
      <c r="A6" t="s">
        <v>67</v>
      </c>
      <c r="B6" s="7">
        <v>13740</v>
      </c>
      <c r="C6" s="7">
        <v>16340</v>
      </c>
      <c r="J6" s="7">
        <v>3350</v>
      </c>
      <c r="K6" s="7">
        <v>7300</v>
      </c>
      <c r="O6">
        <v>50</v>
      </c>
      <c r="P6">
        <v>110</v>
      </c>
      <c r="Q6">
        <v>10</v>
      </c>
      <c r="U6" s="7">
        <v>2600</v>
      </c>
    </row>
    <row r="7" spans="1:22" x14ac:dyDescent="0.2">
      <c r="A7" t="s">
        <v>68</v>
      </c>
      <c r="B7" s="7">
        <v>15630</v>
      </c>
      <c r="C7" s="7">
        <v>18210</v>
      </c>
      <c r="J7" s="7">
        <v>3970</v>
      </c>
      <c r="K7" s="7">
        <v>8010</v>
      </c>
      <c r="O7">
        <v>50</v>
      </c>
      <c r="P7">
        <v>110</v>
      </c>
      <c r="Q7">
        <v>20</v>
      </c>
      <c r="U7" s="7">
        <v>2580</v>
      </c>
    </row>
    <row r="8" spans="1:22" x14ac:dyDescent="0.2">
      <c r="A8" t="s">
        <v>69</v>
      </c>
      <c r="B8" s="7">
        <v>17850</v>
      </c>
      <c r="C8" s="7">
        <v>20610</v>
      </c>
      <c r="J8" s="7">
        <v>3390</v>
      </c>
      <c r="K8" s="7">
        <v>8980</v>
      </c>
      <c r="O8">
        <v>70</v>
      </c>
      <c r="P8">
        <v>120</v>
      </c>
      <c r="Q8">
        <v>20</v>
      </c>
      <c r="U8" s="7">
        <v>2760</v>
      </c>
    </row>
    <row r="9" spans="1:22" x14ac:dyDescent="0.2">
      <c r="A9" t="s">
        <v>70</v>
      </c>
      <c r="B9" s="7">
        <v>19340</v>
      </c>
      <c r="C9" s="7">
        <v>23070</v>
      </c>
      <c r="J9" s="7">
        <v>5850</v>
      </c>
      <c r="K9" s="7">
        <v>10340</v>
      </c>
      <c r="O9">
        <v>60</v>
      </c>
      <c r="P9">
        <v>110</v>
      </c>
      <c r="Q9">
        <v>20</v>
      </c>
      <c r="U9" s="7">
        <v>3730</v>
      </c>
    </row>
    <row r="10" spans="1:22" x14ac:dyDescent="0.2">
      <c r="A10" t="s">
        <v>71</v>
      </c>
      <c r="B10" s="7">
        <v>19370</v>
      </c>
      <c r="C10" s="7">
        <v>23530</v>
      </c>
      <c r="J10" s="7">
        <v>5130</v>
      </c>
      <c r="K10" s="7">
        <v>11480</v>
      </c>
      <c r="O10">
        <v>60</v>
      </c>
      <c r="P10">
        <v>110</v>
      </c>
      <c r="Q10">
        <v>10</v>
      </c>
      <c r="U10" s="7">
        <v>4160</v>
      </c>
    </row>
    <row r="11" spans="1:22" x14ac:dyDescent="0.2">
      <c r="A11" t="s">
        <v>72</v>
      </c>
      <c r="B11" s="7">
        <v>20190</v>
      </c>
      <c r="C11" s="7">
        <v>25100</v>
      </c>
      <c r="J11" s="7">
        <v>4460</v>
      </c>
      <c r="K11" s="7">
        <v>13210</v>
      </c>
      <c r="O11">
        <v>70</v>
      </c>
      <c r="P11">
        <v>110</v>
      </c>
      <c r="Q11">
        <v>20</v>
      </c>
      <c r="U11" s="7">
        <v>4910</v>
      </c>
    </row>
    <row r="12" spans="1:22" x14ac:dyDescent="0.2">
      <c r="A12" t="s">
        <v>73</v>
      </c>
      <c r="B12" s="7">
        <v>22010</v>
      </c>
      <c r="C12" s="7">
        <v>28220</v>
      </c>
      <c r="J12" s="7">
        <v>4230</v>
      </c>
      <c r="K12" s="7">
        <v>15240</v>
      </c>
      <c r="O12">
        <v>70</v>
      </c>
      <c r="P12">
        <v>160</v>
      </c>
      <c r="Q12">
        <v>20</v>
      </c>
      <c r="U12" s="7">
        <v>6210</v>
      </c>
    </row>
    <row r="13" spans="1:22" x14ac:dyDescent="0.2">
      <c r="A13" t="s">
        <v>74</v>
      </c>
      <c r="B13" s="7">
        <v>24510</v>
      </c>
      <c r="C13" s="7">
        <v>32060</v>
      </c>
      <c r="J13" s="7">
        <v>5240</v>
      </c>
      <c r="K13" s="7">
        <v>17580</v>
      </c>
      <c r="O13">
        <v>80</v>
      </c>
      <c r="P13">
        <v>150</v>
      </c>
      <c r="Q13">
        <v>20</v>
      </c>
      <c r="U13" s="7">
        <v>7550</v>
      </c>
    </row>
    <row r="14" spans="1:22" x14ac:dyDescent="0.2">
      <c r="A14" t="s">
        <v>75</v>
      </c>
      <c r="B14" s="7">
        <v>29280</v>
      </c>
      <c r="C14" s="7">
        <v>38730</v>
      </c>
      <c r="J14" s="7">
        <v>6950</v>
      </c>
      <c r="K14" s="7">
        <v>20610</v>
      </c>
      <c r="O14">
        <v>90</v>
      </c>
      <c r="P14">
        <v>250</v>
      </c>
      <c r="Q14">
        <v>40</v>
      </c>
      <c r="U14" s="7">
        <v>9450</v>
      </c>
    </row>
    <row r="15" spans="1:22" x14ac:dyDescent="0.2">
      <c r="A15" t="s">
        <v>76</v>
      </c>
      <c r="B15" s="7">
        <v>34430</v>
      </c>
      <c r="C15" s="7">
        <v>45050</v>
      </c>
      <c r="J15" s="7">
        <v>8570</v>
      </c>
      <c r="K15" s="7">
        <v>23240</v>
      </c>
      <c r="O15">
        <v>100</v>
      </c>
      <c r="P15">
        <v>360</v>
      </c>
      <c r="Q15">
        <v>40</v>
      </c>
      <c r="U15" s="7">
        <v>10620</v>
      </c>
    </row>
    <row r="16" spans="1:22" x14ac:dyDescent="0.2">
      <c r="A16" t="s">
        <v>77</v>
      </c>
      <c r="B16" s="7">
        <v>39000</v>
      </c>
      <c r="C16" s="7">
        <v>50700</v>
      </c>
      <c r="J16" s="7">
        <v>9960</v>
      </c>
      <c r="K16" s="7">
        <v>26020</v>
      </c>
      <c r="O16">
        <v>110</v>
      </c>
      <c r="P16">
        <v>360</v>
      </c>
      <c r="Q16">
        <v>50</v>
      </c>
      <c r="U16" s="7">
        <v>11700</v>
      </c>
    </row>
    <row r="17" spans="1:22" x14ac:dyDescent="0.2">
      <c r="A17" t="s">
        <v>78</v>
      </c>
      <c r="B17" s="7">
        <v>50970</v>
      </c>
      <c r="C17" s="7">
        <v>63220</v>
      </c>
      <c r="J17" s="7">
        <v>13320</v>
      </c>
      <c r="K17" s="7">
        <v>32300</v>
      </c>
      <c r="O17">
        <v>110</v>
      </c>
      <c r="P17">
        <v>390</v>
      </c>
      <c r="Q17">
        <v>50</v>
      </c>
      <c r="U17" s="7">
        <v>12250</v>
      </c>
    </row>
    <row r="18" spans="1:22" x14ac:dyDescent="0.2">
      <c r="A18" t="s">
        <v>79</v>
      </c>
      <c r="B18" s="7">
        <v>60100</v>
      </c>
      <c r="C18" s="7">
        <v>76090</v>
      </c>
      <c r="J18" s="7">
        <v>14190</v>
      </c>
      <c r="K18" s="7">
        <v>38450</v>
      </c>
      <c r="O18">
        <v>120</v>
      </c>
      <c r="P18">
        <v>540</v>
      </c>
      <c r="Q18">
        <v>50</v>
      </c>
      <c r="U18" s="7">
        <v>15990</v>
      </c>
    </row>
    <row r="19" spans="1:22" x14ac:dyDescent="0.2">
      <c r="A19" t="s">
        <v>80</v>
      </c>
      <c r="B19" s="7">
        <v>65810</v>
      </c>
      <c r="C19" s="7">
        <v>82630</v>
      </c>
      <c r="J19" s="7">
        <v>15540</v>
      </c>
      <c r="K19" s="7">
        <v>42210</v>
      </c>
      <c r="O19">
        <v>120</v>
      </c>
      <c r="P19">
        <v>600</v>
      </c>
      <c r="Q19">
        <v>60</v>
      </c>
      <c r="U19" s="7">
        <v>16900</v>
      </c>
    </row>
    <row r="20" spans="1:22" x14ac:dyDescent="0.2">
      <c r="A20" t="s">
        <v>81</v>
      </c>
      <c r="B20" s="7">
        <v>70600</v>
      </c>
      <c r="C20" s="7">
        <v>88580</v>
      </c>
      <c r="J20" s="7">
        <v>18240</v>
      </c>
      <c r="K20" s="7">
        <v>44480</v>
      </c>
      <c r="O20">
        <v>130</v>
      </c>
      <c r="P20">
        <v>480</v>
      </c>
      <c r="Q20">
        <v>60</v>
      </c>
      <c r="U20" s="7">
        <v>17980</v>
      </c>
    </row>
    <row r="21" spans="1:22" x14ac:dyDescent="0.2">
      <c r="A21" t="s">
        <v>82</v>
      </c>
      <c r="B21" s="7">
        <v>85680</v>
      </c>
      <c r="C21" s="7">
        <v>105250</v>
      </c>
      <c r="J21" s="7">
        <v>24230</v>
      </c>
      <c r="K21" s="7">
        <v>53670</v>
      </c>
      <c r="O21">
        <v>130</v>
      </c>
      <c r="P21">
        <v>550</v>
      </c>
      <c r="Q21">
        <v>60</v>
      </c>
      <c r="U21" s="7">
        <v>19570</v>
      </c>
    </row>
    <row r="22" spans="1:22" x14ac:dyDescent="0.2">
      <c r="A22" t="s">
        <v>83</v>
      </c>
      <c r="B22" s="7">
        <v>85450</v>
      </c>
      <c r="C22" s="7">
        <v>120130</v>
      </c>
      <c r="D22" s="7">
        <v>13400</v>
      </c>
      <c r="E22" s="7">
        <v>13920</v>
      </c>
      <c r="J22" s="7">
        <v>29240</v>
      </c>
      <c r="K22" s="7">
        <v>60110</v>
      </c>
      <c r="O22">
        <v>770</v>
      </c>
      <c r="P22">
        <v>640</v>
      </c>
      <c r="Q22">
        <v>70</v>
      </c>
      <c r="R22" s="7">
        <v>1800</v>
      </c>
      <c r="T22">
        <v>180</v>
      </c>
      <c r="U22" s="7">
        <v>34680</v>
      </c>
    </row>
    <row r="23" spans="1:22" x14ac:dyDescent="0.2">
      <c r="A23" t="s">
        <v>84</v>
      </c>
      <c r="B23" s="7">
        <v>93580</v>
      </c>
      <c r="C23" s="7">
        <v>131490</v>
      </c>
      <c r="D23" s="7">
        <v>14400</v>
      </c>
      <c r="E23" s="7">
        <v>13770</v>
      </c>
      <c r="J23" s="7">
        <v>34090</v>
      </c>
      <c r="K23" s="7">
        <v>65000</v>
      </c>
      <c r="O23">
        <v>160</v>
      </c>
      <c r="P23">
        <v>670</v>
      </c>
      <c r="Q23">
        <v>70</v>
      </c>
      <c r="R23" s="7">
        <v>2250</v>
      </c>
      <c r="T23" s="7">
        <v>1080</v>
      </c>
      <c r="U23" s="7">
        <v>37910</v>
      </c>
    </row>
    <row r="24" spans="1:22" x14ac:dyDescent="0.2">
      <c r="A24" t="s">
        <v>85</v>
      </c>
      <c r="B24" s="7">
        <v>115420</v>
      </c>
      <c r="C24" s="7">
        <v>158160</v>
      </c>
      <c r="D24" s="7">
        <v>14760</v>
      </c>
      <c r="E24" s="7">
        <v>19700</v>
      </c>
      <c r="J24" s="7">
        <v>43000</v>
      </c>
      <c r="K24" s="7">
        <v>74210</v>
      </c>
      <c r="O24">
        <v>200</v>
      </c>
      <c r="P24">
        <v>780</v>
      </c>
      <c r="Q24">
        <v>80</v>
      </c>
      <c r="R24" s="7">
        <v>2770</v>
      </c>
      <c r="T24" s="7">
        <v>2660</v>
      </c>
      <c r="U24" s="7">
        <v>42740</v>
      </c>
    </row>
    <row r="25" spans="1:22" x14ac:dyDescent="0.2">
      <c r="A25" t="s">
        <v>86</v>
      </c>
      <c r="B25" s="7">
        <v>130170</v>
      </c>
      <c r="C25" s="7">
        <v>176960</v>
      </c>
      <c r="D25" s="7">
        <v>15700</v>
      </c>
      <c r="E25" s="7">
        <v>21850</v>
      </c>
      <c r="J25" s="7">
        <v>51190</v>
      </c>
      <c r="K25" s="7">
        <v>80590</v>
      </c>
      <c r="O25">
        <v>200</v>
      </c>
      <c r="P25">
        <v>900</v>
      </c>
      <c r="Q25">
        <v>80</v>
      </c>
      <c r="R25" s="7">
        <v>3560</v>
      </c>
      <c r="T25" s="7">
        <v>2890</v>
      </c>
      <c r="U25" s="7">
        <v>46400</v>
      </c>
      <c r="V25">
        <v>390</v>
      </c>
    </row>
    <row r="26" spans="1:22" x14ac:dyDescent="0.2">
      <c r="A26" t="s">
        <v>87</v>
      </c>
      <c r="B26" s="7">
        <v>154410</v>
      </c>
      <c r="C26" s="7">
        <v>207220</v>
      </c>
      <c r="D26" s="7">
        <v>16990</v>
      </c>
      <c r="E26" s="7">
        <v>24930</v>
      </c>
      <c r="J26" s="7">
        <v>55830</v>
      </c>
      <c r="K26" s="7">
        <v>102220</v>
      </c>
      <c r="O26">
        <v>260</v>
      </c>
      <c r="P26">
        <v>930</v>
      </c>
      <c r="Q26">
        <v>90</v>
      </c>
      <c r="R26" s="7">
        <v>3920</v>
      </c>
      <c r="T26" s="7">
        <v>2050</v>
      </c>
      <c r="U26" s="7">
        <v>52460</v>
      </c>
      <c r="V26">
        <v>350</v>
      </c>
    </row>
    <row r="27" spans="1:22" x14ac:dyDescent="0.2">
      <c r="A27" t="s">
        <v>88</v>
      </c>
      <c r="B27" s="7">
        <v>176510</v>
      </c>
      <c r="C27" s="7">
        <v>234710</v>
      </c>
      <c r="D27" s="7">
        <v>19280</v>
      </c>
      <c r="E27" s="7">
        <v>25560</v>
      </c>
      <c r="J27" s="7">
        <v>70410</v>
      </c>
      <c r="K27" s="7">
        <v>111510</v>
      </c>
      <c r="O27">
        <v>240</v>
      </c>
      <c r="P27" s="7">
        <v>1080</v>
      </c>
      <c r="Q27">
        <v>110</v>
      </c>
      <c r="R27" s="7">
        <v>4530</v>
      </c>
      <c r="T27" s="7">
        <v>1990</v>
      </c>
      <c r="U27" s="7">
        <v>57770</v>
      </c>
      <c r="V27">
        <v>430</v>
      </c>
    </row>
    <row r="28" spans="1:22" x14ac:dyDescent="0.2">
      <c r="A28" t="s">
        <v>89</v>
      </c>
      <c r="B28" s="7">
        <v>211400</v>
      </c>
      <c r="C28" s="7">
        <v>286700</v>
      </c>
      <c r="D28" s="7">
        <v>25110</v>
      </c>
      <c r="E28" s="7">
        <v>28650</v>
      </c>
      <c r="J28" s="7">
        <v>95260</v>
      </c>
      <c r="K28" s="7">
        <v>129560</v>
      </c>
      <c r="O28">
        <v>220</v>
      </c>
      <c r="P28" s="7">
        <v>1530</v>
      </c>
      <c r="Q28">
        <v>120</v>
      </c>
      <c r="R28" s="7">
        <v>5360</v>
      </c>
      <c r="T28">
        <v>890</v>
      </c>
      <c r="U28" s="7">
        <v>74910</v>
      </c>
      <c r="V28">
        <v>390</v>
      </c>
    </row>
    <row r="29" spans="1:22" x14ac:dyDescent="0.2">
      <c r="A29" t="s">
        <v>90</v>
      </c>
      <c r="B29" s="7">
        <v>243190</v>
      </c>
      <c r="C29" s="7">
        <v>328380</v>
      </c>
      <c r="D29" s="7">
        <v>28790</v>
      </c>
      <c r="E29" s="7">
        <v>31600</v>
      </c>
      <c r="J29" s="7">
        <v>114750</v>
      </c>
      <c r="K29" s="7">
        <v>144700</v>
      </c>
      <c r="O29">
        <v>140</v>
      </c>
      <c r="P29" s="7">
        <v>1740</v>
      </c>
      <c r="Q29">
        <v>90</v>
      </c>
      <c r="R29" s="7">
        <v>6070</v>
      </c>
      <c r="T29">
        <v>500</v>
      </c>
      <c r="U29" s="7">
        <v>84760</v>
      </c>
      <c r="V29">
        <v>430</v>
      </c>
    </row>
    <row r="30" spans="1:22" x14ac:dyDescent="0.2">
      <c r="A30" t="s">
        <v>91</v>
      </c>
      <c r="B30" s="7">
        <v>280150</v>
      </c>
      <c r="C30" s="7">
        <v>376660</v>
      </c>
      <c r="D30" s="7">
        <v>31920</v>
      </c>
      <c r="E30" s="7">
        <v>34330</v>
      </c>
      <c r="J30" s="7">
        <v>137020</v>
      </c>
      <c r="K30" s="7">
        <v>164260</v>
      </c>
      <c r="N30">
        <v>60</v>
      </c>
      <c r="O30">
        <v>80</v>
      </c>
      <c r="P30" s="7">
        <v>1010</v>
      </c>
      <c r="Q30">
        <v>80</v>
      </c>
      <c r="R30" s="7">
        <v>7230</v>
      </c>
      <c r="T30">
        <v>670</v>
      </c>
      <c r="U30" s="7">
        <v>95980</v>
      </c>
      <c r="V30">
        <v>530</v>
      </c>
    </row>
    <row r="31" spans="1:22" x14ac:dyDescent="0.2">
      <c r="A31" t="s">
        <v>92</v>
      </c>
      <c r="B31" s="7">
        <v>337510</v>
      </c>
      <c r="C31" s="7">
        <v>444740</v>
      </c>
      <c r="D31" s="7">
        <v>42410</v>
      </c>
      <c r="E31" s="7">
        <v>44070</v>
      </c>
      <c r="J31" s="7">
        <v>158050</v>
      </c>
      <c r="K31" s="7">
        <v>188410</v>
      </c>
      <c r="N31">
        <v>420</v>
      </c>
      <c r="O31">
        <v>60</v>
      </c>
      <c r="P31" s="7">
        <v>1220</v>
      </c>
      <c r="Q31">
        <v>70</v>
      </c>
      <c r="R31" s="7">
        <v>8810</v>
      </c>
      <c r="T31" s="7">
        <v>1220</v>
      </c>
      <c r="U31" s="7">
        <v>106690</v>
      </c>
      <c r="V31">
        <v>540</v>
      </c>
    </row>
    <row r="32" spans="1:22" x14ac:dyDescent="0.2">
      <c r="A32" t="s">
        <v>93</v>
      </c>
      <c r="B32" s="7">
        <v>383490</v>
      </c>
      <c r="C32" s="7">
        <v>516360</v>
      </c>
      <c r="D32" s="7">
        <v>50100</v>
      </c>
      <c r="E32" s="7">
        <v>47290</v>
      </c>
      <c r="J32" s="7">
        <v>180360</v>
      </c>
      <c r="K32" s="7">
        <v>224060</v>
      </c>
      <c r="N32">
        <v>750</v>
      </c>
      <c r="O32">
        <v>40</v>
      </c>
      <c r="P32" s="7">
        <v>1790</v>
      </c>
      <c r="Q32">
        <v>80</v>
      </c>
      <c r="R32" s="7">
        <v>9690</v>
      </c>
      <c r="T32" s="7">
        <v>2200</v>
      </c>
      <c r="U32" s="7">
        <v>132320</v>
      </c>
      <c r="V32">
        <v>550</v>
      </c>
    </row>
    <row r="33" spans="1:22" x14ac:dyDescent="0.2">
      <c r="A33" t="s">
        <v>94</v>
      </c>
      <c r="B33" s="7">
        <v>429780</v>
      </c>
      <c r="C33" s="7">
        <v>575760</v>
      </c>
      <c r="D33" s="7">
        <v>53710</v>
      </c>
      <c r="E33" s="7">
        <v>53350</v>
      </c>
      <c r="J33" s="7">
        <v>206440</v>
      </c>
      <c r="K33" s="7">
        <v>245140</v>
      </c>
      <c r="M33">
        <v>-10</v>
      </c>
      <c r="N33">
        <v>820</v>
      </c>
      <c r="O33">
        <v>30</v>
      </c>
      <c r="P33" s="7">
        <v>2310</v>
      </c>
      <c r="Q33">
        <v>30</v>
      </c>
      <c r="R33" s="7">
        <v>11180</v>
      </c>
      <c r="T33" s="7">
        <v>2760</v>
      </c>
      <c r="U33" s="7">
        <v>145350</v>
      </c>
      <c r="V33">
        <v>630</v>
      </c>
    </row>
    <row r="34" spans="1:22" x14ac:dyDescent="0.2">
      <c r="A34" t="s">
        <v>95</v>
      </c>
      <c r="B34" s="7">
        <v>500690</v>
      </c>
      <c r="C34" s="7">
        <v>673610</v>
      </c>
      <c r="D34" s="7">
        <v>67310</v>
      </c>
      <c r="E34" s="7">
        <v>78530</v>
      </c>
      <c r="J34" s="7">
        <v>222570</v>
      </c>
      <c r="K34" s="7">
        <v>281100</v>
      </c>
      <c r="M34" s="7">
        <v>3050</v>
      </c>
      <c r="O34">
        <v>30</v>
      </c>
      <c r="P34" s="7">
        <v>3070</v>
      </c>
      <c r="Q34">
        <v>80</v>
      </c>
      <c r="R34" s="7">
        <v>12650</v>
      </c>
      <c r="T34" s="7">
        <v>5220</v>
      </c>
      <c r="U34" s="7">
        <v>171970</v>
      </c>
      <c r="V34">
        <v>950</v>
      </c>
    </row>
    <row r="35" spans="1:22" x14ac:dyDescent="0.2">
      <c r="A35" t="s">
        <v>96</v>
      </c>
      <c r="B35" s="7">
        <v>540440</v>
      </c>
      <c r="C35" s="7">
        <v>746370</v>
      </c>
      <c r="D35" s="7">
        <v>78880</v>
      </c>
      <c r="E35" s="7">
        <v>88990</v>
      </c>
      <c r="J35" s="7">
        <v>237760</v>
      </c>
      <c r="K35" s="7">
        <v>308320</v>
      </c>
      <c r="M35" s="7">
        <v>7160</v>
      </c>
      <c r="N35" s="7">
        <v>1510</v>
      </c>
      <c r="O35">
        <v>10</v>
      </c>
      <c r="P35" s="7">
        <v>4680</v>
      </c>
      <c r="Q35">
        <v>90</v>
      </c>
      <c r="R35" s="7">
        <v>15150</v>
      </c>
      <c r="T35" s="7">
        <v>3820</v>
      </c>
      <c r="U35" s="7">
        <v>205220</v>
      </c>
      <c r="V35">
        <v>710</v>
      </c>
    </row>
    <row r="36" spans="1:22" x14ac:dyDescent="0.2">
      <c r="A36" t="s">
        <v>97</v>
      </c>
      <c r="B36" s="7">
        <v>534490</v>
      </c>
      <c r="C36" s="7">
        <v>757430</v>
      </c>
      <c r="D36" s="7">
        <v>91230</v>
      </c>
      <c r="E36" s="7">
        <v>100600</v>
      </c>
      <c r="J36" s="7">
        <v>221930</v>
      </c>
      <c r="K36" s="7">
        <v>316970</v>
      </c>
      <c r="M36" s="7">
        <v>7270</v>
      </c>
      <c r="N36" s="7">
        <v>2290</v>
      </c>
      <c r="P36" s="7">
        <v>1540</v>
      </c>
      <c r="Q36">
        <v>50</v>
      </c>
      <c r="R36" s="7">
        <v>12010</v>
      </c>
      <c r="T36" s="7">
        <v>3540</v>
      </c>
      <c r="U36" s="7">
        <v>222410</v>
      </c>
      <c r="V36">
        <v>530</v>
      </c>
    </row>
    <row r="37" spans="1:22" x14ac:dyDescent="0.2">
      <c r="A37" t="s">
        <v>98</v>
      </c>
      <c r="B37" s="7">
        <v>674540</v>
      </c>
      <c r="C37" s="7">
        <v>922940</v>
      </c>
      <c r="D37" s="7">
        <v>120250</v>
      </c>
      <c r="E37" s="7">
        <v>138220</v>
      </c>
      <c r="J37" s="7">
        <v>267890</v>
      </c>
      <c r="K37" s="7">
        <v>373470</v>
      </c>
      <c r="L37" s="7">
        <v>4070</v>
      </c>
      <c r="M37" s="7">
        <v>8010</v>
      </c>
      <c r="N37" s="7">
        <v>1970</v>
      </c>
      <c r="O37">
        <v>10</v>
      </c>
      <c r="P37" s="7">
        <v>1050</v>
      </c>
      <c r="Q37">
        <v>150</v>
      </c>
      <c r="R37" s="7">
        <v>2010</v>
      </c>
      <c r="T37" s="7">
        <v>5840</v>
      </c>
      <c r="U37" s="7">
        <v>248400</v>
      </c>
    </row>
    <row r="38" spans="1:22" x14ac:dyDescent="0.2">
      <c r="A38" t="s">
        <v>99</v>
      </c>
      <c r="B38" s="7">
        <v>819390</v>
      </c>
      <c r="C38" s="7">
        <v>1112240</v>
      </c>
      <c r="D38" s="7">
        <v>155920</v>
      </c>
      <c r="E38" s="7">
        <v>164870</v>
      </c>
      <c r="J38" s="7">
        <v>357570</v>
      </c>
      <c r="K38" s="7">
        <v>401870</v>
      </c>
      <c r="L38" s="7">
        <v>8620</v>
      </c>
      <c r="M38" s="7">
        <v>11700</v>
      </c>
      <c r="N38" s="7">
        <v>2280</v>
      </c>
      <c r="O38">
        <v>10</v>
      </c>
      <c r="P38">
        <v>740</v>
      </c>
      <c r="Q38">
        <v>110</v>
      </c>
      <c r="R38" s="7">
        <v>2460</v>
      </c>
      <c r="T38" s="7">
        <v>6090</v>
      </c>
      <c r="U38" s="7">
        <v>292850</v>
      </c>
    </row>
    <row r="39" spans="1:22" x14ac:dyDescent="0.2">
      <c r="A39" t="s">
        <v>100</v>
      </c>
      <c r="B39" s="7">
        <v>937010</v>
      </c>
      <c r="C39" s="7">
        <v>1287620</v>
      </c>
      <c r="D39" s="7">
        <v>182310</v>
      </c>
      <c r="E39" s="7">
        <v>185670</v>
      </c>
      <c r="J39" s="7">
        <v>428510</v>
      </c>
      <c r="K39" s="7">
        <v>450080</v>
      </c>
      <c r="L39" s="7">
        <v>10590</v>
      </c>
      <c r="M39" s="7">
        <v>17120</v>
      </c>
      <c r="N39" s="7">
        <v>2930</v>
      </c>
      <c r="P39">
        <v>780</v>
      </c>
      <c r="Q39">
        <v>100</v>
      </c>
      <c r="R39" s="7">
        <v>2780</v>
      </c>
      <c r="T39" s="7">
        <v>6750</v>
      </c>
      <c r="U39" s="7">
        <v>350610</v>
      </c>
    </row>
    <row r="40" spans="1:22" x14ac:dyDescent="0.2">
      <c r="A40" t="s">
        <v>101</v>
      </c>
      <c r="B40" s="7">
        <v>956720</v>
      </c>
      <c r="C40" s="7">
        <v>1392210</v>
      </c>
      <c r="D40" s="7">
        <v>170970</v>
      </c>
      <c r="E40" s="7">
        <v>200160</v>
      </c>
      <c r="J40" s="7">
        <v>401930</v>
      </c>
      <c r="K40" s="7">
        <v>479620</v>
      </c>
      <c r="L40" s="7">
        <v>15860</v>
      </c>
      <c r="M40" s="7">
        <v>12050</v>
      </c>
      <c r="N40" s="7">
        <v>98340</v>
      </c>
      <c r="P40" s="7">
        <v>1130</v>
      </c>
      <c r="Q40">
        <v>90</v>
      </c>
      <c r="R40" s="7">
        <v>3130</v>
      </c>
      <c r="T40" s="7">
        <v>8920</v>
      </c>
      <c r="U40" s="7">
        <v>435480</v>
      </c>
    </row>
    <row r="41" spans="1:22" x14ac:dyDescent="0.2">
      <c r="A41" t="s">
        <v>102</v>
      </c>
      <c r="B41" s="7">
        <v>1046520</v>
      </c>
      <c r="C41" s="7">
        <v>1437970</v>
      </c>
      <c r="D41" s="7">
        <v>202400</v>
      </c>
      <c r="E41" s="7">
        <v>245290</v>
      </c>
      <c r="J41" s="7">
        <v>406680</v>
      </c>
      <c r="K41" s="7">
        <v>532460</v>
      </c>
      <c r="L41" s="7">
        <v>19570</v>
      </c>
      <c r="M41" s="7">
        <v>12640</v>
      </c>
      <c r="N41" s="7">
        <v>3950</v>
      </c>
      <c r="P41" s="7">
        <v>1620</v>
      </c>
      <c r="Q41">
        <v>100</v>
      </c>
      <c r="R41" s="7">
        <v>3170</v>
      </c>
      <c r="T41" s="7">
        <v>10090</v>
      </c>
      <c r="U41" s="7">
        <v>391450</v>
      </c>
    </row>
    <row r="42" spans="1:22" x14ac:dyDescent="0.2">
      <c r="A42" t="s">
        <v>103</v>
      </c>
      <c r="B42" s="7">
        <v>1282710</v>
      </c>
      <c r="C42" s="7">
        <v>1717520</v>
      </c>
      <c r="D42" s="7">
        <v>256540</v>
      </c>
      <c r="E42" s="7">
        <v>306920</v>
      </c>
      <c r="J42" s="7">
        <v>484200</v>
      </c>
      <c r="K42" s="7">
        <v>619020</v>
      </c>
      <c r="L42" s="7">
        <v>21280</v>
      </c>
      <c r="M42" s="7">
        <v>12110</v>
      </c>
      <c r="N42" s="7">
        <v>2720</v>
      </c>
      <c r="O42">
        <v>-10</v>
      </c>
      <c r="P42" s="7">
        <v>1330</v>
      </c>
      <c r="Q42">
        <v>-30</v>
      </c>
      <c r="R42" s="7">
        <v>3620</v>
      </c>
      <c r="T42" s="7">
        <v>9820</v>
      </c>
      <c r="U42" s="7">
        <v>434810</v>
      </c>
    </row>
    <row r="43" spans="1:22" x14ac:dyDescent="0.2">
      <c r="A43" t="s">
        <v>104</v>
      </c>
      <c r="B43" s="7">
        <v>1366580</v>
      </c>
      <c r="C43" s="7">
        <v>1886030</v>
      </c>
      <c r="D43" s="7">
        <v>317640</v>
      </c>
      <c r="E43" s="7">
        <v>356960</v>
      </c>
      <c r="J43" s="7">
        <v>475420</v>
      </c>
      <c r="K43" s="7">
        <v>685260</v>
      </c>
      <c r="L43" s="7">
        <v>26130</v>
      </c>
      <c r="M43" s="7">
        <v>4150</v>
      </c>
      <c r="N43" s="7">
        <v>2990</v>
      </c>
      <c r="P43" s="7">
        <v>1320</v>
      </c>
      <c r="R43" s="7">
        <v>4830</v>
      </c>
      <c r="T43" s="7">
        <v>11330</v>
      </c>
      <c r="U43" s="7">
        <v>516880</v>
      </c>
      <c r="V43" s="7">
        <v>2570</v>
      </c>
    </row>
    <row r="44" spans="1:22" x14ac:dyDescent="0.2">
      <c r="A44" t="s">
        <v>105</v>
      </c>
      <c r="B44" s="7">
        <v>1335320</v>
      </c>
      <c r="C44" s="7">
        <v>1870600</v>
      </c>
      <c r="D44" s="7">
        <v>320040</v>
      </c>
      <c r="E44" s="7">
        <v>366090</v>
      </c>
      <c r="J44" s="7">
        <v>402680</v>
      </c>
      <c r="K44" s="7">
        <v>725550</v>
      </c>
      <c r="L44" s="7">
        <v>33020</v>
      </c>
      <c r="M44" s="7">
        <v>1890</v>
      </c>
      <c r="N44" s="7">
        <v>2610</v>
      </c>
      <c r="O44">
        <v>10</v>
      </c>
      <c r="P44" s="7">
        <v>1350</v>
      </c>
      <c r="Q44">
        <v>-20</v>
      </c>
      <c r="R44" s="7">
        <v>5450</v>
      </c>
      <c r="T44" s="7">
        <v>11930</v>
      </c>
      <c r="U44" s="7">
        <v>528420</v>
      </c>
      <c r="V44" s="7">
        <v>6860</v>
      </c>
    </row>
    <row r="45" spans="1:22" x14ac:dyDescent="0.2">
      <c r="A45" t="s">
        <v>106</v>
      </c>
      <c r="B45" s="7">
        <v>1585440</v>
      </c>
      <c r="C45" s="7">
        <v>2162660</v>
      </c>
      <c r="D45" s="7">
        <v>368660</v>
      </c>
      <c r="E45" s="7">
        <v>461720</v>
      </c>
      <c r="J45" s="7">
        <v>448520</v>
      </c>
      <c r="K45" s="7">
        <v>823100</v>
      </c>
      <c r="L45" s="7">
        <v>41220</v>
      </c>
      <c r="M45" s="7">
        <v>-2750</v>
      </c>
      <c r="N45" s="7">
        <v>1700</v>
      </c>
      <c r="P45" s="7">
        <v>1540</v>
      </c>
      <c r="Q45">
        <v>-20</v>
      </c>
      <c r="R45" s="7">
        <v>5730</v>
      </c>
      <c r="T45" s="7">
        <v>13240</v>
      </c>
      <c r="U45" s="7">
        <v>561220</v>
      </c>
      <c r="V45" s="7">
        <v>16000</v>
      </c>
    </row>
    <row r="46" spans="1:22" x14ac:dyDescent="0.2">
      <c r="A46" t="s">
        <v>107</v>
      </c>
      <c r="B46" s="7">
        <v>1869820</v>
      </c>
      <c r="C46" s="7">
        <v>2543480</v>
      </c>
      <c r="D46" s="7">
        <v>413870</v>
      </c>
      <c r="E46" s="7">
        <v>635620</v>
      </c>
      <c r="J46" s="7">
        <v>486290</v>
      </c>
      <c r="K46" s="7">
        <v>907740</v>
      </c>
      <c r="L46" s="7">
        <v>78910</v>
      </c>
      <c r="M46">
        <v>-460</v>
      </c>
      <c r="N46">
        <v>500</v>
      </c>
      <c r="P46" s="7">
        <v>1360</v>
      </c>
      <c r="Q46">
        <v>10</v>
      </c>
      <c r="R46" s="7">
        <v>6580</v>
      </c>
      <c r="T46" s="7">
        <v>13060</v>
      </c>
      <c r="U46" s="7">
        <v>657660</v>
      </c>
      <c r="V46" s="7">
        <v>16000</v>
      </c>
    </row>
    <row r="47" spans="1:22" x14ac:dyDescent="0.2">
      <c r="A47" t="s">
        <v>108</v>
      </c>
      <c r="B47" s="7">
        <v>2247980</v>
      </c>
      <c r="C47" s="7">
        <v>3049580</v>
      </c>
      <c r="D47" s="7">
        <v>492680</v>
      </c>
      <c r="E47" s="7">
        <v>826800</v>
      </c>
      <c r="J47" s="7">
        <v>576110</v>
      </c>
      <c r="K47" s="7">
        <v>991250</v>
      </c>
      <c r="L47" s="7">
        <v>142000</v>
      </c>
      <c r="M47">
        <v>500</v>
      </c>
      <c r="N47">
        <v>360</v>
      </c>
      <c r="P47" s="7">
        <v>1450</v>
      </c>
      <c r="Q47">
        <v>20</v>
      </c>
      <c r="R47" s="7">
        <v>8190</v>
      </c>
      <c r="T47" s="7">
        <v>10220</v>
      </c>
      <c r="U47" s="7">
        <v>785950</v>
      </c>
      <c r="V47" s="7">
        <v>15650</v>
      </c>
    </row>
    <row r="48" spans="1:22" x14ac:dyDescent="0.2">
      <c r="A48" t="s">
        <v>109</v>
      </c>
      <c r="B48" s="7">
        <v>2702640</v>
      </c>
      <c r="C48" s="7">
        <v>3674740</v>
      </c>
      <c r="D48" s="7">
        <v>573080</v>
      </c>
      <c r="E48" s="7">
        <v>1012770</v>
      </c>
      <c r="J48" s="7">
        <v>650670</v>
      </c>
      <c r="K48" s="7">
        <v>1112260</v>
      </c>
      <c r="L48" s="7">
        <v>230550</v>
      </c>
      <c r="M48">
        <v>130</v>
      </c>
      <c r="N48">
        <v>310</v>
      </c>
      <c r="O48">
        <v>-10</v>
      </c>
      <c r="P48" s="7">
        <v>2500</v>
      </c>
      <c r="Q48">
        <v>20</v>
      </c>
      <c r="R48" s="7">
        <v>11250</v>
      </c>
      <c r="T48" s="7">
        <v>81210</v>
      </c>
      <c r="U48" s="7">
        <v>943850</v>
      </c>
      <c r="V48" s="7">
        <v>28250</v>
      </c>
    </row>
    <row r="49" spans="1:22" x14ac:dyDescent="0.2">
      <c r="A49" t="s">
        <v>110</v>
      </c>
      <c r="B49" s="7">
        <v>3511820</v>
      </c>
      <c r="C49" s="7">
        <v>4735120</v>
      </c>
      <c r="D49" s="7">
        <v>750930</v>
      </c>
      <c r="E49" s="7">
        <v>1443180</v>
      </c>
      <c r="J49" s="7">
        <v>863270</v>
      </c>
      <c r="K49" s="7">
        <v>1176130</v>
      </c>
      <c r="L49" s="7">
        <v>375980</v>
      </c>
      <c r="M49">
        <v>50</v>
      </c>
      <c r="N49">
        <v>620</v>
      </c>
      <c r="O49">
        <v>20</v>
      </c>
      <c r="P49" s="7">
        <v>2400</v>
      </c>
      <c r="Q49">
        <v>40</v>
      </c>
      <c r="R49" s="7">
        <v>12630</v>
      </c>
      <c r="T49" s="7">
        <v>109870</v>
      </c>
      <c r="U49" s="7">
        <v>1203300</v>
      </c>
      <c r="V49" s="7">
        <v>20000</v>
      </c>
    </row>
    <row r="50" spans="1:22" x14ac:dyDescent="0.2">
      <c r="A50" t="s">
        <v>111</v>
      </c>
      <c r="B50" s="7">
        <v>4395470</v>
      </c>
      <c r="C50" s="7">
        <v>5931470</v>
      </c>
      <c r="D50" s="7">
        <v>1026440</v>
      </c>
      <c r="E50" s="7">
        <v>1929110</v>
      </c>
      <c r="J50" s="7">
        <v>1041190</v>
      </c>
      <c r="K50" s="7">
        <v>1236110</v>
      </c>
      <c r="L50" s="7">
        <v>513010</v>
      </c>
      <c r="M50">
        <v>30</v>
      </c>
      <c r="N50">
        <v>380</v>
      </c>
      <c r="P50" s="7">
        <v>3400</v>
      </c>
      <c r="Q50">
        <v>20</v>
      </c>
      <c r="R50" s="7">
        <v>13240</v>
      </c>
      <c r="T50" s="7">
        <v>168540</v>
      </c>
      <c r="U50" s="7">
        <v>1518000</v>
      </c>
      <c r="V50" s="7">
        <v>18000</v>
      </c>
    </row>
    <row r="51" spans="1:22" x14ac:dyDescent="0.2">
      <c r="A51" t="s">
        <v>112</v>
      </c>
      <c r="B51" s="7">
        <v>4433190</v>
      </c>
      <c r="C51" s="7">
        <v>6052980</v>
      </c>
      <c r="D51" s="7">
        <v>1060460</v>
      </c>
      <c r="E51" s="7">
        <v>2133950</v>
      </c>
      <c r="J51" s="7">
        <v>998790</v>
      </c>
      <c r="K51" s="7">
        <v>1086130</v>
      </c>
      <c r="L51" s="7">
        <v>609410</v>
      </c>
      <c r="M51">
        <v>90</v>
      </c>
      <c r="N51">
        <v>180</v>
      </c>
      <c r="O51">
        <v>10</v>
      </c>
      <c r="P51" s="7">
        <v>3890</v>
      </c>
      <c r="Q51">
        <v>10</v>
      </c>
      <c r="R51" s="7">
        <v>14880</v>
      </c>
      <c r="T51" s="7">
        <v>145190</v>
      </c>
      <c r="U51" s="7">
        <v>1601790</v>
      </c>
      <c r="V51" s="7">
        <v>18000</v>
      </c>
    </row>
    <row r="52" spans="1:22" x14ac:dyDescent="0.2">
      <c r="A52" t="s">
        <v>113</v>
      </c>
      <c r="B52" s="7">
        <v>4565360</v>
      </c>
      <c r="C52" s="7">
        <v>6245280</v>
      </c>
      <c r="D52" s="7">
        <v>1223700</v>
      </c>
      <c r="E52" s="7">
        <v>2447250</v>
      </c>
      <c r="J52" s="7">
        <v>833240</v>
      </c>
      <c r="K52" s="7">
        <v>1031983.8</v>
      </c>
      <c r="L52" s="7">
        <v>584220</v>
      </c>
      <c r="M52">
        <v>40</v>
      </c>
      <c r="N52">
        <v>-620.4</v>
      </c>
      <c r="P52" s="7">
        <v>5051.6000000000004</v>
      </c>
      <c r="Q52">
        <v>9.6999999999999993</v>
      </c>
      <c r="R52" s="7">
        <v>16140</v>
      </c>
      <c r="T52" s="7">
        <v>104269.5</v>
      </c>
      <c r="U52" s="7">
        <v>1648320</v>
      </c>
      <c r="V52" s="7">
        <v>31600</v>
      </c>
    </row>
    <row r="53" spans="1:22" x14ac:dyDescent="0.2">
      <c r="A53" t="s">
        <v>114</v>
      </c>
      <c r="B53" s="7">
        <v>5698690</v>
      </c>
      <c r="C53" s="7">
        <v>7930720</v>
      </c>
      <c r="D53" s="7">
        <v>1390690</v>
      </c>
      <c r="E53" s="7">
        <v>2986880</v>
      </c>
      <c r="J53" s="7">
        <v>1358130</v>
      </c>
      <c r="K53" s="7">
        <v>1377010</v>
      </c>
      <c r="L53" s="7">
        <v>710160</v>
      </c>
      <c r="M53">
        <v>40</v>
      </c>
      <c r="N53">
        <v>290.8</v>
      </c>
      <c r="P53" s="7">
        <v>6870.7</v>
      </c>
      <c r="Q53">
        <v>3.8</v>
      </c>
      <c r="R53" s="7">
        <v>19820</v>
      </c>
      <c r="T53" s="7">
        <v>80830</v>
      </c>
      <c r="U53" s="7">
        <v>2193030</v>
      </c>
      <c r="V53" s="7">
        <v>39000</v>
      </c>
    </row>
    <row r="54" spans="1:22" x14ac:dyDescent="0.2">
      <c r="A54" t="s">
        <v>115</v>
      </c>
      <c r="B54" s="7">
        <v>6297650</v>
      </c>
      <c r="C54" s="7">
        <v>8891770</v>
      </c>
      <c r="D54" s="7">
        <v>1644850</v>
      </c>
      <c r="E54" s="7">
        <v>3228160</v>
      </c>
      <c r="J54" s="7">
        <v>1493280</v>
      </c>
      <c r="K54" s="7">
        <v>1449010</v>
      </c>
      <c r="L54" s="7">
        <v>975090</v>
      </c>
      <c r="M54">
        <v>30</v>
      </c>
      <c r="N54">
        <v>206.8</v>
      </c>
      <c r="P54" s="7">
        <v>7871.5</v>
      </c>
      <c r="Q54">
        <v>9.9</v>
      </c>
      <c r="R54" s="7">
        <v>27850</v>
      </c>
      <c r="T54" s="7">
        <v>65410</v>
      </c>
      <c r="U54" s="7">
        <v>2554140</v>
      </c>
      <c r="V54" s="7">
        <v>39980</v>
      </c>
    </row>
    <row r="55" spans="1:22" x14ac:dyDescent="0.2">
      <c r="A55" t="s">
        <v>116</v>
      </c>
      <c r="B55" s="7">
        <v>7418770</v>
      </c>
      <c r="C55" s="7">
        <v>10362350</v>
      </c>
      <c r="D55" s="7">
        <v>1965120</v>
      </c>
      <c r="E55" s="7">
        <v>3563260</v>
      </c>
      <c r="J55" s="7">
        <v>1653460</v>
      </c>
      <c r="K55" s="7">
        <v>1758450</v>
      </c>
      <c r="L55" s="7">
        <v>1326010</v>
      </c>
      <c r="M55">
        <v>60</v>
      </c>
      <c r="N55">
        <v>149.6</v>
      </c>
      <c r="O55">
        <v>10</v>
      </c>
      <c r="P55" s="7">
        <v>8446.7000000000007</v>
      </c>
      <c r="Q55">
        <v>9.3000000000000007</v>
      </c>
      <c r="R55" s="7">
        <v>30940</v>
      </c>
      <c r="T55" s="7">
        <v>56440</v>
      </c>
      <c r="U55" s="7">
        <v>2915470</v>
      </c>
      <c r="V55" s="7">
        <v>28100</v>
      </c>
    </row>
    <row r="56" spans="1:22" x14ac:dyDescent="0.2">
      <c r="A56" t="s">
        <v>117</v>
      </c>
      <c r="B56" s="7">
        <v>8158540</v>
      </c>
      <c r="C56" s="7">
        <v>11387330</v>
      </c>
      <c r="D56" s="7">
        <v>2378170</v>
      </c>
      <c r="E56" s="7">
        <v>3946780</v>
      </c>
      <c r="J56" s="7">
        <v>1720850</v>
      </c>
      <c r="K56" s="7">
        <v>1694550</v>
      </c>
      <c r="L56" s="7">
        <v>1547780</v>
      </c>
      <c r="M56">
        <v>80</v>
      </c>
      <c r="N56">
        <v>90</v>
      </c>
      <c r="P56" s="7">
        <v>10073.4</v>
      </c>
      <c r="Q56">
        <v>5.3</v>
      </c>
      <c r="R56" s="7">
        <v>31300</v>
      </c>
      <c r="T56" s="7">
        <v>57650</v>
      </c>
      <c r="U56" s="7">
        <v>3182300</v>
      </c>
      <c r="V56" s="7">
        <v>46500</v>
      </c>
    </row>
    <row r="57" spans="1:22" x14ac:dyDescent="0.2">
      <c r="A57" t="s">
        <v>118</v>
      </c>
      <c r="B57" s="7">
        <v>9036150</v>
      </c>
      <c r="C57" s="7">
        <v>12448860</v>
      </c>
      <c r="D57" s="7">
        <v>2583260</v>
      </c>
      <c r="E57" s="7">
        <v>4289250</v>
      </c>
      <c r="J57" s="7">
        <v>1880160</v>
      </c>
      <c r="K57" s="7">
        <v>1881280</v>
      </c>
      <c r="L57" s="7">
        <v>1679690</v>
      </c>
      <c r="M57">
        <v>60</v>
      </c>
      <c r="N57">
        <v>110</v>
      </c>
      <c r="P57" s="7">
        <v>10860</v>
      </c>
      <c r="R57" s="7">
        <v>32040</v>
      </c>
      <c r="T57" s="7">
        <v>92150</v>
      </c>
      <c r="U57" s="7">
        <v>3378080</v>
      </c>
      <c r="V57" s="7">
        <v>34610</v>
      </c>
    </row>
    <row r="58" spans="1:22" x14ac:dyDescent="0.2">
      <c r="A58" t="s">
        <v>119</v>
      </c>
      <c r="B58" s="7">
        <v>9437650</v>
      </c>
      <c r="C58" s="7">
        <v>14556480</v>
      </c>
      <c r="D58" s="7">
        <v>2803225</v>
      </c>
      <c r="E58" s="7">
        <v>4532280</v>
      </c>
      <c r="J58" s="7">
        <v>2103380</v>
      </c>
      <c r="K58" s="7">
        <v>2871485.5</v>
      </c>
      <c r="L58" s="7">
        <v>2114140</v>
      </c>
      <c r="M58">
        <v>53.1</v>
      </c>
      <c r="P58" s="7">
        <v>10790</v>
      </c>
      <c r="R58" s="7">
        <v>38780</v>
      </c>
      <c r="T58" s="7">
        <v>82292.3</v>
      </c>
      <c r="U58" s="7">
        <v>5061930</v>
      </c>
      <c r="V58" s="7">
        <v>56900</v>
      </c>
    </row>
    <row r="59" spans="1:22" x14ac:dyDescent="0.2">
      <c r="A59" t="s">
        <v>120</v>
      </c>
      <c r="B59" s="7">
        <v>11013720</v>
      </c>
      <c r="C59" s="7">
        <v>17158220</v>
      </c>
      <c r="D59" s="7">
        <v>3556676.9</v>
      </c>
      <c r="E59" s="7">
        <v>4849240</v>
      </c>
      <c r="J59" s="7">
        <v>2253700</v>
      </c>
      <c r="K59" s="7">
        <v>3805656.3</v>
      </c>
      <c r="L59" s="7">
        <v>2544990</v>
      </c>
      <c r="M59">
        <v>50</v>
      </c>
      <c r="P59" s="7">
        <v>1851.4</v>
      </c>
      <c r="R59" s="7">
        <v>41460</v>
      </c>
      <c r="T59" s="7">
        <v>104604.9</v>
      </c>
      <c r="U59" s="7">
        <v>6080000</v>
      </c>
      <c r="V59" s="7">
        <v>64500</v>
      </c>
    </row>
    <row r="60" spans="1:22" x14ac:dyDescent="0.2">
      <c r="A60" t="s">
        <v>121</v>
      </c>
      <c r="B60" s="7">
        <v>12424880</v>
      </c>
      <c r="C60" s="7">
        <v>19190080</v>
      </c>
      <c r="D60" s="7">
        <v>4189789.6</v>
      </c>
      <c r="E60" s="7">
        <v>5712020</v>
      </c>
      <c r="F60" s="7">
        <v>4425610</v>
      </c>
      <c r="G60" s="7">
        <v>2032614</v>
      </c>
      <c r="H60" s="7">
        <v>1766884.4</v>
      </c>
      <c r="I60" s="7">
        <v>626115.9</v>
      </c>
      <c r="J60" s="7">
        <v>1290300</v>
      </c>
      <c r="K60" s="7">
        <v>2586422.1</v>
      </c>
      <c r="L60" s="7">
        <v>812280</v>
      </c>
      <c r="M60">
        <v>44.5</v>
      </c>
      <c r="O60">
        <v>10</v>
      </c>
      <c r="P60">
        <v>625.9</v>
      </c>
      <c r="R60" s="7">
        <v>47210</v>
      </c>
      <c r="S60" s="7">
        <v>16351</v>
      </c>
      <c r="T60" s="7">
        <v>125776.9</v>
      </c>
      <c r="U60" s="7">
        <v>6730050</v>
      </c>
      <c r="V60" s="7">
        <v>35150</v>
      </c>
    </row>
    <row r="61" spans="1:22" x14ac:dyDescent="0.2">
      <c r="A61" t="s">
        <v>122</v>
      </c>
      <c r="B61" s="7">
        <v>13172110</v>
      </c>
      <c r="C61" s="7">
        <v>20804650</v>
      </c>
      <c r="D61" s="7">
        <v>4614875.0999999996</v>
      </c>
      <c r="E61" s="7">
        <v>6635720</v>
      </c>
      <c r="F61" s="7">
        <v>5815593</v>
      </c>
      <c r="G61" s="7">
        <v>4575340.0999999996</v>
      </c>
      <c r="H61" s="7">
        <v>289445.8</v>
      </c>
      <c r="I61" s="7">
        <v>950807.1</v>
      </c>
      <c r="J61" s="7">
        <v>1178130</v>
      </c>
      <c r="K61" s="7">
        <v>2310450</v>
      </c>
      <c r="L61" s="7">
        <v>69036.2</v>
      </c>
      <c r="M61">
        <v>31.9</v>
      </c>
      <c r="O61">
        <v>10</v>
      </c>
      <c r="P61">
        <v>400</v>
      </c>
      <c r="R61" s="7">
        <v>55924.2</v>
      </c>
      <c r="S61" s="7">
        <v>27782</v>
      </c>
      <c r="T61" s="7">
        <v>124976.6</v>
      </c>
      <c r="U61" s="7">
        <v>7614540</v>
      </c>
      <c r="V61" s="7">
        <v>18000</v>
      </c>
    </row>
    <row r="62" spans="1:22" x14ac:dyDescent="0.2">
      <c r="A62" t="s">
        <v>123</v>
      </c>
      <c r="B62" s="7">
        <v>13569020</v>
      </c>
      <c r="C62" s="7">
        <v>20100590</v>
      </c>
      <c r="D62" s="7">
        <v>4804114</v>
      </c>
      <c r="E62" s="7">
        <v>5568755.5</v>
      </c>
      <c r="F62" s="7">
        <v>5987490</v>
      </c>
      <c r="G62" s="7">
        <v>4940706</v>
      </c>
      <c r="H62" s="7">
        <v>91252.1</v>
      </c>
      <c r="I62" s="7">
        <v>955530.9</v>
      </c>
      <c r="J62" s="7">
        <v>1092820</v>
      </c>
      <c r="K62" s="7">
        <v>2394520</v>
      </c>
      <c r="L62" s="7">
        <v>60290</v>
      </c>
      <c r="M62">
        <v>20</v>
      </c>
      <c r="P62">
        <v>180</v>
      </c>
      <c r="R62" s="7">
        <v>58350</v>
      </c>
      <c r="S62" s="7">
        <v>30349.8</v>
      </c>
      <c r="T62" s="7">
        <v>134023.1</v>
      </c>
      <c r="U62" s="7">
        <v>6506770</v>
      </c>
      <c r="V62" s="7">
        <v>24800</v>
      </c>
    </row>
    <row r="63" spans="1:22" x14ac:dyDescent="0.2">
      <c r="A63" t="s">
        <v>8</v>
      </c>
      <c r="B63" s="7">
        <v>14262870</v>
      </c>
      <c r="C63" s="7">
        <v>20271040</v>
      </c>
      <c r="D63" s="7">
        <v>4703959.2</v>
      </c>
      <c r="E63" s="7">
        <v>4577189.7</v>
      </c>
      <c r="F63" s="7">
        <v>5487773.0999999996</v>
      </c>
      <c r="G63" s="7">
        <v>4563339.7</v>
      </c>
      <c r="H63" s="7">
        <v>72514.3</v>
      </c>
      <c r="I63" s="7">
        <v>851919.1</v>
      </c>
      <c r="J63" s="7">
        <v>1347503.9</v>
      </c>
      <c r="K63" s="7">
        <v>3896670.8</v>
      </c>
      <c r="L63" s="7">
        <v>16148.4</v>
      </c>
      <c r="N63">
        <v>45.5</v>
      </c>
      <c r="P63">
        <v>118.5</v>
      </c>
      <c r="R63" s="7">
        <v>53363.4</v>
      </c>
      <c r="S63" s="7">
        <v>27642</v>
      </c>
      <c r="T63" s="7">
        <v>188268.9</v>
      </c>
      <c r="U63" s="7">
        <v>5949967.5999999996</v>
      </c>
      <c r="V63" s="7">
        <v>59860</v>
      </c>
    </row>
    <row r="64" spans="1:22" x14ac:dyDescent="0.2">
      <c r="A64" t="s">
        <v>9</v>
      </c>
      <c r="B64" s="7">
        <v>17651450</v>
      </c>
      <c r="C64" s="7">
        <v>25160590</v>
      </c>
      <c r="D64" s="7">
        <v>6150000</v>
      </c>
      <c r="E64" s="7">
        <v>6350000</v>
      </c>
      <c r="F64" s="7">
        <v>6750000</v>
      </c>
      <c r="G64" s="7">
        <v>5700000</v>
      </c>
      <c r="I64" s="7">
        <v>1050000</v>
      </c>
      <c r="J64" s="7">
        <v>1890000</v>
      </c>
      <c r="K64" s="7">
        <v>3940000</v>
      </c>
      <c r="L64" s="7">
        <v>10000</v>
      </c>
      <c r="R64" s="7">
        <v>70592.7</v>
      </c>
      <c r="S64" s="7">
        <v>33271.300000000003</v>
      </c>
      <c r="T64" s="7">
        <v>200000</v>
      </c>
      <c r="U64" s="7">
        <v>7205568.5</v>
      </c>
      <c r="V64" s="7">
        <v>61300</v>
      </c>
    </row>
    <row r="65" spans="1:22" x14ac:dyDescent="0.2">
      <c r="A65" t="s">
        <v>11</v>
      </c>
      <c r="B65" s="7">
        <v>19347710</v>
      </c>
      <c r="C65" s="7">
        <v>27578200</v>
      </c>
      <c r="D65" s="7">
        <v>7000000</v>
      </c>
      <c r="E65" s="7">
        <v>7200000</v>
      </c>
      <c r="F65" s="7">
        <v>7800000</v>
      </c>
      <c r="G65" s="7">
        <v>6600000</v>
      </c>
      <c r="I65" s="7">
        <v>1200000</v>
      </c>
      <c r="J65" s="7">
        <v>2130000</v>
      </c>
      <c r="K65" s="7">
        <v>3350000</v>
      </c>
      <c r="L65" s="7">
        <v>20000</v>
      </c>
      <c r="R65" s="7">
        <v>78201.3</v>
      </c>
      <c r="S65" s="7">
        <v>37056.1</v>
      </c>
      <c r="T65" s="7">
        <v>200000</v>
      </c>
      <c r="U65" s="7">
        <v>8166494.7000000002</v>
      </c>
      <c r="V65" s="7">
        <v>64000</v>
      </c>
    </row>
    <row r="66" spans="1:22" x14ac:dyDescent="0.2">
      <c r="A66" t="s">
        <v>332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081B-51C7-7345-A7E7-2A7109FF10CB}">
  <dimension ref="A1:O59"/>
  <sheetViews>
    <sheetView topLeftCell="N1" workbookViewId="0">
      <pane ySplit="5" topLeftCell="A6" activePane="bottomLeft" state="frozen"/>
      <selection pane="bottomLeft" activeCell="O4" activeCellId="13" sqref="F57 F4 I57 I4 J57 J4 K57 K4 L57 L4 N57 N4 O57 O4"/>
    </sheetView>
  </sheetViews>
  <sheetFormatPr baseColWidth="10" defaultRowHeight="16" x14ac:dyDescent="0.2"/>
  <cols>
    <col min="2" max="2" width="17" bestFit="1" customWidth="1"/>
    <col min="5" max="5" width="19.5" bestFit="1" customWidth="1"/>
    <col min="6" max="10" width="24.1640625" bestFit="1" customWidth="1"/>
    <col min="11" max="11" width="47.6640625" bestFit="1" customWidth="1"/>
    <col min="12" max="12" width="31.5" bestFit="1" customWidth="1"/>
    <col min="13" max="13" width="26.83203125" bestFit="1" customWidth="1"/>
    <col min="14" max="14" width="24.1640625" bestFit="1" customWidth="1"/>
    <col min="15" max="15" width="33.83203125" bestFit="1" customWidth="1"/>
  </cols>
  <sheetData>
    <row r="1" spans="1:15" x14ac:dyDescent="0.2">
      <c r="A1" t="s">
        <v>316</v>
      </c>
    </row>
    <row r="2" spans="1:15" x14ac:dyDescent="0.2">
      <c r="A2" t="s">
        <v>317</v>
      </c>
    </row>
    <row r="3" spans="1:15" x14ac:dyDescent="0.2">
      <c r="A3" t="s">
        <v>46</v>
      </c>
      <c r="B3" t="s">
        <v>306</v>
      </c>
      <c r="C3" t="s">
        <v>318</v>
      </c>
      <c r="D3" t="s">
        <v>319</v>
      </c>
      <c r="E3" t="s">
        <v>320</v>
      </c>
      <c r="F3" t="s">
        <v>321</v>
      </c>
      <c r="G3" t="s">
        <v>321</v>
      </c>
      <c r="H3" t="s">
        <v>321</v>
      </c>
      <c r="I3" t="s">
        <v>321</v>
      </c>
      <c r="J3" t="s">
        <v>321</v>
      </c>
      <c r="K3" t="s">
        <v>321</v>
      </c>
      <c r="L3" t="s">
        <v>321</v>
      </c>
      <c r="M3" t="s">
        <v>321</v>
      </c>
      <c r="N3" t="s">
        <v>321</v>
      </c>
      <c r="O3" t="s">
        <v>321</v>
      </c>
    </row>
    <row r="4" spans="1:15" x14ac:dyDescent="0.2">
      <c r="A4" t="s">
        <v>55</v>
      </c>
      <c r="B4" t="s">
        <v>55</v>
      </c>
      <c r="C4" t="s">
        <v>55</v>
      </c>
      <c r="D4" t="s">
        <v>55</v>
      </c>
      <c r="E4" t="s">
        <v>55</v>
      </c>
      <c r="F4" t="s">
        <v>322</v>
      </c>
      <c r="G4" t="s">
        <v>322</v>
      </c>
      <c r="H4" t="s">
        <v>322</v>
      </c>
      <c r="I4" t="s">
        <v>323</v>
      </c>
      <c r="J4" t="s">
        <v>324</v>
      </c>
      <c r="K4" t="s">
        <v>325</v>
      </c>
      <c r="L4" t="s">
        <v>326</v>
      </c>
      <c r="M4" t="s">
        <v>327</v>
      </c>
      <c r="N4" t="s">
        <v>328</v>
      </c>
      <c r="O4" t="s">
        <v>329</v>
      </c>
    </row>
    <row r="5" spans="1:15" x14ac:dyDescent="0.2">
      <c r="A5" t="s">
        <v>55</v>
      </c>
      <c r="B5" t="s">
        <v>55</v>
      </c>
      <c r="C5" t="s">
        <v>55</v>
      </c>
      <c r="D5" t="s">
        <v>55</v>
      </c>
      <c r="E5" t="s">
        <v>55</v>
      </c>
      <c r="F5" t="s">
        <v>47</v>
      </c>
      <c r="G5" t="s">
        <v>330</v>
      </c>
      <c r="H5" t="s">
        <v>331</v>
      </c>
      <c r="I5" t="s">
        <v>55</v>
      </c>
      <c r="J5" t="s">
        <v>55</v>
      </c>
      <c r="K5" t="s">
        <v>55</v>
      </c>
      <c r="L5" t="s">
        <v>55</v>
      </c>
      <c r="M5" t="s">
        <v>55</v>
      </c>
      <c r="N5" t="s">
        <v>55</v>
      </c>
      <c r="O5" t="s">
        <v>55</v>
      </c>
    </row>
    <row r="6" spans="1:15" x14ac:dyDescent="0.2">
      <c r="A6" t="s">
        <v>74</v>
      </c>
      <c r="B6" s="7">
        <v>14080</v>
      </c>
      <c r="C6" s="7">
        <v>-1630</v>
      </c>
      <c r="E6" s="7">
        <v>8030</v>
      </c>
    </row>
    <row r="7" spans="1:15" x14ac:dyDescent="0.2">
      <c r="A7" t="s">
        <v>75</v>
      </c>
      <c r="B7" s="7">
        <v>17270</v>
      </c>
      <c r="C7" s="7">
        <v>1000</v>
      </c>
      <c r="E7" s="7">
        <v>10570</v>
      </c>
    </row>
    <row r="8" spans="1:15" x14ac:dyDescent="0.2">
      <c r="A8" t="s">
        <v>76</v>
      </c>
      <c r="B8" s="7">
        <v>21790</v>
      </c>
      <c r="C8">
        <v>150</v>
      </c>
      <c r="E8" s="7">
        <v>14030</v>
      </c>
    </row>
    <row r="9" spans="1:15" x14ac:dyDescent="0.2">
      <c r="A9" t="s">
        <v>77</v>
      </c>
      <c r="B9" s="7">
        <v>17330</v>
      </c>
      <c r="C9" s="7">
        <v>-2370</v>
      </c>
      <c r="E9" s="7">
        <v>8510</v>
      </c>
    </row>
    <row r="10" spans="1:15" x14ac:dyDescent="0.2">
      <c r="A10" t="s">
        <v>78</v>
      </c>
      <c r="B10" s="7">
        <v>23020</v>
      </c>
      <c r="C10" s="7">
        <v>-7650</v>
      </c>
      <c r="E10" s="7">
        <v>13010</v>
      </c>
    </row>
    <row r="11" spans="1:15" x14ac:dyDescent="0.2">
      <c r="A11" t="s">
        <v>79</v>
      </c>
      <c r="B11" s="7">
        <v>30290</v>
      </c>
      <c r="C11" s="7">
        <v>-8860</v>
      </c>
      <c r="E11" s="7">
        <v>18020</v>
      </c>
    </row>
    <row r="12" spans="1:15" x14ac:dyDescent="0.2">
      <c r="A12" t="s">
        <v>80</v>
      </c>
      <c r="B12" s="7">
        <v>38020</v>
      </c>
      <c r="C12" s="7">
        <v>-2980</v>
      </c>
      <c r="E12" s="7">
        <v>23140</v>
      </c>
    </row>
    <row r="13" spans="1:15" x14ac:dyDescent="0.2">
      <c r="A13" t="s">
        <v>81</v>
      </c>
      <c r="B13" s="7">
        <v>36800</v>
      </c>
      <c r="C13" s="7">
        <v>-4300</v>
      </c>
      <c r="E13" s="7">
        <v>20340</v>
      </c>
    </row>
    <row r="14" spans="1:15" x14ac:dyDescent="0.2">
      <c r="A14" t="s">
        <v>82</v>
      </c>
      <c r="B14" s="7">
        <v>57100</v>
      </c>
      <c r="C14" s="7">
        <v>-2920</v>
      </c>
      <c r="E14" s="7">
        <v>37260</v>
      </c>
    </row>
    <row r="15" spans="1:15" x14ac:dyDescent="0.2">
      <c r="A15" t="s">
        <v>83</v>
      </c>
      <c r="B15" s="7">
        <v>63920</v>
      </c>
      <c r="C15" s="7">
        <v>6940</v>
      </c>
      <c r="E15" s="7">
        <v>41000</v>
      </c>
      <c r="F15" s="7">
        <v>20010</v>
      </c>
      <c r="G15" s="7">
        <v>22960</v>
      </c>
      <c r="H15" s="7">
        <v>2950</v>
      </c>
      <c r="J15" s="7">
        <v>9230</v>
      </c>
      <c r="K15" s="7">
        <v>8000</v>
      </c>
      <c r="L15" s="7">
        <v>2580</v>
      </c>
      <c r="M15" s="7">
        <v>4600</v>
      </c>
      <c r="N15" s="7">
        <v>-6880</v>
      </c>
      <c r="O15" s="7">
        <v>24330</v>
      </c>
    </row>
    <row r="16" spans="1:15" x14ac:dyDescent="0.2">
      <c r="A16" t="s">
        <v>84</v>
      </c>
      <c r="B16" s="7">
        <v>82990</v>
      </c>
      <c r="C16" s="7">
        <v>20370</v>
      </c>
      <c r="E16" s="7">
        <v>56950</v>
      </c>
      <c r="F16" s="7">
        <v>26790</v>
      </c>
      <c r="G16" s="7">
        <v>29490</v>
      </c>
      <c r="H16" s="7">
        <v>2700</v>
      </c>
      <c r="J16" s="7">
        <v>17170</v>
      </c>
      <c r="K16" s="7">
        <v>4090</v>
      </c>
      <c r="L16" s="7">
        <v>2740</v>
      </c>
      <c r="M16" s="7">
        <v>6030</v>
      </c>
      <c r="N16" s="7">
        <v>-1350</v>
      </c>
      <c r="O16" s="7">
        <v>24760</v>
      </c>
    </row>
    <row r="17" spans="1:15" x14ac:dyDescent="0.2">
      <c r="A17" t="s">
        <v>85</v>
      </c>
      <c r="B17" s="7">
        <v>86660</v>
      </c>
      <c r="C17" s="7">
        <v>3920</v>
      </c>
      <c r="E17" s="7">
        <v>54710</v>
      </c>
      <c r="F17" s="7">
        <v>29130</v>
      </c>
      <c r="G17" s="7">
        <v>31980</v>
      </c>
      <c r="H17" s="7">
        <v>2850</v>
      </c>
      <c r="J17" s="7">
        <v>13580</v>
      </c>
      <c r="K17" s="7">
        <v>5170</v>
      </c>
      <c r="L17" s="7">
        <v>2980</v>
      </c>
      <c r="M17" s="7">
        <v>7700</v>
      </c>
      <c r="N17" s="7">
        <v>9220</v>
      </c>
      <c r="O17" s="7">
        <v>13990</v>
      </c>
    </row>
    <row r="18" spans="1:15" x14ac:dyDescent="0.2">
      <c r="A18" t="s">
        <v>86</v>
      </c>
      <c r="B18" s="7">
        <v>106270</v>
      </c>
      <c r="C18" s="7">
        <v>13080</v>
      </c>
      <c r="E18" s="7">
        <v>66890</v>
      </c>
      <c r="F18" s="7">
        <v>37710</v>
      </c>
      <c r="G18" s="7">
        <v>41370</v>
      </c>
      <c r="H18" s="7">
        <v>3660</v>
      </c>
      <c r="J18" s="7">
        <v>16560</v>
      </c>
      <c r="K18" s="7">
        <v>6190</v>
      </c>
      <c r="L18" s="7">
        <v>5250</v>
      </c>
      <c r="M18" s="7">
        <v>8380</v>
      </c>
      <c r="N18" s="7">
        <v>8560</v>
      </c>
      <c r="O18" s="7">
        <v>16560</v>
      </c>
    </row>
    <row r="19" spans="1:15" x14ac:dyDescent="0.2">
      <c r="A19" t="s">
        <v>87</v>
      </c>
      <c r="B19" s="7">
        <v>130300</v>
      </c>
      <c r="C19" s="7">
        <v>25400</v>
      </c>
      <c r="E19" s="7">
        <v>82350</v>
      </c>
      <c r="F19" s="7">
        <v>40380</v>
      </c>
      <c r="G19" s="7">
        <v>43820</v>
      </c>
      <c r="H19" s="7">
        <v>3440</v>
      </c>
      <c r="J19" s="7">
        <v>13380</v>
      </c>
      <c r="K19" s="7">
        <v>25360</v>
      </c>
      <c r="L19" s="7">
        <v>2280</v>
      </c>
      <c r="M19" s="7">
        <v>10210</v>
      </c>
      <c r="N19" s="7">
        <v>24520</v>
      </c>
      <c r="O19" s="7">
        <v>14170</v>
      </c>
    </row>
    <row r="20" spans="1:15" x14ac:dyDescent="0.2">
      <c r="A20" t="s">
        <v>88</v>
      </c>
      <c r="B20" s="7">
        <v>174160</v>
      </c>
      <c r="C20" s="7">
        <v>42250</v>
      </c>
      <c r="E20" s="7">
        <v>114420</v>
      </c>
      <c r="F20" s="7">
        <v>40950</v>
      </c>
      <c r="G20" s="7">
        <v>45830</v>
      </c>
      <c r="H20" s="7">
        <v>4880</v>
      </c>
      <c r="J20" s="7">
        <v>14520</v>
      </c>
      <c r="K20" s="7">
        <v>37160</v>
      </c>
      <c r="L20" s="7">
        <v>3640</v>
      </c>
      <c r="M20" s="7">
        <v>13150</v>
      </c>
      <c r="N20" s="7">
        <v>27290</v>
      </c>
      <c r="O20" s="7">
        <v>37450</v>
      </c>
    </row>
    <row r="21" spans="1:15" x14ac:dyDescent="0.2">
      <c r="A21" t="s">
        <v>89</v>
      </c>
      <c r="B21" s="7">
        <v>218580</v>
      </c>
      <c r="C21" s="7">
        <v>58890</v>
      </c>
      <c r="E21" s="7">
        <v>143450</v>
      </c>
      <c r="F21" s="7">
        <v>48840</v>
      </c>
      <c r="G21" s="7">
        <v>55430</v>
      </c>
      <c r="H21" s="7">
        <v>6590</v>
      </c>
      <c r="J21" s="7">
        <v>14490</v>
      </c>
      <c r="K21" s="7">
        <v>43690</v>
      </c>
      <c r="L21" s="7">
        <v>4190</v>
      </c>
      <c r="M21" s="7">
        <v>10010</v>
      </c>
      <c r="N21" s="7">
        <v>44200</v>
      </c>
      <c r="O21" s="7">
        <v>53160</v>
      </c>
    </row>
    <row r="22" spans="1:15" x14ac:dyDescent="0.2">
      <c r="A22" t="s">
        <v>90</v>
      </c>
      <c r="B22" s="7">
        <v>263420</v>
      </c>
      <c r="C22" s="7">
        <v>77770</v>
      </c>
      <c r="E22" s="7">
        <v>170960</v>
      </c>
      <c r="F22" s="7">
        <v>55320</v>
      </c>
      <c r="G22" s="7">
        <v>65700</v>
      </c>
      <c r="H22" s="7">
        <v>10380</v>
      </c>
      <c r="J22" s="7">
        <v>20240</v>
      </c>
      <c r="K22" s="7">
        <v>34110</v>
      </c>
      <c r="L22" s="7">
        <v>7670</v>
      </c>
      <c r="M22" s="7">
        <v>39130</v>
      </c>
      <c r="N22" s="7">
        <v>24340</v>
      </c>
      <c r="O22" s="7">
        <v>82610</v>
      </c>
    </row>
    <row r="23" spans="1:15" x14ac:dyDescent="0.2">
      <c r="A23" t="s">
        <v>91</v>
      </c>
      <c r="B23" s="7">
        <v>270440</v>
      </c>
      <c r="C23" s="7">
        <v>91370</v>
      </c>
      <c r="E23" s="7">
        <v>157930</v>
      </c>
      <c r="F23" s="7">
        <v>58620</v>
      </c>
      <c r="G23" s="7">
        <v>66840</v>
      </c>
      <c r="H23" s="7">
        <v>8220</v>
      </c>
      <c r="J23" s="7">
        <v>28930</v>
      </c>
      <c r="K23" s="7">
        <v>39110</v>
      </c>
      <c r="L23" s="7">
        <v>8930</v>
      </c>
      <c r="M23" s="7">
        <v>43810</v>
      </c>
      <c r="N23" s="7">
        <v>32880</v>
      </c>
      <c r="O23" s="7">
        <v>58160</v>
      </c>
    </row>
    <row r="24" spans="1:15" x14ac:dyDescent="0.2">
      <c r="A24" t="s">
        <v>92</v>
      </c>
      <c r="B24" s="7">
        <v>309230</v>
      </c>
      <c r="C24" s="7">
        <v>105150</v>
      </c>
      <c r="E24" s="7">
        <v>166450</v>
      </c>
      <c r="F24" s="7">
        <v>84180</v>
      </c>
      <c r="G24" s="7">
        <v>88940</v>
      </c>
      <c r="H24" s="7">
        <v>4760</v>
      </c>
      <c r="J24" s="7">
        <v>24600</v>
      </c>
      <c r="K24" s="7">
        <v>58350</v>
      </c>
      <c r="L24" s="7">
        <v>9610</v>
      </c>
      <c r="M24" s="7">
        <v>61510</v>
      </c>
      <c r="N24" s="7">
        <v>14560</v>
      </c>
      <c r="O24" s="7">
        <v>56420</v>
      </c>
    </row>
    <row r="25" spans="1:15" x14ac:dyDescent="0.2">
      <c r="A25" t="s">
        <v>93</v>
      </c>
      <c r="B25" s="7">
        <v>356320</v>
      </c>
      <c r="C25" s="7">
        <v>119140</v>
      </c>
      <c r="E25" s="7">
        <v>178750</v>
      </c>
      <c r="F25" s="7">
        <v>74040</v>
      </c>
      <c r="G25" s="7">
        <v>80440</v>
      </c>
      <c r="H25" s="7">
        <v>6400</v>
      </c>
      <c r="J25" s="7">
        <v>25950</v>
      </c>
      <c r="K25" s="7">
        <v>85750</v>
      </c>
      <c r="L25" s="7">
        <v>11160</v>
      </c>
      <c r="M25" s="7">
        <v>79700</v>
      </c>
      <c r="N25" s="7">
        <v>-26200</v>
      </c>
      <c r="O25" s="7">
        <v>105920</v>
      </c>
    </row>
    <row r="26" spans="1:15" x14ac:dyDescent="0.2">
      <c r="A26" t="s">
        <v>94</v>
      </c>
      <c r="B26" s="7">
        <v>446320</v>
      </c>
      <c r="C26" s="7">
        <v>185620</v>
      </c>
      <c r="E26" s="7">
        <v>231340</v>
      </c>
      <c r="F26" s="7">
        <v>80010</v>
      </c>
      <c r="G26" s="7">
        <v>89880</v>
      </c>
      <c r="H26" s="7">
        <v>9870</v>
      </c>
      <c r="J26" s="7">
        <v>31810</v>
      </c>
      <c r="K26" s="7">
        <v>91040</v>
      </c>
      <c r="L26" s="7">
        <v>12210</v>
      </c>
      <c r="M26" s="7">
        <v>77160</v>
      </c>
      <c r="N26" s="7">
        <v>40620</v>
      </c>
      <c r="O26" s="7">
        <v>113470</v>
      </c>
    </row>
    <row r="27" spans="1:15" x14ac:dyDescent="0.2">
      <c r="A27" t="s">
        <v>95</v>
      </c>
      <c r="B27" s="7">
        <v>363250</v>
      </c>
      <c r="C27" s="7">
        <v>162610</v>
      </c>
      <c r="E27" s="7">
        <v>97290</v>
      </c>
      <c r="F27" s="7">
        <v>75100</v>
      </c>
      <c r="G27" s="7">
        <v>89210</v>
      </c>
      <c r="H27" s="7">
        <v>14110</v>
      </c>
      <c r="J27" s="7">
        <v>54210</v>
      </c>
      <c r="K27" s="7">
        <v>66400</v>
      </c>
      <c r="L27" s="7">
        <v>12860</v>
      </c>
      <c r="M27" s="7">
        <v>66700</v>
      </c>
      <c r="N27" s="7">
        <v>19420</v>
      </c>
      <c r="O27" s="7">
        <v>68560</v>
      </c>
    </row>
    <row r="28" spans="1:15" x14ac:dyDescent="0.2">
      <c r="A28" t="s">
        <v>96</v>
      </c>
      <c r="B28" s="7">
        <v>401730</v>
      </c>
      <c r="C28" s="7">
        <v>185740</v>
      </c>
      <c r="E28" s="7">
        <v>90980</v>
      </c>
      <c r="F28" s="7">
        <v>36760</v>
      </c>
      <c r="G28" s="7">
        <v>48210</v>
      </c>
      <c r="H28" s="7">
        <v>11450</v>
      </c>
      <c r="J28" s="7">
        <v>53190</v>
      </c>
      <c r="K28" s="7">
        <v>57170</v>
      </c>
      <c r="L28" s="7">
        <v>16110</v>
      </c>
      <c r="M28" s="7">
        <v>71440</v>
      </c>
      <c r="N28" s="7">
        <v>43950</v>
      </c>
      <c r="O28" s="7">
        <v>123120</v>
      </c>
    </row>
    <row r="29" spans="1:15" x14ac:dyDescent="0.2">
      <c r="A29" t="s">
        <v>97</v>
      </c>
      <c r="B29" s="7">
        <v>602570</v>
      </c>
      <c r="C29" s="7">
        <v>327160</v>
      </c>
      <c r="E29" s="7">
        <v>235160</v>
      </c>
      <c r="F29" s="7">
        <v>289280</v>
      </c>
      <c r="G29" s="7">
        <v>300650</v>
      </c>
      <c r="H29" s="7">
        <v>11370</v>
      </c>
      <c r="J29" s="7">
        <v>50740</v>
      </c>
      <c r="K29" s="7">
        <v>91000</v>
      </c>
      <c r="L29" s="7">
        <v>17900</v>
      </c>
      <c r="M29" s="7">
        <v>75680</v>
      </c>
      <c r="N29" s="7">
        <v>-31630</v>
      </c>
      <c r="O29" s="7">
        <v>109600</v>
      </c>
    </row>
    <row r="30" spans="1:15" x14ac:dyDescent="0.2">
      <c r="A30" t="s">
        <v>98</v>
      </c>
      <c r="B30" s="7">
        <v>577030</v>
      </c>
      <c r="C30" s="7">
        <v>310290</v>
      </c>
      <c r="E30" s="7">
        <v>136430</v>
      </c>
      <c r="F30" s="7">
        <v>203260</v>
      </c>
      <c r="G30" s="7">
        <v>212500</v>
      </c>
      <c r="H30" s="7">
        <v>9240</v>
      </c>
      <c r="J30" s="7">
        <v>35820</v>
      </c>
      <c r="K30" s="7">
        <v>165780</v>
      </c>
      <c r="L30" s="7">
        <v>20030</v>
      </c>
      <c r="M30" s="7">
        <v>82620</v>
      </c>
      <c r="N30" s="7">
        <v>65210</v>
      </c>
      <c r="O30" s="7">
        <v>9610</v>
      </c>
    </row>
    <row r="31" spans="1:15" x14ac:dyDescent="0.2">
      <c r="A31" t="s">
        <v>99</v>
      </c>
      <c r="B31" s="7">
        <v>602430</v>
      </c>
      <c r="C31" s="7">
        <v>297310</v>
      </c>
      <c r="E31" s="7">
        <v>101980</v>
      </c>
      <c r="F31" s="7">
        <v>330870</v>
      </c>
      <c r="G31" s="7">
        <v>386340</v>
      </c>
      <c r="H31" s="7">
        <v>55470</v>
      </c>
      <c r="J31" s="7">
        <v>3180</v>
      </c>
      <c r="K31" s="7">
        <v>127610</v>
      </c>
      <c r="L31" s="7">
        <v>22610</v>
      </c>
      <c r="M31" s="7">
        <v>52950</v>
      </c>
      <c r="N31" s="7">
        <v>-22510</v>
      </c>
      <c r="O31" s="7">
        <v>98070</v>
      </c>
    </row>
    <row r="32" spans="1:15" x14ac:dyDescent="0.2">
      <c r="A32" t="s">
        <v>100</v>
      </c>
      <c r="B32" s="7">
        <v>667330</v>
      </c>
      <c r="C32" s="7">
        <v>326540</v>
      </c>
      <c r="E32" s="7">
        <v>72550</v>
      </c>
      <c r="F32" s="7">
        <v>200120</v>
      </c>
      <c r="G32" s="7">
        <v>279110</v>
      </c>
      <c r="H32" s="7">
        <v>78990</v>
      </c>
      <c r="J32" s="7">
        <v>29870</v>
      </c>
      <c r="K32" s="7">
        <v>152560</v>
      </c>
      <c r="L32" s="7">
        <v>23350</v>
      </c>
      <c r="M32" s="7">
        <v>61620</v>
      </c>
      <c r="N32" s="7">
        <v>68720</v>
      </c>
      <c r="O32" s="7">
        <v>131840</v>
      </c>
    </row>
    <row r="33" spans="1:15" x14ac:dyDescent="0.2">
      <c r="A33" t="s">
        <v>101</v>
      </c>
      <c r="B33" s="7">
        <v>889370</v>
      </c>
      <c r="C33" s="7">
        <v>464490</v>
      </c>
      <c r="E33" s="7">
        <v>233000</v>
      </c>
      <c r="F33" s="7">
        <v>324990</v>
      </c>
      <c r="G33" s="7">
        <v>433900</v>
      </c>
      <c r="H33" s="7">
        <v>108910</v>
      </c>
      <c r="J33" s="7">
        <v>10910</v>
      </c>
      <c r="K33" s="7">
        <v>244970</v>
      </c>
      <c r="L33" s="7">
        <v>43830</v>
      </c>
      <c r="M33" s="7">
        <v>79050</v>
      </c>
      <c r="N33" s="7">
        <v>194720</v>
      </c>
      <c r="O33" s="7">
        <v>-9100</v>
      </c>
    </row>
    <row r="34" spans="1:15" x14ac:dyDescent="0.2">
      <c r="A34" t="s">
        <v>102</v>
      </c>
      <c r="B34" s="7">
        <v>1133480</v>
      </c>
      <c r="C34" s="7">
        <v>669760</v>
      </c>
      <c r="E34" s="7">
        <v>354660</v>
      </c>
      <c r="F34" s="7">
        <v>689880</v>
      </c>
      <c r="G34" s="7">
        <v>837530</v>
      </c>
      <c r="H34" s="7">
        <v>147650</v>
      </c>
      <c r="J34" s="7">
        <v>19200</v>
      </c>
      <c r="K34" s="7">
        <v>330350</v>
      </c>
      <c r="L34" s="7">
        <v>57370</v>
      </c>
      <c r="M34" s="7">
        <v>81300</v>
      </c>
      <c r="N34" s="7">
        <v>-42530</v>
      </c>
      <c r="O34" s="7">
        <v>-2090</v>
      </c>
    </row>
    <row r="35" spans="1:15" x14ac:dyDescent="0.2">
      <c r="A35" t="s">
        <v>103</v>
      </c>
      <c r="B35" s="7">
        <v>1047170</v>
      </c>
      <c r="C35" s="7">
        <v>675960</v>
      </c>
      <c r="E35" s="7">
        <v>144680</v>
      </c>
      <c r="F35" s="7">
        <v>702770</v>
      </c>
      <c r="G35" s="7">
        <v>866080</v>
      </c>
      <c r="H35" s="7">
        <v>163310</v>
      </c>
      <c r="J35" s="7">
        <v>11800</v>
      </c>
      <c r="K35" s="7">
        <v>89790</v>
      </c>
      <c r="L35" s="7">
        <v>65790</v>
      </c>
      <c r="M35" s="7">
        <v>65260</v>
      </c>
      <c r="N35" s="7">
        <v>103110</v>
      </c>
      <c r="O35" s="7">
        <v>8640</v>
      </c>
    </row>
    <row r="36" spans="1:15" x14ac:dyDescent="0.2">
      <c r="A36" t="s">
        <v>104</v>
      </c>
      <c r="B36" s="7">
        <v>1188160</v>
      </c>
      <c r="C36" s="7">
        <v>852340</v>
      </c>
      <c r="E36" s="7">
        <v>195020</v>
      </c>
      <c r="F36" s="7">
        <v>729310</v>
      </c>
      <c r="G36" s="7">
        <v>1002060</v>
      </c>
      <c r="H36" s="7">
        <v>272750</v>
      </c>
      <c r="J36" s="7">
        <v>75050</v>
      </c>
      <c r="K36" s="7">
        <v>83160</v>
      </c>
      <c r="L36" s="7">
        <v>49220</v>
      </c>
      <c r="M36" s="7">
        <v>84520</v>
      </c>
      <c r="N36" s="7">
        <v>178870</v>
      </c>
      <c r="O36" s="7">
        <v>-11970</v>
      </c>
    </row>
    <row r="37" spans="1:15" x14ac:dyDescent="0.2">
      <c r="A37" t="s">
        <v>105</v>
      </c>
      <c r="B37" s="7">
        <v>1409550</v>
      </c>
      <c r="C37" s="7">
        <v>1001620</v>
      </c>
      <c r="E37" s="7">
        <v>334950</v>
      </c>
      <c r="F37" s="7">
        <v>877240</v>
      </c>
      <c r="G37" s="7">
        <v>1142130</v>
      </c>
      <c r="H37" s="7">
        <v>264890</v>
      </c>
      <c r="J37" s="7">
        <v>56010</v>
      </c>
      <c r="K37" s="7">
        <v>87550</v>
      </c>
      <c r="L37" s="7">
        <v>41730</v>
      </c>
      <c r="M37" s="7">
        <v>80700</v>
      </c>
      <c r="N37" s="7">
        <v>281280</v>
      </c>
      <c r="O37" s="7">
        <v>-14960</v>
      </c>
    </row>
    <row r="38" spans="1:15" x14ac:dyDescent="0.2">
      <c r="A38" t="s">
        <v>106</v>
      </c>
      <c r="B38" s="7">
        <v>1450720</v>
      </c>
      <c r="C38" s="7">
        <v>1078800</v>
      </c>
      <c r="E38" s="7">
        <v>272680</v>
      </c>
      <c r="F38" s="7">
        <v>975880</v>
      </c>
      <c r="G38" s="7">
        <v>1250000</v>
      </c>
      <c r="H38" s="7">
        <v>274120</v>
      </c>
      <c r="J38" s="7">
        <v>-119340</v>
      </c>
      <c r="L38" s="7">
        <v>46210</v>
      </c>
      <c r="M38" s="7">
        <v>93260</v>
      </c>
      <c r="N38" s="7">
        <v>435880</v>
      </c>
      <c r="O38" s="7">
        <v>18830</v>
      </c>
    </row>
    <row r="39" spans="1:15" x14ac:dyDescent="0.2">
      <c r="A39" t="s">
        <v>107</v>
      </c>
      <c r="B39" s="7">
        <v>1232730</v>
      </c>
      <c r="C39" s="7">
        <v>982610</v>
      </c>
      <c r="E39" s="7">
        <v>-8150</v>
      </c>
      <c r="F39" s="7">
        <v>888600</v>
      </c>
      <c r="G39" s="7">
        <v>1359340</v>
      </c>
      <c r="H39" s="7">
        <v>470740</v>
      </c>
      <c r="J39" s="7">
        <v>-134880</v>
      </c>
      <c r="L39" s="7">
        <v>48920</v>
      </c>
      <c r="M39" s="7">
        <v>1100</v>
      </c>
      <c r="N39" s="7">
        <v>468410</v>
      </c>
      <c r="O39" s="7">
        <v>-39420</v>
      </c>
    </row>
    <row r="40" spans="1:15" x14ac:dyDescent="0.2">
      <c r="A40" t="s">
        <v>108</v>
      </c>
      <c r="B40" s="7">
        <v>1257940</v>
      </c>
      <c r="C40" s="7">
        <v>783380</v>
      </c>
      <c r="E40" s="7">
        <v>-11400</v>
      </c>
      <c r="F40" s="7">
        <v>460310</v>
      </c>
      <c r="G40" s="7">
        <v>803500</v>
      </c>
      <c r="H40" s="7">
        <v>343190</v>
      </c>
      <c r="J40" s="7">
        <v>147530</v>
      </c>
      <c r="L40" s="7">
        <v>53100</v>
      </c>
      <c r="M40" s="7">
        <v>-57500</v>
      </c>
      <c r="N40" s="7">
        <v>735800</v>
      </c>
      <c r="O40" s="7">
        <v>-81300</v>
      </c>
    </row>
    <row r="41" spans="1:15" x14ac:dyDescent="0.2">
      <c r="A41" t="s">
        <v>109</v>
      </c>
      <c r="B41" s="7">
        <v>1464350</v>
      </c>
      <c r="C41" s="7">
        <v>923000</v>
      </c>
      <c r="E41" s="7">
        <v>138050</v>
      </c>
      <c r="F41" s="7">
        <v>953740</v>
      </c>
      <c r="G41" s="7">
        <v>1310000</v>
      </c>
      <c r="H41" s="7">
        <v>356260</v>
      </c>
      <c r="J41" s="7">
        <v>74720</v>
      </c>
      <c r="L41" s="7">
        <v>55450</v>
      </c>
      <c r="M41" s="7">
        <v>4870</v>
      </c>
      <c r="N41" s="7">
        <v>584450</v>
      </c>
      <c r="O41" s="7">
        <v>-208880</v>
      </c>
    </row>
    <row r="42" spans="1:15" x14ac:dyDescent="0.2">
      <c r="A42" t="s">
        <v>110</v>
      </c>
      <c r="B42" s="7">
        <v>1425730</v>
      </c>
      <c r="C42" s="7">
        <v>802220</v>
      </c>
      <c r="E42" s="7">
        <v>-76990</v>
      </c>
      <c r="F42" s="7">
        <v>1104460</v>
      </c>
      <c r="G42" s="7">
        <v>1460000</v>
      </c>
      <c r="H42" s="7">
        <v>355540</v>
      </c>
      <c r="J42" s="7">
        <v>84720</v>
      </c>
      <c r="L42" s="7">
        <v>51780</v>
      </c>
      <c r="N42" s="7">
        <v>139590</v>
      </c>
      <c r="O42" s="7">
        <v>45170</v>
      </c>
    </row>
    <row r="43" spans="1:15" x14ac:dyDescent="0.2">
      <c r="A43" t="s">
        <v>111</v>
      </c>
      <c r="B43" s="7">
        <v>1269120</v>
      </c>
      <c r="C43" s="7">
        <v>525690</v>
      </c>
      <c r="E43" s="7">
        <v>-441180</v>
      </c>
      <c r="F43" s="7">
        <v>1317680</v>
      </c>
      <c r="G43" s="7">
        <v>1681010</v>
      </c>
      <c r="H43" s="7">
        <v>363330</v>
      </c>
      <c r="J43" s="7">
        <v>93150</v>
      </c>
      <c r="K43" s="7">
        <v>-113020</v>
      </c>
      <c r="L43" s="7">
        <v>38970</v>
      </c>
      <c r="N43" s="7">
        <v>204050</v>
      </c>
      <c r="O43" s="7">
        <v>-271710</v>
      </c>
    </row>
    <row r="44" spans="1:15" x14ac:dyDescent="0.2">
      <c r="A44" t="s">
        <v>112</v>
      </c>
      <c r="B44" s="7">
        <v>3369920</v>
      </c>
      <c r="C44" s="7">
        <v>2535390</v>
      </c>
      <c r="E44" s="7">
        <v>1447880</v>
      </c>
      <c r="F44" s="7">
        <v>2336300</v>
      </c>
      <c r="G44" s="7">
        <v>2730000</v>
      </c>
      <c r="H44" s="7">
        <v>393700</v>
      </c>
      <c r="J44" s="7">
        <v>110150</v>
      </c>
      <c r="K44" s="7">
        <v>-13020</v>
      </c>
      <c r="L44" s="7">
        <v>80410</v>
      </c>
      <c r="N44" s="7">
        <v>417740</v>
      </c>
      <c r="O44" s="7">
        <v>438340</v>
      </c>
    </row>
    <row r="45" spans="1:15" x14ac:dyDescent="0.2">
      <c r="A45" t="s">
        <v>113</v>
      </c>
      <c r="B45" s="7">
        <v>4184820</v>
      </c>
      <c r="C45" s="7">
        <v>3389980</v>
      </c>
      <c r="E45" s="7">
        <v>2053890</v>
      </c>
      <c r="F45" s="7">
        <v>3984240</v>
      </c>
      <c r="G45" s="7">
        <v>4510000</v>
      </c>
      <c r="H45" s="7">
        <v>525760</v>
      </c>
      <c r="I45" s="7">
        <v>-97690</v>
      </c>
      <c r="J45" s="7">
        <v>110380</v>
      </c>
      <c r="K45" s="7">
        <v>132560</v>
      </c>
      <c r="L45" s="7">
        <v>160560</v>
      </c>
      <c r="N45" s="7">
        <v>-91360</v>
      </c>
      <c r="O45" s="7">
        <v>-13860</v>
      </c>
    </row>
    <row r="46" spans="1:15" x14ac:dyDescent="0.2">
      <c r="A46" t="s">
        <v>114</v>
      </c>
      <c r="B46" s="7">
        <v>3735920</v>
      </c>
      <c r="C46" s="7">
        <v>2522520</v>
      </c>
      <c r="D46" s="7">
        <v>1647650</v>
      </c>
      <c r="E46" s="7">
        <v>1395690</v>
      </c>
      <c r="F46" s="7">
        <v>3254140</v>
      </c>
      <c r="G46" s="7">
        <v>4370000</v>
      </c>
      <c r="H46" s="7">
        <v>1115860</v>
      </c>
      <c r="I46" s="7">
        <v>3331740</v>
      </c>
      <c r="J46" s="7">
        <v>235560</v>
      </c>
      <c r="K46" s="7">
        <v>112330</v>
      </c>
      <c r="L46" s="7">
        <v>125140</v>
      </c>
      <c r="N46" s="7">
        <v>-3387290</v>
      </c>
      <c r="O46" s="7">
        <v>64300</v>
      </c>
    </row>
    <row r="47" spans="1:15" x14ac:dyDescent="0.2">
      <c r="A47" t="s">
        <v>115</v>
      </c>
      <c r="B47" s="7">
        <v>5159900</v>
      </c>
      <c r="C47" s="7">
        <v>3943480</v>
      </c>
      <c r="D47" s="7">
        <v>2617660</v>
      </c>
      <c r="E47" s="7">
        <v>2428400</v>
      </c>
      <c r="F47" s="7">
        <v>4362110</v>
      </c>
      <c r="G47" s="7">
        <v>5097960</v>
      </c>
      <c r="H47" s="7">
        <v>735850</v>
      </c>
      <c r="I47" s="7">
        <v>1268660</v>
      </c>
      <c r="J47" s="7">
        <v>124480</v>
      </c>
      <c r="K47" s="7">
        <v>-103020</v>
      </c>
      <c r="L47" s="7">
        <v>108040</v>
      </c>
      <c r="N47" s="7">
        <v>-440470</v>
      </c>
      <c r="O47" s="7">
        <v>-159900</v>
      </c>
    </row>
    <row r="48" spans="1:15" x14ac:dyDescent="0.2">
      <c r="A48" t="s">
        <v>116</v>
      </c>
      <c r="B48" s="7">
        <v>4901900</v>
      </c>
      <c r="C48" s="7">
        <v>3642820</v>
      </c>
      <c r="D48" s="7">
        <v>2485720</v>
      </c>
      <c r="E48" s="7">
        <v>1770200</v>
      </c>
      <c r="F48" s="7">
        <v>4673560</v>
      </c>
      <c r="G48" s="7">
        <v>5580000</v>
      </c>
      <c r="H48" s="7">
        <v>906440</v>
      </c>
      <c r="I48" s="7">
        <v>533500</v>
      </c>
      <c r="J48" s="7">
        <v>72010</v>
      </c>
      <c r="K48" s="7">
        <v>86260</v>
      </c>
      <c r="L48" s="7">
        <v>109200</v>
      </c>
      <c r="N48" s="7">
        <v>-62510</v>
      </c>
      <c r="O48" s="7">
        <v>-510120</v>
      </c>
    </row>
    <row r="49" spans="1:15" x14ac:dyDescent="0.2">
      <c r="A49" t="s">
        <v>117</v>
      </c>
      <c r="B49" s="7">
        <v>5028580</v>
      </c>
      <c r="C49" s="7">
        <v>3570480</v>
      </c>
      <c r="D49" s="7">
        <v>2276300</v>
      </c>
      <c r="E49" s="7">
        <v>1286040</v>
      </c>
      <c r="F49" s="7">
        <v>4535500</v>
      </c>
      <c r="G49" s="7">
        <v>5641470</v>
      </c>
      <c r="H49" s="7">
        <v>1105970</v>
      </c>
      <c r="I49" s="7">
        <v>77290</v>
      </c>
      <c r="J49" s="7">
        <v>72920</v>
      </c>
      <c r="K49" s="7">
        <v>123570</v>
      </c>
      <c r="L49" s="7">
        <v>97530</v>
      </c>
      <c r="N49" s="7">
        <v>313480</v>
      </c>
      <c r="O49" s="7">
        <v>-191710</v>
      </c>
    </row>
    <row r="50" spans="1:15" x14ac:dyDescent="0.2">
      <c r="A50" t="s">
        <v>118</v>
      </c>
      <c r="B50" s="7">
        <v>5107250</v>
      </c>
      <c r="C50" s="7">
        <v>3655190</v>
      </c>
      <c r="D50" s="7">
        <v>2347590</v>
      </c>
      <c r="E50" s="7">
        <v>1082810</v>
      </c>
      <c r="F50" s="7">
        <v>4451380</v>
      </c>
      <c r="G50" s="7">
        <v>5903450</v>
      </c>
      <c r="H50" s="7">
        <v>1452080</v>
      </c>
      <c r="I50" s="7">
        <v>91790</v>
      </c>
      <c r="J50" s="7">
        <v>129330</v>
      </c>
      <c r="K50" s="7">
        <v>322260</v>
      </c>
      <c r="L50" s="7">
        <v>119200</v>
      </c>
      <c r="N50" s="7">
        <v>-784220</v>
      </c>
      <c r="O50" s="7">
        <v>778440</v>
      </c>
    </row>
    <row r="51" spans="1:15" x14ac:dyDescent="0.2">
      <c r="A51" t="s">
        <v>119</v>
      </c>
      <c r="B51" s="7">
        <v>5327920</v>
      </c>
      <c r="C51" s="7">
        <v>3427360</v>
      </c>
      <c r="D51" s="7">
        <v>2109820</v>
      </c>
      <c r="E51" s="7">
        <v>911330</v>
      </c>
      <c r="F51" s="7">
        <v>4040500</v>
      </c>
      <c r="G51" s="7">
        <v>6233000</v>
      </c>
      <c r="H51" s="7">
        <v>2192500</v>
      </c>
      <c r="I51" s="7">
        <v>506927.1</v>
      </c>
      <c r="J51" s="7">
        <v>127480</v>
      </c>
      <c r="K51" s="7">
        <v>524650</v>
      </c>
      <c r="L51" s="7">
        <v>118580</v>
      </c>
      <c r="N51" s="7">
        <v>-122020</v>
      </c>
      <c r="O51" s="7">
        <v>131700</v>
      </c>
    </row>
    <row r="52" spans="1:15" x14ac:dyDescent="0.2">
      <c r="A52" t="s">
        <v>120</v>
      </c>
      <c r="B52" s="7">
        <v>5356180</v>
      </c>
      <c r="C52" s="7">
        <v>3163810</v>
      </c>
      <c r="D52" s="7">
        <v>1506480</v>
      </c>
      <c r="E52" s="7">
        <v>549040</v>
      </c>
      <c r="F52" s="7">
        <v>3496570</v>
      </c>
      <c r="G52" s="7">
        <v>6246700</v>
      </c>
      <c r="H52" s="7">
        <v>2750130</v>
      </c>
      <c r="I52" s="7">
        <v>55496.6</v>
      </c>
      <c r="J52" s="7">
        <v>179960</v>
      </c>
      <c r="K52" s="7">
        <v>674350</v>
      </c>
      <c r="L52" s="7">
        <v>177450</v>
      </c>
      <c r="N52" s="7">
        <v>861300</v>
      </c>
      <c r="O52" s="7">
        <v>-88950</v>
      </c>
    </row>
    <row r="53" spans="1:15" x14ac:dyDescent="0.2">
      <c r="A53" t="s">
        <v>121</v>
      </c>
      <c r="B53" s="7">
        <v>5910640</v>
      </c>
      <c r="C53" s="7">
        <v>4436020</v>
      </c>
      <c r="D53" s="7">
        <v>2525660</v>
      </c>
      <c r="E53" s="7">
        <v>621120</v>
      </c>
      <c r="F53" s="7">
        <v>4102560</v>
      </c>
      <c r="G53" s="7">
        <v>6471580</v>
      </c>
      <c r="H53" s="7">
        <v>2369020</v>
      </c>
      <c r="I53" s="7">
        <v>449494.3</v>
      </c>
      <c r="J53" s="7">
        <v>79310</v>
      </c>
      <c r="K53" s="7">
        <v>1026280</v>
      </c>
      <c r="L53" s="7">
        <v>157990</v>
      </c>
      <c r="N53" s="7">
        <v>54070</v>
      </c>
      <c r="O53" s="7">
        <v>40920</v>
      </c>
    </row>
    <row r="54" spans="1:15" x14ac:dyDescent="0.2">
      <c r="A54" t="s">
        <v>122</v>
      </c>
      <c r="B54" s="7">
        <v>6494180</v>
      </c>
      <c r="C54" s="7">
        <v>4544840</v>
      </c>
      <c r="D54" s="7">
        <v>2627020</v>
      </c>
      <c r="E54" s="7">
        <v>667700</v>
      </c>
      <c r="F54" s="7">
        <v>4232660</v>
      </c>
      <c r="G54" s="7">
        <v>5995900</v>
      </c>
      <c r="H54" s="7">
        <v>1763240</v>
      </c>
      <c r="I54" s="7">
        <v>68970</v>
      </c>
      <c r="J54" s="7">
        <v>55190</v>
      </c>
      <c r="K54" s="7">
        <v>1250000</v>
      </c>
      <c r="L54" s="7">
        <v>160590</v>
      </c>
      <c r="N54" s="7">
        <v>739970</v>
      </c>
      <c r="O54" s="7">
        <v>13210</v>
      </c>
    </row>
    <row r="55" spans="1:15" x14ac:dyDescent="0.2">
      <c r="A55" t="s">
        <v>123</v>
      </c>
      <c r="B55" s="7">
        <v>9336510</v>
      </c>
      <c r="C55" s="7">
        <v>6665450</v>
      </c>
      <c r="D55" s="7">
        <v>4809040</v>
      </c>
      <c r="E55" s="7">
        <v>3215800</v>
      </c>
      <c r="F55" s="7">
        <v>4739860</v>
      </c>
      <c r="G55" s="7">
        <v>8748220</v>
      </c>
      <c r="H55" s="7">
        <v>4008350</v>
      </c>
      <c r="I55" s="7">
        <v>1501030</v>
      </c>
      <c r="J55" s="7">
        <v>86820</v>
      </c>
      <c r="K55" s="7">
        <v>2400000</v>
      </c>
      <c r="L55" s="7">
        <v>116350</v>
      </c>
      <c r="N55" s="7">
        <v>442730</v>
      </c>
      <c r="O55" s="7">
        <v>49700</v>
      </c>
    </row>
    <row r="56" spans="1:15" x14ac:dyDescent="0.2">
      <c r="A56" t="s">
        <v>8</v>
      </c>
      <c r="B56" s="7">
        <v>18182910</v>
      </c>
      <c r="C56" s="7">
        <v>14495990</v>
      </c>
      <c r="E56" s="7">
        <v>11384230</v>
      </c>
      <c r="F56" s="7">
        <v>11467400</v>
      </c>
      <c r="G56" s="7">
        <v>15273660</v>
      </c>
      <c r="H56" s="7">
        <v>3806260</v>
      </c>
      <c r="I56" s="7">
        <v>2032050</v>
      </c>
      <c r="J56" s="7">
        <v>701810</v>
      </c>
      <c r="K56" s="7">
        <v>4837330</v>
      </c>
      <c r="L56" s="7">
        <v>185140</v>
      </c>
      <c r="N56" s="7">
        <v>121510</v>
      </c>
      <c r="O56" s="7">
        <v>-71880</v>
      </c>
    </row>
    <row r="57" spans="1:15" x14ac:dyDescent="0.2">
      <c r="A57" t="s">
        <v>9</v>
      </c>
      <c r="B57" s="7">
        <v>15910890</v>
      </c>
      <c r="C57" s="7">
        <v>10883520</v>
      </c>
      <c r="E57" s="7">
        <v>7772980</v>
      </c>
      <c r="F57" s="7">
        <v>9347710</v>
      </c>
      <c r="G57" s="7">
        <v>13255000</v>
      </c>
      <c r="H57" s="7">
        <v>3907290</v>
      </c>
      <c r="I57" s="7">
        <v>1000000</v>
      </c>
      <c r="J57" s="7">
        <v>197460</v>
      </c>
      <c r="K57" s="7">
        <v>5915240</v>
      </c>
      <c r="L57" s="7">
        <v>200000</v>
      </c>
      <c r="N57" s="7">
        <v>-901400</v>
      </c>
      <c r="O57" s="7">
        <v>1741870</v>
      </c>
    </row>
    <row r="58" spans="1:15" x14ac:dyDescent="0.2">
      <c r="A58" t="s">
        <v>11</v>
      </c>
      <c r="B58" s="7">
        <v>16611960</v>
      </c>
      <c r="C58" s="7">
        <v>9902410</v>
      </c>
      <c r="E58" s="7">
        <v>7205450</v>
      </c>
      <c r="F58" s="7">
        <v>11186120</v>
      </c>
      <c r="G58" s="7">
        <v>15950000</v>
      </c>
      <c r="H58" s="7">
        <v>4763880</v>
      </c>
      <c r="I58" s="7">
        <v>500000</v>
      </c>
      <c r="J58" s="7">
        <v>192510</v>
      </c>
      <c r="K58" s="7">
        <v>4254490</v>
      </c>
      <c r="L58" s="7">
        <v>200000</v>
      </c>
      <c r="N58" s="7">
        <v>370250</v>
      </c>
      <c r="O58" s="7">
        <v>7520</v>
      </c>
    </row>
    <row r="59" spans="1:15" x14ac:dyDescent="0.2">
      <c r="A59" t="s">
        <v>332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C45B-C766-4F44-8246-2F43B5120065}">
  <dimension ref="A1:C12"/>
  <sheetViews>
    <sheetView workbookViewId="0">
      <selection sqref="A1:C12"/>
    </sheetView>
  </sheetViews>
  <sheetFormatPr baseColWidth="10" defaultRowHeight="16" x14ac:dyDescent="0.2"/>
  <sheetData>
    <row r="1" spans="1:3" ht="18" x14ac:dyDescent="0.2">
      <c r="A1" s="24" t="s">
        <v>1132</v>
      </c>
      <c r="B1" s="25">
        <v>203775</v>
      </c>
      <c r="C1" s="26">
        <v>0.497</v>
      </c>
    </row>
    <row r="2" spans="1:3" ht="18" x14ac:dyDescent="0.2">
      <c r="A2" s="24" t="s">
        <v>1133</v>
      </c>
      <c r="B2" s="25">
        <v>6620</v>
      </c>
      <c r="C2" s="31">
        <v>1.6E-2</v>
      </c>
    </row>
    <row r="3" spans="1:3" ht="18" x14ac:dyDescent="0.2">
      <c r="A3" s="24" t="s">
        <v>1134</v>
      </c>
      <c r="B3" s="25">
        <v>24824</v>
      </c>
      <c r="C3" s="26">
        <v>6.0999999999999999E-2</v>
      </c>
    </row>
    <row r="4" spans="1:3" ht="18" x14ac:dyDescent="0.2">
      <c r="A4" s="24" t="s">
        <v>1135</v>
      </c>
      <c r="B4" s="24">
        <v>589</v>
      </c>
      <c r="C4" s="26">
        <v>1E-3</v>
      </c>
    </row>
    <row r="5" spans="1:3" ht="18" x14ac:dyDescent="0.2">
      <c r="A5" s="24" t="s">
        <v>1136</v>
      </c>
      <c r="B5" s="29">
        <v>46850</v>
      </c>
      <c r="C5" s="28">
        <v>0.114</v>
      </c>
    </row>
    <row r="6" spans="1:3" ht="18" x14ac:dyDescent="0.2">
      <c r="A6" s="24" t="s">
        <v>1137</v>
      </c>
      <c r="B6" s="30">
        <v>120900</v>
      </c>
      <c r="C6" s="31">
        <v>0.29499999999999998</v>
      </c>
    </row>
    <row r="7" spans="1:3" ht="18" x14ac:dyDescent="0.2">
      <c r="A7" s="24" t="s">
        <v>1138</v>
      </c>
      <c r="B7" s="25">
        <v>41930</v>
      </c>
      <c r="C7" s="31">
        <v>0.10199999999999999</v>
      </c>
    </row>
    <row r="8" spans="1:3" ht="18" x14ac:dyDescent="0.2">
      <c r="A8" s="24" t="s">
        <v>1139</v>
      </c>
      <c r="B8" s="25">
        <v>63302</v>
      </c>
      <c r="C8" s="31">
        <v>0.151</v>
      </c>
    </row>
    <row r="9" spans="1:3" ht="18" x14ac:dyDescent="0.2">
      <c r="A9" s="24" t="s">
        <v>1140</v>
      </c>
      <c r="B9" s="25">
        <v>10210</v>
      </c>
      <c r="C9" s="31">
        <v>2.5000000000000001E-2</v>
      </c>
    </row>
    <row r="10" spans="1:3" ht="18" x14ac:dyDescent="0.2">
      <c r="A10" s="24" t="s">
        <v>1141</v>
      </c>
      <c r="B10" s="24">
        <v>522</v>
      </c>
      <c r="C10" s="31">
        <v>1E-3</v>
      </c>
    </row>
    <row r="11" spans="1:3" ht="18" x14ac:dyDescent="0.2">
      <c r="A11" s="24" t="s">
        <v>1142</v>
      </c>
      <c r="B11" s="25">
        <v>4936</v>
      </c>
      <c r="C11" s="31">
        <v>1.2E-2</v>
      </c>
    </row>
    <row r="12" spans="1:3" ht="18" x14ac:dyDescent="0.2">
      <c r="A12" s="27" t="s">
        <v>1143</v>
      </c>
      <c r="B12" s="25">
        <v>6780</v>
      </c>
      <c r="C12" s="26">
        <v>1.7000000000000001E-2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A98-842C-BC42-99AB-4A2AB690837F}">
  <dimension ref="A1:M47"/>
  <sheetViews>
    <sheetView workbookViewId="0">
      <selection activeCell="D3" sqref="D3"/>
    </sheetView>
  </sheetViews>
  <sheetFormatPr baseColWidth="10" defaultRowHeight="16" x14ac:dyDescent="0.2"/>
  <cols>
    <col min="2" max="2" width="24.1640625" bestFit="1" customWidth="1"/>
    <col min="3" max="3" width="17" bestFit="1" customWidth="1"/>
    <col min="4" max="4" width="13.1640625" bestFit="1" customWidth="1"/>
    <col min="5" max="5" width="13.1640625" customWidth="1"/>
    <col min="6" max="6" width="20" bestFit="1" customWidth="1"/>
    <col min="7" max="7" width="25.5" bestFit="1" customWidth="1"/>
    <col min="8" max="8" width="20" bestFit="1" customWidth="1"/>
    <col min="9" max="9" width="14.33203125" bestFit="1" customWidth="1"/>
    <col min="10" max="10" width="13.1640625" bestFit="1" customWidth="1"/>
    <col min="11" max="11" width="25" bestFit="1" customWidth="1"/>
    <col min="12" max="12" width="29" bestFit="1" customWidth="1"/>
    <col min="13" max="13" width="16.6640625" bestFit="1" customWidth="1"/>
  </cols>
  <sheetData>
    <row r="1" spans="1:13" x14ac:dyDescent="0.2">
      <c r="A1" t="s">
        <v>305</v>
      </c>
    </row>
    <row r="2" spans="1:13" x14ac:dyDescent="0.2">
      <c r="A2" t="s">
        <v>301</v>
      </c>
      <c r="D2" s="7">
        <f>E5+I5</f>
        <v>345050</v>
      </c>
      <c r="E2" s="7">
        <f>G5+H5</f>
        <v>197630</v>
      </c>
      <c r="J2" s="7"/>
    </row>
    <row r="3" spans="1:13" x14ac:dyDescent="0.2">
      <c r="A3" t="s">
        <v>46</v>
      </c>
      <c r="B3" t="s">
        <v>312</v>
      </c>
      <c r="C3" t="s">
        <v>306</v>
      </c>
      <c r="D3" t="s">
        <v>307</v>
      </c>
      <c r="E3" s="12" t="s">
        <v>302</v>
      </c>
      <c r="F3" s="12" t="s">
        <v>302</v>
      </c>
      <c r="G3" s="12" t="s">
        <v>314</v>
      </c>
      <c r="H3" s="12" t="s">
        <v>315</v>
      </c>
      <c r="I3" s="12" t="s">
        <v>303</v>
      </c>
      <c r="J3" t="s">
        <v>308</v>
      </c>
      <c r="K3" t="s">
        <v>308</v>
      </c>
      <c r="L3" t="s">
        <v>308</v>
      </c>
      <c r="M3" t="s">
        <v>308</v>
      </c>
    </row>
    <row r="4" spans="1:13" x14ac:dyDescent="0.2">
      <c r="A4" t="s">
        <v>55</v>
      </c>
      <c r="C4" t="s">
        <v>55</v>
      </c>
      <c r="D4" t="s">
        <v>47</v>
      </c>
      <c r="E4" s="12" t="s">
        <v>47</v>
      </c>
      <c r="F4" s="12" t="s">
        <v>304</v>
      </c>
      <c r="G4" s="12"/>
      <c r="H4" s="12"/>
      <c r="I4" s="12" t="s">
        <v>55</v>
      </c>
      <c r="J4" t="s">
        <v>47</v>
      </c>
      <c r="K4" t="s">
        <v>309</v>
      </c>
      <c r="L4" t="s">
        <v>310</v>
      </c>
      <c r="M4" t="s">
        <v>311</v>
      </c>
    </row>
    <row r="5" spans="1:13" x14ac:dyDescent="0.2">
      <c r="A5" t="s">
        <v>84</v>
      </c>
      <c r="B5">
        <f>C5/10</f>
        <v>10780</v>
      </c>
      <c r="C5" s="7">
        <v>107800</v>
      </c>
      <c r="D5" s="7">
        <v>345050</v>
      </c>
      <c r="E5" s="13">
        <v>255600</v>
      </c>
      <c r="F5" s="13">
        <v>197630</v>
      </c>
      <c r="G5" s="13">
        <v>35920</v>
      </c>
      <c r="H5" s="13">
        <v>161710</v>
      </c>
      <c r="I5" s="13">
        <v>89450</v>
      </c>
      <c r="J5" s="7">
        <v>378790</v>
      </c>
      <c r="K5" s="7">
        <v>244800</v>
      </c>
      <c r="L5" s="7">
        <v>127380</v>
      </c>
      <c r="M5" s="7">
        <v>6610</v>
      </c>
    </row>
    <row r="6" spans="1:13" x14ac:dyDescent="0.2">
      <c r="A6" t="s">
        <v>85</v>
      </c>
      <c r="B6">
        <f t="shared" ref="B6:B46" si="0">C6/10</f>
        <v>10608</v>
      </c>
      <c r="C6" s="7">
        <v>106080</v>
      </c>
      <c r="D6" s="7">
        <v>420670</v>
      </c>
      <c r="E6" s="13">
        <v>304320</v>
      </c>
      <c r="F6" s="13">
        <v>240360</v>
      </c>
      <c r="G6" s="13">
        <v>43950</v>
      </c>
      <c r="H6" s="13">
        <v>196410</v>
      </c>
      <c r="I6" s="13">
        <v>116350</v>
      </c>
      <c r="J6" s="7">
        <v>444790</v>
      </c>
      <c r="K6" s="7">
        <v>287960</v>
      </c>
      <c r="L6" s="7">
        <v>136090</v>
      </c>
      <c r="M6" s="7">
        <v>20740</v>
      </c>
    </row>
    <row r="7" spans="1:13" x14ac:dyDescent="0.2">
      <c r="A7" t="s">
        <v>86</v>
      </c>
      <c r="B7">
        <f t="shared" si="0"/>
        <v>11116</v>
      </c>
      <c r="C7" s="7">
        <v>111160</v>
      </c>
      <c r="D7" s="7">
        <v>495810</v>
      </c>
      <c r="E7" s="13">
        <v>347520</v>
      </c>
      <c r="F7" s="13">
        <v>271380</v>
      </c>
      <c r="G7" s="13">
        <v>47800</v>
      </c>
      <c r="H7" s="13">
        <v>223580</v>
      </c>
      <c r="I7" s="13">
        <v>148290</v>
      </c>
      <c r="J7" s="7">
        <v>520570</v>
      </c>
      <c r="K7" s="7">
        <v>336430</v>
      </c>
      <c r="L7" s="7">
        <v>164730</v>
      </c>
      <c r="M7" s="7">
        <v>19410</v>
      </c>
    </row>
    <row r="8" spans="1:13" x14ac:dyDescent="0.2">
      <c r="A8" t="s">
        <v>87</v>
      </c>
      <c r="B8">
        <f t="shared" si="0"/>
        <v>15971</v>
      </c>
      <c r="C8" s="7">
        <v>159710</v>
      </c>
      <c r="D8" s="7">
        <v>580210</v>
      </c>
      <c r="E8" s="13">
        <v>390990</v>
      </c>
      <c r="F8" s="13">
        <v>312020</v>
      </c>
      <c r="G8" s="13">
        <v>53370</v>
      </c>
      <c r="H8" s="13">
        <v>258650</v>
      </c>
      <c r="I8" s="13">
        <v>189220</v>
      </c>
      <c r="J8" s="7">
        <v>599890</v>
      </c>
      <c r="K8" s="7">
        <v>383520</v>
      </c>
      <c r="L8" s="7">
        <v>199360</v>
      </c>
      <c r="M8" s="7">
        <v>17010</v>
      </c>
    </row>
    <row r="9" spans="1:13" x14ac:dyDescent="0.2">
      <c r="A9" t="s">
        <v>88</v>
      </c>
      <c r="B9">
        <f t="shared" si="0"/>
        <v>22013</v>
      </c>
      <c r="C9" s="7">
        <v>220130</v>
      </c>
      <c r="D9" s="7">
        <v>664710</v>
      </c>
      <c r="E9" s="13">
        <v>452960</v>
      </c>
      <c r="F9" s="13">
        <v>358080</v>
      </c>
      <c r="G9" s="13">
        <v>58570</v>
      </c>
      <c r="H9" s="13">
        <v>299510</v>
      </c>
      <c r="I9" s="13">
        <v>211750</v>
      </c>
      <c r="J9" s="7">
        <v>716540</v>
      </c>
      <c r="K9" s="7">
        <v>462650</v>
      </c>
      <c r="L9" s="7">
        <v>233900</v>
      </c>
      <c r="M9" s="7">
        <v>19990</v>
      </c>
    </row>
    <row r="10" spans="1:13" x14ac:dyDescent="0.2">
      <c r="A10" t="s">
        <v>89</v>
      </c>
      <c r="B10">
        <f t="shared" si="0"/>
        <v>22174</v>
      </c>
      <c r="C10" s="7">
        <v>221740</v>
      </c>
      <c r="D10" s="7">
        <v>750000</v>
      </c>
      <c r="E10" s="13">
        <v>540690</v>
      </c>
      <c r="F10" s="13">
        <v>429900</v>
      </c>
      <c r="G10" s="13">
        <v>69640</v>
      </c>
      <c r="H10" s="13">
        <v>360260</v>
      </c>
      <c r="I10" s="13">
        <v>209310</v>
      </c>
      <c r="J10" s="7">
        <v>786270</v>
      </c>
      <c r="K10" s="7">
        <v>505090</v>
      </c>
      <c r="L10" s="7">
        <v>273010</v>
      </c>
      <c r="M10" s="7">
        <v>8170</v>
      </c>
    </row>
    <row r="11" spans="1:13" x14ac:dyDescent="0.2">
      <c r="A11" t="s">
        <v>90</v>
      </c>
      <c r="B11">
        <f t="shared" si="0"/>
        <v>30789</v>
      </c>
      <c r="C11" s="7">
        <v>307890</v>
      </c>
      <c r="D11" s="7">
        <v>915430</v>
      </c>
      <c r="E11" s="13">
        <v>631120</v>
      </c>
      <c r="F11" s="13">
        <v>494580</v>
      </c>
      <c r="G11" s="13">
        <v>79220</v>
      </c>
      <c r="H11" s="13">
        <v>415360</v>
      </c>
      <c r="I11" s="13">
        <v>284310</v>
      </c>
      <c r="J11" s="7">
        <v>1004700</v>
      </c>
      <c r="K11" s="7">
        <v>617210</v>
      </c>
      <c r="L11" s="7">
        <v>336090</v>
      </c>
      <c r="M11" s="7">
        <v>19200</v>
      </c>
    </row>
    <row r="12" spans="1:13" x14ac:dyDescent="0.2">
      <c r="A12" t="s">
        <v>91</v>
      </c>
      <c r="B12">
        <f t="shared" si="0"/>
        <v>32432</v>
      </c>
      <c r="C12" s="7">
        <v>324320</v>
      </c>
      <c r="D12" s="7">
        <v>1043900</v>
      </c>
      <c r="E12" s="13">
        <v>709580</v>
      </c>
      <c r="F12" s="13">
        <v>570500</v>
      </c>
      <c r="G12" s="13">
        <v>86650</v>
      </c>
      <c r="H12" s="13">
        <v>483850</v>
      </c>
      <c r="I12" s="13">
        <v>334320</v>
      </c>
      <c r="J12" s="7">
        <v>1102720</v>
      </c>
      <c r="K12" s="7">
        <v>662950</v>
      </c>
      <c r="L12" s="7">
        <v>390270</v>
      </c>
      <c r="M12" s="7">
        <v>13230</v>
      </c>
    </row>
    <row r="13" spans="1:13" x14ac:dyDescent="0.2">
      <c r="A13" t="s">
        <v>92</v>
      </c>
      <c r="B13">
        <f t="shared" si="0"/>
        <v>35887</v>
      </c>
      <c r="C13" s="7">
        <v>358870</v>
      </c>
      <c r="D13" s="7">
        <v>1212260</v>
      </c>
      <c r="E13" s="13">
        <v>826580</v>
      </c>
      <c r="F13" s="13">
        <v>669420</v>
      </c>
      <c r="G13" s="13">
        <v>112650</v>
      </c>
      <c r="H13" s="13">
        <v>556770</v>
      </c>
      <c r="I13" s="13">
        <v>385680</v>
      </c>
      <c r="J13" s="7">
        <v>1264880</v>
      </c>
      <c r="K13" s="7">
        <v>744280</v>
      </c>
      <c r="L13" s="7">
        <v>462920</v>
      </c>
      <c r="M13" s="7">
        <v>12940</v>
      </c>
    </row>
    <row r="14" spans="1:13" x14ac:dyDescent="0.2">
      <c r="A14" t="s">
        <v>93</v>
      </c>
      <c r="B14">
        <f t="shared" si="0"/>
        <v>43135</v>
      </c>
      <c r="C14" s="7">
        <v>431350</v>
      </c>
      <c r="D14" s="7">
        <v>1343860</v>
      </c>
      <c r="E14" s="13">
        <v>980940</v>
      </c>
      <c r="F14" s="13">
        <v>774970</v>
      </c>
      <c r="G14" s="13">
        <v>130280</v>
      </c>
      <c r="H14" s="13">
        <v>644690</v>
      </c>
      <c r="I14" s="13">
        <v>362920</v>
      </c>
      <c r="J14" s="7">
        <v>1451390</v>
      </c>
      <c r="K14" s="7">
        <v>894200</v>
      </c>
      <c r="L14" s="7">
        <v>542670</v>
      </c>
      <c r="M14" s="7">
        <v>14520</v>
      </c>
    </row>
    <row r="15" spans="1:13" x14ac:dyDescent="0.2">
      <c r="A15" t="s">
        <v>94</v>
      </c>
      <c r="B15">
        <f t="shared" si="0"/>
        <v>53580</v>
      </c>
      <c r="C15" s="7">
        <v>535800</v>
      </c>
      <c r="D15" s="7">
        <v>1522450</v>
      </c>
      <c r="E15" s="13" t="s">
        <v>313</v>
      </c>
      <c r="F15" s="13">
        <v>876270</v>
      </c>
      <c r="G15" s="13">
        <v>142670</v>
      </c>
      <c r="H15" s="13">
        <v>733600</v>
      </c>
      <c r="I15" s="13">
        <v>464880</v>
      </c>
      <c r="J15" s="7">
        <v>1635200</v>
      </c>
      <c r="K15" s="7">
        <v>977240</v>
      </c>
      <c r="L15" s="7">
        <v>643600</v>
      </c>
      <c r="M15" s="7">
        <v>14360</v>
      </c>
    </row>
    <row r="16" spans="1:13" x14ac:dyDescent="0.2">
      <c r="A16" t="s">
        <v>95</v>
      </c>
      <c r="B16">
        <f t="shared" si="0"/>
        <v>45850</v>
      </c>
      <c r="C16" s="7">
        <v>458500</v>
      </c>
      <c r="D16" s="7">
        <v>1788940</v>
      </c>
      <c r="E16" s="13" t="s">
        <v>313</v>
      </c>
      <c r="F16" s="13">
        <v>1027690</v>
      </c>
      <c r="G16" s="13">
        <v>190470</v>
      </c>
      <c r="H16" s="13">
        <v>837220</v>
      </c>
      <c r="I16" s="13">
        <v>515050</v>
      </c>
      <c r="J16" s="7">
        <v>1859050</v>
      </c>
      <c r="K16" s="7">
        <v>1093720</v>
      </c>
      <c r="L16" s="7">
        <v>723190</v>
      </c>
      <c r="M16" s="7">
        <v>42140</v>
      </c>
    </row>
    <row r="17" spans="1:13" x14ac:dyDescent="0.2">
      <c r="A17" t="s">
        <v>96</v>
      </c>
      <c r="B17">
        <f t="shared" si="0"/>
        <v>52404</v>
      </c>
      <c r="C17" s="7">
        <v>524040</v>
      </c>
      <c r="D17" s="7">
        <v>1925600</v>
      </c>
      <c r="E17" s="13" t="s">
        <v>313</v>
      </c>
      <c r="F17" s="13">
        <v>1145620</v>
      </c>
      <c r="G17" s="13">
        <v>224840</v>
      </c>
      <c r="H17" s="13">
        <v>920780</v>
      </c>
      <c r="I17" s="13">
        <v>495430</v>
      </c>
      <c r="J17" s="7">
        <v>2030430</v>
      </c>
      <c r="K17" s="7">
        <v>1182020</v>
      </c>
      <c r="L17" s="7">
        <v>827950</v>
      </c>
      <c r="M17" s="7">
        <v>20460</v>
      </c>
    </row>
    <row r="18" spans="1:13" x14ac:dyDescent="0.2">
      <c r="A18" t="s">
        <v>97</v>
      </c>
      <c r="B18">
        <f t="shared" si="0"/>
        <v>70952</v>
      </c>
      <c r="C18" s="7">
        <v>709520</v>
      </c>
      <c r="D18" s="7">
        <v>2212280</v>
      </c>
      <c r="E18" s="13" t="s">
        <v>313</v>
      </c>
      <c r="F18" s="13">
        <v>1217700</v>
      </c>
      <c r="G18" s="13">
        <v>253100</v>
      </c>
      <c r="H18" s="13">
        <v>964600</v>
      </c>
      <c r="I18" s="13">
        <v>663720</v>
      </c>
      <c r="J18" s="7">
        <v>2326500</v>
      </c>
      <c r="K18" s="7">
        <v>1290420</v>
      </c>
      <c r="L18" s="7">
        <v>1002610</v>
      </c>
      <c r="M18" s="7">
        <v>33470</v>
      </c>
    </row>
    <row r="19" spans="1:13" x14ac:dyDescent="0.2">
      <c r="A19" t="s">
        <v>98</v>
      </c>
      <c r="B19">
        <f t="shared" si="0"/>
        <v>71639</v>
      </c>
      <c r="C19" s="7">
        <v>716390</v>
      </c>
      <c r="D19" s="7">
        <v>2763810</v>
      </c>
      <c r="E19" s="13" t="s">
        <v>313</v>
      </c>
      <c r="F19" s="13">
        <v>1462860</v>
      </c>
      <c r="G19" s="13">
        <v>338680</v>
      </c>
      <c r="H19" s="13" t="s">
        <v>313</v>
      </c>
      <c r="I19" s="13">
        <v>897420</v>
      </c>
      <c r="J19" s="7">
        <v>2728740</v>
      </c>
      <c r="K19" s="7">
        <v>1503670</v>
      </c>
      <c r="L19" s="7">
        <v>1193220</v>
      </c>
      <c r="M19" s="7">
        <v>31850</v>
      </c>
    </row>
    <row r="20" spans="1:13" x14ac:dyDescent="0.2">
      <c r="A20" t="s">
        <v>99</v>
      </c>
      <c r="B20">
        <f t="shared" si="0"/>
        <v>77671</v>
      </c>
      <c r="C20" s="7">
        <v>776710</v>
      </c>
      <c r="D20" s="7">
        <v>2966290</v>
      </c>
      <c r="E20" s="13" t="s">
        <v>313</v>
      </c>
      <c r="F20" s="13">
        <v>1727400</v>
      </c>
      <c r="G20" s="13">
        <v>414760</v>
      </c>
      <c r="H20" s="13" t="s">
        <v>313</v>
      </c>
      <c r="I20" s="13">
        <v>791020</v>
      </c>
      <c r="J20" s="7">
        <v>3035820</v>
      </c>
      <c r="K20" s="7">
        <v>1653610</v>
      </c>
      <c r="L20" s="7">
        <v>1352740</v>
      </c>
      <c r="M20" s="7">
        <v>29470</v>
      </c>
    </row>
    <row r="21" spans="1:13" x14ac:dyDescent="0.2">
      <c r="A21" t="s">
        <v>100</v>
      </c>
      <c r="B21">
        <f t="shared" si="0"/>
        <v>87244</v>
      </c>
      <c r="C21" s="7">
        <v>872440</v>
      </c>
      <c r="D21" s="7">
        <v>3233220</v>
      </c>
      <c r="E21" s="13" t="s">
        <v>313</v>
      </c>
      <c r="F21" s="13">
        <v>1973050</v>
      </c>
      <c r="G21" s="13">
        <v>471790</v>
      </c>
      <c r="H21" s="13" t="s">
        <v>313</v>
      </c>
      <c r="I21" s="13">
        <v>769230</v>
      </c>
      <c r="J21" s="7">
        <v>3435480</v>
      </c>
      <c r="K21" s="7">
        <v>1853680</v>
      </c>
      <c r="L21" s="7">
        <v>1549000</v>
      </c>
      <c r="M21" s="7">
        <v>32800</v>
      </c>
    </row>
    <row r="22" spans="1:13" x14ac:dyDescent="0.2">
      <c r="A22" t="s">
        <v>101</v>
      </c>
      <c r="B22">
        <f t="shared" si="0"/>
        <v>110743</v>
      </c>
      <c r="C22" s="7">
        <v>1107430</v>
      </c>
      <c r="D22" s="7">
        <v>3883160</v>
      </c>
      <c r="E22" s="13" t="s">
        <v>313</v>
      </c>
      <c r="F22" s="13">
        <v>2143720</v>
      </c>
      <c r="G22" s="13">
        <v>546260</v>
      </c>
      <c r="H22" s="13" t="s">
        <v>313</v>
      </c>
      <c r="I22" s="13" t="s">
        <v>313</v>
      </c>
      <c r="J22" s="7">
        <v>3853020</v>
      </c>
      <c r="K22" s="7">
        <v>2013990</v>
      </c>
      <c r="L22" s="7">
        <v>1788170</v>
      </c>
      <c r="M22" s="7">
        <v>50860</v>
      </c>
    </row>
    <row r="23" spans="1:13" x14ac:dyDescent="0.2">
      <c r="A23" t="s">
        <v>102</v>
      </c>
      <c r="B23">
        <f t="shared" si="0"/>
        <v>157053</v>
      </c>
      <c r="C23" s="7">
        <v>1570530</v>
      </c>
      <c r="D23" s="7">
        <v>4606340</v>
      </c>
      <c r="E23" s="13" t="s">
        <v>313</v>
      </c>
      <c r="F23" s="13">
        <v>2299710</v>
      </c>
      <c r="G23" s="13">
        <v>572440</v>
      </c>
      <c r="H23" s="13" t="s">
        <v>313</v>
      </c>
      <c r="I23" s="13" t="s">
        <v>313</v>
      </c>
      <c r="J23" s="7">
        <v>4639450</v>
      </c>
      <c r="K23" s="7">
        <v>2397200</v>
      </c>
      <c r="L23" s="7">
        <v>2156620</v>
      </c>
      <c r="M23" s="7">
        <v>85630</v>
      </c>
    </row>
    <row r="24" spans="1:13" x14ac:dyDescent="0.2">
      <c r="A24" t="s">
        <v>103</v>
      </c>
      <c r="B24">
        <f t="shared" si="0"/>
        <v>184826</v>
      </c>
      <c r="C24" s="7">
        <v>1848260</v>
      </c>
      <c r="D24" s="7">
        <v>5364460</v>
      </c>
      <c r="E24" s="13" t="s">
        <v>313</v>
      </c>
      <c r="F24" s="13">
        <v>2715440</v>
      </c>
      <c r="G24" s="13">
        <v>709370</v>
      </c>
      <c r="H24" s="13" t="s">
        <v>313</v>
      </c>
      <c r="I24" s="13" t="s">
        <v>313</v>
      </c>
      <c r="J24" s="7">
        <v>5404230</v>
      </c>
      <c r="K24" s="7">
        <v>2744830</v>
      </c>
      <c r="L24" s="7">
        <v>2571420</v>
      </c>
      <c r="M24" s="7">
        <v>87980</v>
      </c>
    </row>
    <row r="25" spans="1:13" x14ac:dyDescent="0.2">
      <c r="A25" t="s">
        <v>104</v>
      </c>
      <c r="B25">
        <f t="shared" si="0"/>
        <v>199852</v>
      </c>
      <c r="C25" s="7">
        <v>1998520</v>
      </c>
      <c r="D25" s="7">
        <v>5991410</v>
      </c>
      <c r="E25" s="13" t="s">
        <v>313</v>
      </c>
      <c r="F25" s="13">
        <v>3009720</v>
      </c>
      <c r="G25" s="13">
        <v>811630</v>
      </c>
      <c r="H25" s="13" t="s">
        <v>313</v>
      </c>
      <c r="I25" s="13" t="s">
        <v>313</v>
      </c>
      <c r="J25" s="7">
        <v>5955950</v>
      </c>
      <c r="K25" s="7">
        <v>3085460</v>
      </c>
      <c r="L25" s="7">
        <v>2777600</v>
      </c>
      <c r="M25" s="7">
        <v>92890</v>
      </c>
    </row>
    <row r="26" spans="1:13" x14ac:dyDescent="0.2">
      <c r="A26" t="s">
        <v>105</v>
      </c>
      <c r="B26">
        <f t="shared" si="0"/>
        <v>226425</v>
      </c>
      <c r="C26" s="7">
        <v>2264250</v>
      </c>
      <c r="D26" s="7">
        <v>6510390</v>
      </c>
      <c r="E26" s="13" t="s">
        <v>313</v>
      </c>
      <c r="F26" s="13">
        <v>3089470</v>
      </c>
      <c r="G26" s="13">
        <v>848760</v>
      </c>
      <c r="H26" s="13" t="s">
        <v>313</v>
      </c>
      <c r="I26" s="13" t="s">
        <v>313</v>
      </c>
      <c r="J26" s="7">
        <v>6529670</v>
      </c>
      <c r="K26" s="7">
        <v>3322240</v>
      </c>
      <c r="L26" s="7">
        <v>3078640</v>
      </c>
      <c r="M26" s="7">
        <v>128790</v>
      </c>
    </row>
    <row r="27" spans="1:13" x14ac:dyDescent="0.2">
      <c r="A27" t="s">
        <v>106</v>
      </c>
      <c r="B27">
        <f t="shared" si="0"/>
        <v>234987</v>
      </c>
      <c r="C27" s="7">
        <v>2349870</v>
      </c>
      <c r="D27" s="7">
        <v>7076340</v>
      </c>
      <c r="E27" s="13" t="s">
        <v>313</v>
      </c>
      <c r="F27" s="13">
        <v>3520180</v>
      </c>
      <c r="G27" s="13">
        <v>1003020</v>
      </c>
      <c r="H27" s="13" t="s">
        <v>313</v>
      </c>
      <c r="I27" s="13" t="s">
        <v>313</v>
      </c>
      <c r="J27" s="7">
        <v>7049040</v>
      </c>
      <c r="K27" s="7">
        <v>3593290</v>
      </c>
      <c r="L27" s="7">
        <v>3395230</v>
      </c>
      <c r="M27" s="7">
        <v>60520</v>
      </c>
    </row>
    <row r="28" spans="1:13" x14ac:dyDescent="0.2">
      <c r="A28" t="s">
        <v>107</v>
      </c>
      <c r="B28">
        <f t="shared" si="0"/>
        <v>234501</v>
      </c>
      <c r="C28" s="7">
        <v>2345010</v>
      </c>
      <c r="D28" s="7">
        <v>7991620</v>
      </c>
      <c r="E28" s="13" t="s">
        <v>313</v>
      </c>
      <c r="F28" s="13">
        <v>4080990</v>
      </c>
      <c r="G28" s="13">
        <v>1253030</v>
      </c>
      <c r="H28" s="13" t="s">
        <v>313</v>
      </c>
      <c r="I28" s="13" t="s">
        <v>313</v>
      </c>
      <c r="J28" s="7">
        <v>7963830</v>
      </c>
      <c r="K28" s="7">
        <v>4178340</v>
      </c>
      <c r="L28" s="7">
        <v>3716510</v>
      </c>
      <c r="M28" s="7">
        <v>68990</v>
      </c>
    </row>
    <row r="29" spans="1:13" x14ac:dyDescent="0.2">
      <c r="A29" t="s">
        <v>108</v>
      </c>
      <c r="B29">
        <f t="shared" si="0"/>
        <v>234721</v>
      </c>
      <c r="C29" s="7">
        <v>2347210</v>
      </c>
      <c r="D29" s="7">
        <v>8883450</v>
      </c>
      <c r="E29" s="13" t="s">
        <v>313</v>
      </c>
      <c r="F29" s="13">
        <v>4853750</v>
      </c>
      <c r="G29" s="13">
        <v>1568280</v>
      </c>
      <c r="H29" s="13" t="s">
        <v>313</v>
      </c>
      <c r="I29" s="13" t="s">
        <v>313</v>
      </c>
      <c r="J29" s="7">
        <v>8697570</v>
      </c>
      <c r="K29" s="7">
        <v>4453540</v>
      </c>
      <c r="L29" s="7">
        <v>4163400</v>
      </c>
      <c r="M29" s="7">
        <v>80630</v>
      </c>
    </row>
    <row r="30" spans="1:13" x14ac:dyDescent="0.2">
      <c r="A30" t="s">
        <v>109</v>
      </c>
      <c r="B30">
        <f t="shared" si="0"/>
        <v>239560</v>
      </c>
      <c r="C30" s="7">
        <v>2395600</v>
      </c>
      <c r="D30" s="7">
        <v>10146890</v>
      </c>
      <c r="E30" s="13" t="s">
        <v>313</v>
      </c>
      <c r="F30" s="13">
        <v>5765940</v>
      </c>
      <c r="G30" s="13">
        <v>1954280</v>
      </c>
      <c r="H30" s="13" t="s">
        <v>313</v>
      </c>
      <c r="I30" s="13" t="s">
        <v>313</v>
      </c>
      <c r="J30" s="7">
        <v>9598550</v>
      </c>
      <c r="K30" s="7">
        <v>5095250</v>
      </c>
      <c r="L30" s="7">
        <v>4403770</v>
      </c>
      <c r="M30" s="7">
        <v>99530</v>
      </c>
    </row>
    <row r="31" spans="1:13" x14ac:dyDescent="0.2">
      <c r="A31" t="s">
        <v>110</v>
      </c>
      <c r="B31">
        <f t="shared" si="0"/>
        <v>219128</v>
      </c>
      <c r="C31" s="7">
        <v>2191280</v>
      </c>
      <c r="D31" s="7">
        <v>11207340</v>
      </c>
      <c r="E31" s="13" t="s">
        <v>313</v>
      </c>
      <c r="F31" s="13">
        <v>7240230</v>
      </c>
      <c r="G31" s="13">
        <v>2690780</v>
      </c>
      <c r="H31" s="13" t="s">
        <v>313</v>
      </c>
      <c r="I31" s="13" t="s">
        <v>313</v>
      </c>
      <c r="J31" s="7">
        <v>11091740</v>
      </c>
      <c r="K31" s="7">
        <v>5880280</v>
      </c>
      <c r="L31" s="7">
        <v>5076350</v>
      </c>
      <c r="M31" s="7">
        <v>135110</v>
      </c>
    </row>
    <row r="32" spans="1:13" x14ac:dyDescent="0.2">
      <c r="A32" t="s">
        <v>111</v>
      </c>
      <c r="B32">
        <f t="shared" si="0"/>
        <v>199110</v>
      </c>
      <c r="C32" s="7">
        <v>1991100</v>
      </c>
      <c r="D32" s="7">
        <v>13558620</v>
      </c>
      <c r="E32" s="13" t="s">
        <v>313</v>
      </c>
      <c r="F32" s="13">
        <v>8774960</v>
      </c>
      <c r="G32" s="13">
        <v>3556890</v>
      </c>
      <c r="H32" s="13" t="s">
        <v>313</v>
      </c>
      <c r="I32" s="13" t="s">
        <v>313</v>
      </c>
      <c r="J32" s="7">
        <v>13152830</v>
      </c>
      <c r="K32" s="7">
        <v>7102710</v>
      </c>
      <c r="L32" s="7">
        <v>5887790</v>
      </c>
      <c r="M32" s="7">
        <v>162330</v>
      </c>
    </row>
    <row r="33" spans="1:13" x14ac:dyDescent="0.2">
      <c r="A33" t="s">
        <v>112</v>
      </c>
      <c r="B33">
        <f t="shared" si="0"/>
        <v>467135</v>
      </c>
      <c r="C33" s="7">
        <v>4671350</v>
      </c>
      <c r="D33" s="7">
        <v>15648030</v>
      </c>
      <c r="E33" s="13" t="s">
        <v>313</v>
      </c>
      <c r="F33" s="13">
        <v>9263040</v>
      </c>
      <c r="G33" s="13">
        <v>3779860</v>
      </c>
      <c r="H33" s="13" t="s">
        <v>313</v>
      </c>
      <c r="I33" s="13" t="s">
        <v>313</v>
      </c>
      <c r="J33" s="7">
        <v>15996770</v>
      </c>
      <c r="K33" s="7">
        <v>9437080</v>
      </c>
      <c r="L33" s="7">
        <v>6374530</v>
      </c>
      <c r="M33" s="7">
        <v>185160</v>
      </c>
    </row>
    <row r="34" spans="1:13" x14ac:dyDescent="0.2">
      <c r="A34" t="s">
        <v>113</v>
      </c>
      <c r="B34">
        <f t="shared" si="0"/>
        <v>604668</v>
      </c>
      <c r="C34" s="7">
        <v>6046680</v>
      </c>
      <c r="D34" s="7">
        <v>18458080</v>
      </c>
      <c r="E34" s="13" t="s">
        <v>313</v>
      </c>
      <c r="F34" s="13">
        <v>9846110</v>
      </c>
      <c r="G34" s="13">
        <v>4248740</v>
      </c>
      <c r="H34" s="13" t="s">
        <v>313</v>
      </c>
      <c r="I34" s="13" t="s">
        <v>313</v>
      </c>
      <c r="J34" s="7">
        <v>18521190</v>
      </c>
      <c r="K34" s="7">
        <v>10628080</v>
      </c>
      <c r="L34" s="7">
        <v>7687340</v>
      </c>
      <c r="M34" s="7">
        <v>205770</v>
      </c>
    </row>
    <row r="35" spans="1:13" x14ac:dyDescent="0.2">
      <c r="A35" t="s">
        <v>114</v>
      </c>
      <c r="B35">
        <f t="shared" si="0"/>
        <v>534032</v>
      </c>
      <c r="C35" s="7">
        <v>5340320</v>
      </c>
      <c r="D35" s="7">
        <v>21535610</v>
      </c>
      <c r="E35" s="13" t="s">
        <v>313</v>
      </c>
      <c r="F35" s="13">
        <v>12500670</v>
      </c>
      <c r="G35" s="13">
        <v>5087190</v>
      </c>
      <c r="H35" s="13" t="s">
        <v>313</v>
      </c>
      <c r="I35" s="13" t="s">
        <v>313</v>
      </c>
      <c r="J35" s="7">
        <v>21451450</v>
      </c>
      <c r="K35" s="7">
        <v>12676970</v>
      </c>
      <c r="L35" s="7">
        <v>8520460</v>
      </c>
      <c r="M35" s="7">
        <v>254020</v>
      </c>
    </row>
    <row r="36" spans="1:13" x14ac:dyDescent="0.2">
      <c r="A36" t="s">
        <v>115</v>
      </c>
      <c r="B36">
        <f t="shared" si="0"/>
        <v>684966</v>
      </c>
      <c r="C36" s="7">
        <v>6849660</v>
      </c>
      <c r="D36" s="7">
        <v>24540620</v>
      </c>
      <c r="E36" s="13" t="s">
        <v>313</v>
      </c>
      <c r="F36" s="13">
        <v>14427520</v>
      </c>
      <c r="G36" s="13">
        <v>5712460</v>
      </c>
      <c r="H36" s="13" t="s">
        <v>313</v>
      </c>
      <c r="I36" s="13" t="s">
        <v>313</v>
      </c>
      <c r="J36" s="7">
        <v>24217690</v>
      </c>
      <c r="K36" s="7">
        <v>14209380</v>
      </c>
      <c r="L36" s="7">
        <v>9695880</v>
      </c>
      <c r="M36" s="7">
        <v>312420</v>
      </c>
    </row>
    <row r="37" spans="1:13" x14ac:dyDescent="0.2">
      <c r="A37" t="s">
        <v>116</v>
      </c>
      <c r="B37">
        <f t="shared" si="0"/>
        <v>684395</v>
      </c>
      <c r="C37" s="7">
        <v>6843950</v>
      </c>
      <c r="D37" s="7">
        <v>27690300</v>
      </c>
      <c r="E37" s="13" t="s">
        <v>313</v>
      </c>
      <c r="F37" s="13">
        <v>16879580</v>
      </c>
      <c r="G37" s="13">
        <v>6512270</v>
      </c>
      <c r="H37" s="13" t="s">
        <v>313</v>
      </c>
      <c r="I37" s="13" t="s">
        <v>313</v>
      </c>
      <c r="J37" s="7">
        <v>26949330</v>
      </c>
      <c r="K37" s="7">
        <v>15741620</v>
      </c>
      <c r="L37" s="7">
        <v>10850470</v>
      </c>
      <c r="M37" s="7">
        <v>357240</v>
      </c>
    </row>
    <row r="38" spans="1:13" x14ac:dyDescent="0.2">
      <c r="A38" t="s">
        <v>117</v>
      </c>
      <c r="B38">
        <f t="shared" si="0"/>
        <v>749711</v>
      </c>
      <c r="C38" s="7">
        <v>7497110</v>
      </c>
      <c r="D38" s="7">
        <v>30013720</v>
      </c>
      <c r="E38" s="13" t="s">
        <v>313</v>
      </c>
      <c r="F38" s="13">
        <v>18465470</v>
      </c>
      <c r="G38" s="13">
        <v>7267750</v>
      </c>
      <c r="H38" s="13" t="s">
        <v>313</v>
      </c>
      <c r="I38" s="13" t="s">
        <v>313</v>
      </c>
      <c r="J38" s="7">
        <v>30002990</v>
      </c>
      <c r="K38" s="7">
        <v>17142210</v>
      </c>
      <c r="L38" s="7">
        <v>12427830</v>
      </c>
      <c r="M38" s="7">
        <v>432950</v>
      </c>
    </row>
    <row r="39" spans="1:13" x14ac:dyDescent="0.2">
      <c r="A39" t="s">
        <v>118</v>
      </c>
      <c r="B39">
        <f t="shared" si="0"/>
        <v>836563</v>
      </c>
      <c r="C39" s="7">
        <v>8365630</v>
      </c>
      <c r="D39" s="7">
        <v>31897370</v>
      </c>
      <c r="E39" s="13" t="s">
        <v>313</v>
      </c>
      <c r="F39" s="13">
        <v>20207280</v>
      </c>
      <c r="G39" s="13">
        <v>8034400</v>
      </c>
      <c r="H39" s="13" t="s">
        <v>313</v>
      </c>
      <c r="I39" s="13" t="s">
        <v>313</v>
      </c>
      <c r="J39" s="7">
        <v>32852100</v>
      </c>
      <c r="K39" s="7">
        <v>18720620</v>
      </c>
      <c r="L39" s="7">
        <v>13667690</v>
      </c>
      <c r="M39" s="7">
        <v>463790</v>
      </c>
    </row>
    <row r="40" spans="1:13" x14ac:dyDescent="0.2">
      <c r="A40" t="s">
        <v>119</v>
      </c>
      <c r="B40">
        <f t="shared" si="0"/>
        <v>952410</v>
      </c>
      <c r="C40" s="7">
        <v>9524100</v>
      </c>
      <c r="D40" s="7">
        <v>37780490</v>
      </c>
      <c r="E40" s="13" t="s">
        <v>313</v>
      </c>
      <c r="F40" s="13">
        <v>22971010</v>
      </c>
      <c r="G40" s="13">
        <v>8301210</v>
      </c>
      <c r="H40" s="13" t="s">
        <v>313</v>
      </c>
      <c r="I40" s="13" t="s">
        <v>313</v>
      </c>
      <c r="J40" s="7">
        <v>37606110</v>
      </c>
      <c r="K40" s="7">
        <v>22012870</v>
      </c>
      <c r="L40" s="7">
        <v>15108100</v>
      </c>
      <c r="M40" s="7">
        <v>485140</v>
      </c>
    </row>
    <row r="41" spans="1:13" x14ac:dyDescent="0.2">
      <c r="A41" t="s">
        <v>120</v>
      </c>
      <c r="B41">
        <f t="shared" si="0"/>
        <v>1064704</v>
      </c>
      <c r="C41" s="7">
        <v>10647040</v>
      </c>
      <c r="D41" s="7">
        <v>42884320</v>
      </c>
      <c r="E41" s="13" t="s">
        <v>313</v>
      </c>
      <c r="F41" s="13">
        <v>26221450</v>
      </c>
      <c r="G41" s="13">
        <v>9596270</v>
      </c>
      <c r="H41" s="13" t="s">
        <v>313</v>
      </c>
      <c r="I41" s="13" t="s">
        <v>313</v>
      </c>
      <c r="J41" s="7">
        <v>42659690</v>
      </c>
      <c r="K41" s="7">
        <v>25379050</v>
      </c>
      <c r="L41" s="7">
        <v>16726460</v>
      </c>
      <c r="M41" s="7">
        <v>554170</v>
      </c>
    </row>
    <row r="42" spans="1:13" x14ac:dyDescent="0.2">
      <c r="A42" t="s">
        <v>121</v>
      </c>
      <c r="B42">
        <f t="shared" si="0"/>
        <v>997097</v>
      </c>
      <c r="C42" s="7">
        <v>9970970</v>
      </c>
      <c r="D42" s="7">
        <v>45284220</v>
      </c>
      <c r="E42" s="13" t="s">
        <v>313</v>
      </c>
      <c r="F42" s="13">
        <v>29781340</v>
      </c>
      <c r="G42" s="13">
        <v>11211890</v>
      </c>
      <c r="H42" s="13" t="s">
        <v>313</v>
      </c>
      <c r="I42" s="13" t="s">
        <v>313</v>
      </c>
      <c r="J42" s="7">
        <v>45159460</v>
      </c>
      <c r="K42" s="7">
        <v>26351100</v>
      </c>
      <c r="L42" s="7">
        <v>18124550</v>
      </c>
      <c r="M42" s="7">
        <v>683810</v>
      </c>
    </row>
    <row r="43" spans="1:13" x14ac:dyDescent="0.2">
      <c r="A43" t="s">
        <v>122</v>
      </c>
      <c r="B43">
        <f t="shared" si="0"/>
        <v>1102729</v>
      </c>
      <c r="C43" s="7">
        <v>11027290</v>
      </c>
      <c r="D43" s="7">
        <v>50233520</v>
      </c>
      <c r="E43" s="13" t="s">
        <v>313</v>
      </c>
      <c r="F43" s="13">
        <v>32789470</v>
      </c>
      <c r="G43" s="13">
        <v>12460830</v>
      </c>
      <c r="H43" s="13" t="s">
        <v>313</v>
      </c>
      <c r="I43" s="13" t="s">
        <v>313</v>
      </c>
      <c r="J43" s="7">
        <v>50407470</v>
      </c>
      <c r="K43" s="7">
        <v>28827580</v>
      </c>
      <c r="L43" s="7">
        <v>20782760</v>
      </c>
      <c r="M43" s="7">
        <v>797130</v>
      </c>
    </row>
    <row r="44" spans="1:13" x14ac:dyDescent="0.2">
      <c r="A44" t="s">
        <v>123</v>
      </c>
      <c r="B44">
        <f t="shared" si="0"/>
        <v>1408183</v>
      </c>
      <c r="C44" s="7">
        <v>14081830</v>
      </c>
      <c r="D44" s="7">
        <v>57793960</v>
      </c>
      <c r="E44" s="13" t="s">
        <v>313</v>
      </c>
      <c r="F44" s="13">
        <v>35479580</v>
      </c>
      <c r="G44" s="13">
        <v>13866520</v>
      </c>
      <c r="H44" s="13" t="s">
        <v>313</v>
      </c>
      <c r="I44" s="13" t="s">
        <v>313</v>
      </c>
      <c r="J44" s="7">
        <v>58759140</v>
      </c>
      <c r="K44" s="7">
        <v>34865190</v>
      </c>
      <c r="L44" s="7">
        <v>22951050</v>
      </c>
      <c r="M44" s="7">
        <v>942900</v>
      </c>
    </row>
    <row r="45" spans="1:13" x14ac:dyDescent="0.2">
      <c r="A45" t="s">
        <v>8</v>
      </c>
      <c r="B45">
        <f t="shared" si="0"/>
        <v>1409995</v>
      </c>
      <c r="C45" s="7">
        <v>14099950</v>
      </c>
      <c r="D45" s="7">
        <v>65245260</v>
      </c>
      <c r="E45" s="13" t="s">
        <v>313</v>
      </c>
      <c r="F45" s="13">
        <v>39516570</v>
      </c>
      <c r="G45" s="13">
        <v>15102870</v>
      </c>
      <c r="H45" s="13" t="s">
        <v>313</v>
      </c>
      <c r="I45" s="13" t="s">
        <v>313</v>
      </c>
      <c r="J45" s="7">
        <v>64702540</v>
      </c>
      <c r="K45" s="7">
        <v>38183580</v>
      </c>
      <c r="L45" s="7">
        <v>25565040</v>
      </c>
      <c r="M45" s="7">
        <v>953930</v>
      </c>
    </row>
    <row r="46" spans="1:13" x14ac:dyDescent="0.2">
      <c r="B46">
        <f t="shared" si="0"/>
        <v>0</v>
      </c>
      <c r="D46" s="7"/>
    </row>
    <row r="47" spans="1:13" x14ac:dyDescent="0.2">
      <c r="C47" s="7"/>
    </row>
  </sheetData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B36-EE85-2E4B-954F-DFDE9566E4F0}">
  <dimension ref="A1:L51"/>
  <sheetViews>
    <sheetView topLeftCell="A18" workbookViewId="0">
      <selection activeCell="A3" sqref="A3:L51"/>
    </sheetView>
  </sheetViews>
  <sheetFormatPr baseColWidth="10" defaultRowHeight="16" x14ac:dyDescent="0.2"/>
  <sheetData>
    <row r="1" spans="1:12" x14ac:dyDescent="0.2">
      <c r="A1" t="s">
        <v>287</v>
      </c>
    </row>
    <row r="2" spans="1:12" x14ac:dyDescent="0.2">
      <c r="A2" t="s">
        <v>288</v>
      </c>
    </row>
    <row r="3" spans="1:12" x14ac:dyDescent="0.2">
      <c r="A3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</row>
    <row r="4" spans="1:12" x14ac:dyDescent="0.2">
      <c r="A4" s="11">
        <v>40330</v>
      </c>
      <c r="B4">
        <v>94.2</v>
      </c>
      <c r="C4">
        <v>90.6</v>
      </c>
      <c r="D4">
        <v>100.7</v>
      </c>
      <c r="E4">
        <v>98.6</v>
      </c>
      <c r="F4">
        <v>93.2</v>
      </c>
      <c r="G4">
        <v>88.8</v>
      </c>
      <c r="H4">
        <v>77.900000000000006</v>
      </c>
      <c r="I4">
        <v>102.7</v>
      </c>
      <c r="J4">
        <v>95.3</v>
      </c>
      <c r="K4">
        <v>91.7</v>
      </c>
      <c r="L4">
        <v>89.6</v>
      </c>
    </row>
    <row r="5" spans="1:12" x14ac:dyDescent="0.2">
      <c r="A5" s="11">
        <v>40422</v>
      </c>
      <c r="B5">
        <v>99.8</v>
      </c>
      <c r="C5">
        <v>99.7</v>
      </c>
      <c r="D5">
        <v>95.6</v>
      </c>
      <c r="E5">
        <v>97.9</v>
      </c>
      <c r="F5">
        <v>102.5</v>
      </c>
      <c r="G5">
        <v>98.7</v>
      </c>
      <c r="H5">
        <v>103.2</v>
      </c>
      <c r="I5">
        <v>109.5</v>
      </c>
      <c r="J5">
        <v>99</v>
      </c>
      <c r="K5">
        <v>99.4</v>
      </c>
      <c r="L5">
        <v>92.4</v>
      </c>
    </row>
    <row r="6" spans="1:12" x14ac:dyDescent="0.2">
      <c r="A6" s="11">
        <v>40513</v>
      </c>
      <c r="B6">
        <v>99.4</v>
      </c>
      <c r="C6">
        <v>100.9</v>
      </c>
      <c r="D6">
        <v>92.1</v>
      </c>
      <c r="E6">
        <v>97.9</v>
      </c>
      <c r="F6">
        <v>102</v>
      </c>
      <c r="G6">
        <v>104.7</v>
      </c>
      <c r="H6">
        <v>106.6</v>
      </c>
      <c r="I6">
        <v>94.6</v>
      </c>
      <c r="J6">
        <v>103.6</v>
      </c>
      <c r="K6">
        <v>103.7</v>
      </c>
      <c r="L6">
        <v>113.8</v>
      </c>
    </row>
    <row r="7" spans="1:12" x14ac:dyDescent="0.2">
      <c r="A7" s="11">
        <v>40603</v>
      </c>
      <c r="B7">
        <v>106.6</v>
      </c>
      <c r="C7">
        <v>108.8</v>
      </c>
      <c r="D7">
        <v>112.1</v>
      </c>
      <c r="E7">
        <v>105.5</v>
      </c>
      <c r="F7">
        <v>102.2</v>
      </c>
      <c r="G7">
        <v>107.8</v>
      </c>
      <c r="H7">
        <v>112.3</v>
      </c>
      <c r="I7">
        <v>93.1</v>
      </c>
      <c r="J7">
        <v>102.1</v>
      </c>
      <c r="K7">
        <v>105.1</v>
      </c>
      <c r="L7">
        <v>104.2</v>
      </c>
    </row>
    <row r="8" spans="1:12" x14ac:dyDescent="0.2">
      <c r="A8" s="11">
        <v>40695</v>
      </c>
      <c r="B8">
        <v>116</v>
      </c>
      <c r="C8">
        <v>122.1</v>
      </c>
      <c r="D8">
        <v>126.8</v>
      </c>
      <c r="E8">
        <v>110.7</v>
      </c>
      <c r="F8">
        <v>121.3</v>
      </c>
      <c r="G8">
        <v>118</v>
      </c>
      <c r="H8">
        <v>103</v>
      </c>
      <c r="I8">
        <v>101.2</v>
      </c>
      <c r="J8">
        <v>106.3</v>
      </c>
      <c r="K8">
        <v>104.7</v>
      </c>
      <c r="L8">
        <v>120.9</v>
      </c>
    </row>
    <row r="9" spans="1:12" x14ac:dyDescent="0.2">
      <c r="A9" s="11">
        <v>40787</v>
      </c>
      <c r="B9">
        <v>119.4</v>
      </c>
      <c r="C9">
        <v>131.4</v>
      </c>
      <c r="D9">
        <v>124.8</v>
      </c>
      <c r="E9">
        <v>107.8</v>
      </c>
      <c r="F9">
        <v>130.4</v>
      </c>
      <c r="G9">
        <v>123.1</v>
      </c>
      <c r="H9">
        <v>105</v>
      </c>
      <c r="I9">
        <v>110.4</v>
      </c>
      <c r="J9">
        <v>109.6</v>
      </c>
      <c r="K9">
        <v>106.8</v>
      </c>
      <c r="L9">
        <v>105</v>
      </c>
    </row>
    <row r="10" spans="1:12" x14ac:dyDescent="0.2">
      <c r="A10" s="11">
        <v>40878</v>
      </c>
      <c r="B10">
        <v>125.5</v>
      </c>
      <c r="C10">
        <v>122.8</v>
      </c>
      <c r="D10">
        <v>136.69999999999999</v>
      </c>
      <c r="E10">
        <v>138.6</v>
      </c>
      <c r="F10">
        <v>137.1</v>
      </c>
      <c r="G10">
        <v>131.9</v>
      </c>
      <c r="H10">
        <v>103.2</v>
      </c>
      <c r="I10">
        <v>110.7</v>
      </c>
      <c r="J10">
        <v>108.3</v>
      </c>
      <c r="K10">
        <v>108.5</v>
      </c>
      <c r="L10">
        <v>103.1</v>
      </c>
    </row>
    <row r="11" spans="1:12" x14ac:dyDescent="0.2">
      <c r="A11" s="11">
        <v>40969</v>
      </c>
      <c r="B11">
        <v>134.1</v>
      </c>
      <c r="C11">
        <v>143.5</v>
      </c>
      <c r="D11">
        <v>158.19999999999999</v>
      </c>
      <c r="E11">
        <v>133.30000000000001</v>
      </c>
      <c r="F11">
        <v>141</v>
      </c>
      <c r="G11">
        <v>129.4</v>
      </c>
      <c r="H11">
        <v>106.1</v>
      </c>
      <c r="I11">
        <v>108.2</v>
      </c>
      <c r="J11">
        <v>108.6</v>
      </c>
      <c r="K11">
        <v>114.9</v>
      </c>
      <c r="L11">
        <v>97.8</v>
      </c>
    </row>
    <row r="12" spans="1:12" x14ac:dyDescent="0.2">
      <c r="A12" s="11">
        <v>41061</v>
      </c>
      <c r="B12">
        <v>142.6</v>
      </c>
      <c r="C12">
        <v>147.6</v>
      </c>
      <c r="D12">
        <v>177.3</v>
      </c>
      <c r="E12">
        <v>133.30000000000001</v>
      </c>
      <c r="F12">
        <v>140.80000000000001</v>
      </c>
      <c r="G12">
        <v>136.4</v>
      </c>
      <c r="H12">
        <v>135.19999999999999</v>
      </c>
      <c r="I12">
        <v>119.2</v>
      </c>
      <c r="J12">
        <v>113.4</v>
      </c>
      <c r="K12">
        <v>114.4</v>
      </c>
      <c r="L12">
        <v>98.8</v>
      </c>
    </row>
    <row r="13" spans="1:12" x14ac:dyDescent="0.2">
      <c r="A13" s="11">
        <v>41153</v>
      </c>
      <c r="B13">
        <v>147.1</v>
      </c>
      <c r="C13">
        <v>148.1</v>
      </c>
      <c r="D13">
        <v>183.2</v>
      </c>
      <c r="E13">
        <v>136.6</v>
      </c>
      <c r="F13">
        <v>146.4</v>
      </c>
      <c r="G13">
        <v>156.6</v>
      </c>
      <c r="H13">
        <v>149.1</v>
      </c>
      <c r="I13">
        <v>117.8</v>
      </c>
      <c r="J13">
        <v>117.4</v>
      </c>
      <c r="K13">
        <v>106</v>
      </c>
      <c r="L13">
        <v>127.5</v>
      </c>
    </row>
    <row r="14" spans="1:12" x14ac:dyDescent="0.2">
      <c r="A14" s="11">
        <v>41244</v>
      </c>
      <c r="B14">
        <v>157</v>
      </c>
      <c r="C14">
        <v>158.9</v>
      </c>
      <c r="D14">
        <v>200.7</v>
      </c>
      <c r="E14">
        <v>141.19999999999999</v>
      </c>
      <c r="F14">
        <v>150.6</v>
      </c>
      <c r="G14">
        <v>169.3</v>
      </c>
      <c r="H14">
        <v>162.5</v>
      </c>
      <c r="I14">
        <v>137.6</v>
      </c>
      <c r="J14">
        <v>118.9</v>
      </c>
      <c r="K14">
        <v>92.8</v>
      </c>
      <c r="L14">
        <v>136.5</v>
      </c>
    </row>
    <row r="15" spans="1:12" x14ac:dyDescent="0.2">
      <c r="A15" s="11">
        <v>41334</v>
      </c>
      <c r="B15">
        <v>160.80000000000001</v>
      </c>
      <c r="C15">
        <v>159.5</v>
      </c>
      <c r="D15">
        <v>213.1</v>
      </c>
      <c r="E15">
        <v>141.9</v>
      </c>
      <c r="F15">
        <v>155</v>
      </c>
      <c r="G15">
        <v>166.2</v>
      </c>
      <c r="H15">
        <v>169.4</v>
      </c>
      <c r="I15">
        <v>137.4</v>
      </c>
      <c r="J15">
        <v>129.4</v>
      </c>
      <c r="K15">
        <v>90.9</v>
      </c>
      <c r="L15">
        <v>124.2</v>
      </c>
    </row>
    <row r="16" spans="1:12" x14ac:dyDescent="0.2">
      <c r="A16" s="11">
        <v>41426</v>
      </c>
      <c r="B16">
        <v>162.30000000000001</v>
      </c>
      <c r="C16">
        <v>160</v>
      </c>
      <c r="D16">
        <v>214.8</v>
      </c>
      <c r="E16">
        <v>142.30000000000001</v>
      </c>
      <c r="F16">
        <v>161.9</v>
      </c>
      <c r="G16">
        <v>173.9</v>
      </c>
      <c r="H16">
        <v>171.8</v>
      </c>
      <c r="I16">
        <v>138.30000000000001</v>
      </c>
      <c r="J16">
        <v>129.4</v>
      </c>
      <c r="K16">
        <v>82.4</v>
      </c>
      <c r="L16">
        <v>127</v>
      </c>
    </row>
    <row r="17" spans="1:12" x14ac:dyDescent="0.2">
      <c r="A17" s="11">
        <v>41518</v>
      </c>
      <c r="B17">
        <v>169.2</v>
      </c>
      <c r="C17">
        <v>169.2</v>
      </c>
      <c r="D17">
        <v>215.7</v>
      </c>
      <c r="E17">
        <v>150.4</v>
      </c>
      <c r="F17">
        <v>171.7</v>
      </c>
      <c r="G17">
        <v>186.7</v>
      </c>
      <c r="H17">
        <v>173.5</v>
      </c>
      <c r="I17">
        <v>150</v>
      </c>
      <c r="J17">
        <v>128</v>
      </c>
      <c r="K17">
        <v>92</v>
      </c>
      <c r="L17">
        <v>161.6</v>
      </c>
    </row>
    <row r="18" spans="1:12" x14ac:dyDescent="0.2">
      <c r="A18" s="11">
        <v>41609</v>
      </c>
      <c r="B18">
        <v>172.8</v>
      </c>
      <c r="C18">
        <v>166.5</v>
      </c>
      <c r="D18">
        <v>211.1</v>
      </c>
      <c r="E18">
        <v>169.3</v>
      </c>
      <c r="F18">
        <v>172.6</v>
      </c>
      <c r="G18">
        <v>203.6</v>
      </c>
      <c r="H18">
        <v>168.2</v>
      </c>
      <c r="I18">
        <v>174.3</v>
      </c>
      <c r="J18">
        <v>127.3</v>
      </c>
      <c r="K18">
        <v>81.599999999999994</v>
      </c>
      <c r="L18">
        <v>189.4</v>
      </c>
    </row>
    <row r="19" spans="1:12" x14ac:dyDescent="0.2">
      <c r="A19" s="11">
        <v>41699</v>
      </c>
      <c r="B19">
        <v>180.5</v>
      </c>
      <c r="C19">
        <v>175.4</v>
      </c>
      <c r="D19">
        <v>229.3</v>
      </c>
      <c r="E19">
        <v>184.3</v>
      </c>
      <c r="F19">
        <v>169.4</v>
      </c>
      <c r="G19">
        <v>212.5</v>
      </c>
      <c r="H19">
        <v>169.8</v>
      </c>
      <c r="I19">
        <v>179.3</v>
      </c>
      <c r="J19">
        <v>120</v>
      </c>
      <c r="K19">
        <v>78.400000000000006</v>
      </c>
      <c r="L19">
        <v>166.2</v>
      </c>
    </row>
    <row r="20" spans="1:12" x14ac:dyDescent="0.2">
      <c r="A20" s="11">
        <v>41791</v>
      </c>
      <c r="B20">
        <v>188</v>
      </c>
      <c r="C20">
        <v>183.2</v>
      </c>
      <c r="D20">
        <v>241.7</v>
      </c>
      <c r="E20">
        <v>180.4</v>
      </c>
      <c r="F20">
        <v>173</v>
      </c>
      <c r="G20">
        <v>223.3</v>
      </c>
      <c r="H20">
        <v>194</v>
      </c>
      <c r="I20">
        <v>179.2</v>
      </c>
      <c r="J20">
        <v>120.6</v>
      </c>
      <c r="K20">
        <v>99.4</v>
      </c>
      <c r="L20">
        <v>166.9</v>
      </c>
    </row>
    <row r="21" spans="1:12" x14ac:dyDescent="0.2">
      <c r="A21" s="11">
        <v>41883</v>
      </c>
      <c r="B21">
        <v>193</v>
      </c>
      <c r="C21">
        <v>185.9</v>
      </c>
      <c r="D21">
        <v>251</v>
      </c>
      <c r="E21">
        <v>174.6</v>
      </c>
      <c r="F21">
        <v>183.2</v>
      </c>
      <c r="G21">
        <v>238.7</v>
      </c>
      <c r="H21">
        <v>209.3</v>
      </c>
      <c r="I21">
        <v>172.8</v>
      </c>
      <c r="J21">
        <v>131.69999999999999</v>
      </c>
      <c r="K21">
        <v>101.8</v>
      </c>
      <c r="L21">
        <v>184.2</v>
      </c>
    </row>
    <row r="22" spans="1:12" x14ac:dyDescent="0.2">
      <c r="A22" s="11">
        <v>41974</v>
      </c>
      <c r="B22">
        <v>202</v>
      </c>
      <c r="C22">
        <v>188</v>
      </c>
      <c r="D22">
        <v>273.2</v>
      </c>
      <c r="E22">
        <v>183.1</v>
      </c>
      <c r="F22">
        <v>187.7</v>
      </c>
      <c r="G22">
        <v>243.4</v>
      </c>
      <c r="H22">
        <v>210.8</v>
      </c>
      <c r="I22">
        <v>187.3</v>
      </c>
      <c r="J22">
        <v>143.6</v>
      </c>
      <c r="K22">
        <v>107</v>
      </c>
      <c r="L22">
        <v>180.9</v>
      </c>
    </row>
    <row r="23" spans="1:12" x14ac:dyDescent="0.2">
      <c r="A23" s="11">
        <v>42064</v>
      </c>
      <c r="B23">
        <v>212.1</v>
      </c>
      <c r="C23">
        <v>194.7</v>
      </c>
      <c r="D23">
        <v>290.10000000000002</v>
      </c>
      <c r="E23">
        <v>202.7</v>
      </c>
      <c r="F23">
        <v>185</v>
      </c>
      <c r="G23">
        <v>267.3</v>
      </c>
      <c r="H23">
        <v>224.9</v>
      </c>
      <c r="I23">
        <v>188</v>
      </c>
      <c r="J23">
        <v>140.6</v>
      </c>
      <c r="K23">
        <v>113.5</v>
      </c>
      <c r="L23">
        <v>179.7</v>
      </c>
    </row>
    <row r="24" spans="1:12" x14ac:dyDescent="0.2">
      <c r="A24" s="11">
        <v>42156</v>
      </c>
      <c r="B24">
        <v>215.3</v>
      </c>
      <c r="C24">
        <v>203.5</v>
      </c>
      <c r="D24">
        <v>296.5</v>
      </c>
      <c r="E24">
        <v>208.4</v>
      </c>
      <c r="F24">
        <v>186.6</v>
      </c>
      <c r="G24">
        <v>259.8</v>
      </c>
      <c r="H24">
        <v>231.1</v>
      </c>
      <c r="I24">
        <v>186</v>
      </c>
      <c r="J24">
        <v>132.69999999999999</v>
      </c>
      <c r="K24">
        <v>104.3</v>
      </c>
      <c r="L24">
        <v>172.6</v>
      </c>
    </row>
    <row r="25" spans="1:12" x14ac:dyDescent="0.2">
      <c r="A25" s="11">
        <v>42248</v>
      </c>
      <c r="B25">
        <v>218.2</v>
      </c>
      <c r="C25">
        <v>205.9</v>
      </c>
      <c r="D25">
        <v>299.3</v>
      </c>
      <c r="E25">
        <v>208</v>
      </c>
      <c r="F25">
        <v>196.8</v>
      </c>
      <c r="G25">
        <v>264.7</v>
      </c>
      <c r="H25">
        <v>224.1</v>
      </c>
      <c r="I25">
        <v>194.2</v>
      </c>
      <c r="J25">
        <v>136</v>
      </c>
      <c r="K25">
        <v>110.4</v>
      </c>
      <c r="L25">
        <v>171</v>
      </c>
    </row>
    <row r="26" spans="1:12" x14ac:dyDescent="0.2">
      <c r="A26" s="11">
        <v>42339</v>
      </c>
      <c r="B26">
        <v>221.7</v>
      </c>
      <c r="C26">
        <v>208.9</v>
      </c>
      <c r="D26">
        <v>300</v>
      </c>
      <c r="E26">
        <v>205.9</v>
      </c>
      <c r="F26">
        <v>207.3</v>
      </c>
      <c r="G26">
        <v>282.5</v>
      </c>
      <c r="H26">
        <v>224.1</v>
      </c>
      <c r="I26">
        <v>202.7</v>
      </c>
      <c r="J26">
        <v>136.1</v>
      </c>
      <c r="K26">
        <v>115.1</v>
      </c>
      <c r="L26">
        <v>184.6</v>
      </c>
    </row>
    <row r="27" spans="1:12" x14ac:dyDescent="0.2">
      <c r="A27" s="11">
        <v>42430</v>
      </c>
      <c r="B27">
        <v>219.1</v>
      </c>
      <c r="C27">
        <v>208</v>
      </c>
      <c r="D27">
        <v>302.10000000000002</v>
      </c>
      <c r="E27">
        <v>190</v>
      </c>
      <c r="F27">
        <v>204.1</v>
      </c>
      <c r="G27">
        <v>288.89999999999998</v>
      </c>
      <c r="H27">
        <v>222.3</v>
      </c>
      <c r="I27">
        <v>210.7</v>
      </c>
      <c r="J27">
        <v>126.1</v>
      </c>
      <c r="K27">
        <v>111.6</v>
      </c>
      <c r="L27">
        <v>169.8</v>
      </c>
    </row>
    <row r="28" spans="1:12" x14ac:dyDescent="0.2">
      <c r="A28" s="11">
        <v>42522</v>
      </c>
      <c r="B28">
        <v>231.1</v>
      </c>
      <c r="C28">
        <v>219.2</v>
      </c>
      <c r="D28">
        <v>305.7</v>
      </c>
      <c r="E28">
        <v>220.6</v>
      </c>
      <c r="F28">
        <v>207.6</v>
      </c>
      <c r="G28">
        <v>302.60000000000002</v>
      </c>
      <c r="H28">
        <v>234.9</v>
      </c>
      <c r="I28">
        <v>230.6</v>
      </c>
      <c r="J28">
        <v>126.8</v>
      </c>
      <c r="K28">
        <v>113</v>
      </c>
      <c r="L28">
        <v>199.7</v>
      </c>
    </row>
    <row r="29" spans="1:12" x14ac:dyDescent="0.2">
      <c r="A29" s="11">
        <v>42614</v>
      </c>
      <c r="B29">
        <v>234.9</v>
      </c>
      <c r="C29">
        <v>226.5</v>
      </c>
      <c r="D29">
        <v>314.89999999999998</v>
      </c>
      <c r="E29">
        <v>220.1</v>
      </c>
      <c r="F29">
        <v>214.1</v>
      </c>
      <c r="G29">
        <v>311.60000000000002</v>
      </c>
      <c r="H29">
        <v>231.9</v>
      </c>
      <c r="I29">
        <v>229.3</v>
      </c>
      <c r="J29">
        <v>127.5</v>
      </c>
      <c r="K29">
        <v>107.8</v>
      </c>
      <c r="L29">
        <v>191.7</v>
      </c>
    </row>
    <row r="30" spans="1:12" x14ac:dyDescent="0.2">
      <c r="A30" s="11">
        <v>42705</v>
      </c>
      <c r="B30">
        <v>240.2</v>
      </c>
      <c r="C30">
        <v>235.8</v>
      </c>
      <c r="D30">
        <v>314.60000000000002</v>
      </c>
      <c r="E30">
        <v>225.1</v>
      </c>
      <c r="F30">
        <v>217.8</v>
      </c>
      <c r="G30">
        <v>337.1</v>
      </c>
      <c r="H30">
        <v>240.2</v>
      </c>
      <c r="I30">
        <v>224</v>
      </c>
      <c r="J30">
        <v>128.69999999999999</v>
      </c>
      <c r="K30">
        <v>120.9</v>
      </c>
      <c r="L30">
        <v>182.6</v>
      </c>
    </row>
    <row r="31" spans="1:12" x14ac:dyDescent="0.2">
      <c r="A31" s="11">
        <v>42795</v>
      </c>
      <c r="B31">
        <v>242</v>
      </c>
      <c r="C31">
        <v>243.9</v>
      </c>
      <c r="D31">
        <v>312.60000000000002</v>
      </c>
      <c r="E31">
        <v>218.3</v>
      </c>
      <c r="F31">
        <v>235.4</v>
      </c>
      <c r="G31">
        <v>335.8</v>
      </c>
      <c r="H31">
        <v>242.3</v>
      </c>
      <c r="I31">
        <v>208.9</v>
      </c>
      <c r="J31">
        <v>129.4</v>
      </c>
      <c r="K31">
        <v>130.80000000000001</v>
      </c>
      <c r="L31">
        <v>208.2</v>
      </c>
    </row>
    <row r="32" spans="1:12" x14ac:dyDescent="0.2">
      <c r="A32" s="11">
        <v>42887</v>
      </c>
      <c r="B32">
        <v>251.2</v>
      </c>
      <c r="C32">
        <v>246</v>
      </c>
      <c r="D32">
        <v>341.9</v>
      </c>
      <c r="E32">
        <v>227.7</v>
      </c>
      <c r="F32">
        <v>243.1</v>
      </c>
      <c r="G32">
        <v>341.3</v>
      </c>
      <c r="H32">
        <v>251.4</v>
      </c>
      <c r="I32">
        <v>204.8</v>
      </c>
      <c r="J32">
        <v>132.69999999999999</v>
      </c>
      <c r="K32">
        <v>133.5</v>
      </c>
      <c r="L32">
        <v>189.1</v>
      </c>
    </row>
    <row r="33" spans="1:12" x14ac:dyDescent="0.2">
      <c r="A33" s="11">
        <v>42979</v>
      </c>
      <c r="B33">
        <v>252.4</v>
      </c>
      <c r="C33">
        <v>254.7</v>
      </c>
      <c r="D33">
        <v>335.3</v>
      </c>
      <c r="E33">
        <v>221</v>
      </c>
      <c r="F33">
        <v>236.1</v>
      </c>
      <c r="G33">
        <v>344.4</v>
      </c>
      <c r="H33">
        <v>248.2</v>
      </c>
      <c r="I33">
        <v>213.3</v>
      </c>
      <c r="J33">
        <v>144.5</v>
      </c>
      <c r="K33">
        <v>144.69999999999999</v>
      </c>
      <c r="L33">
        <v>227.4</v>
      </c>
    </row>
    <row r="34" spans="1:12" x14ac:dyDescent="0.2">
      <c r="A34" s="11">
        <v>43070</v>
      </c>
      <c r="B34">
        <v>257.5</v>
      </c>
      <c r="C34">
        <v>257.39999999999998</v>
      </c>
      <c r="D34">
        <v>335.6</v>
      </c>
      <c r="E34">
        <v>225.6</v>
      </c>
      <c r="F34">
        <v>256.8</v>
      </c>
      <c r="G34">
        <v>354</v>
      </c>
      <c r="H34">
        <v>253.4</v>
      </c>
      <c r="I34">
        <v>217</v>
      </c>
      <c r="J34">
        <v>149.4</v>
      </c>
      <c r="K34">
        <v>149.1</v>
      </c>
      <c r="L34">
        <v>231.3</v>
      </c>
    </row>
    <row r="35" spans="1:12" x14ac:dyDescent="0.2">
      <c r="A35" s="11">
        <v>43160</v>
      </c>
      <c r="B35">
        <v>258.2</v>
      </c>
      <c r="C35">
        <v>257.3</v>
      </c>
      <c r="D35">
        <v>324.3</v>
      </c>
      <c r="E35">
        <v>232.9</v>
      </c>
      <c r="F35">
        <v>252</v>
      </c>
      <c r="G35">
        <v>362.2</v>
      </c>
      <c r="H35">
        <v>254.7</v>
      </c>
      <c r="I35">
        <v>227.2</v>
      </c>
      <c r="J35">
        <v>159.19999999999999</v>
      </c>
      <c r="K35">
        <v>152.30000000000001</v>
      </c>
      <c r="L35">
        <v>257.10000000000002</v>
      </c>
    </row>
    <row r="36" spans="1:12" x14ac:dyDescent="0.2">
      <c r="A36" s="11">
        <v>43252</v>
      </c>
      <c r="B36">
        <v>264.60000000000002</v>
      </c>
      <c r="C36">
        <v>264.2</v>
      </c>
      <c r="D36">
        <v>341.6</v>
      </c>
      <c r="E36">
        <v>244.8</v>
      </c>
      <c r="F36">
        <v>254</v>
      </c>
      <c r="G36">
        <v>360.6</v>
      </c>
      <c r="H36">
        <v>254.5</v>
      </c>
      <c r="I36">
        <v>224.5</v>
      </c>
      <c r="J36">
        <v>155.6</v>
      </c>
      <c r="K36">
        <v>148.69999999999999</v>
      </c>
      <c r="L36">
        <v>267</v>
      </c>
    </row>
    <row r="37" spans="1:12" x14ac:dyDescent="0.2">
      <c r="A37" s="11">
        <v>43344</v>
      </c>
      <c r="B37">
        <v>266.7</v>
      </c>
      <c r="C37">
        <v>263.89999999999998</v>
      </c>
      <c r="D37">
        <v>342.1</v>
      </c>
      <c r="E37">
        <v>245.8</v>
      </c>
      <c r="F37">
        <v>258.60000000000002</v>
      </c>
      <c r="G37">
        <v>370</v>
      </c>
      <c r="H37">
        <v>255.9</v>
      </c>
      <c r="I37">
        <v>238.5</v>
      </c>
      <c r="J37">
        <v>157.6</v>
      </c>
      <c r="K37">
        <v>140.30000000000001</v>
      </c>
      <c r="L37">
        <v>274.7</v>
      </c>
    </row>
    <row r="38" spans="1:12" x14ac:dyDescent="0.2">
      <c r="A38" s="11">
        <v>43435</v>
      </c>
      <c r="B38">
        <v>270.7</v>
      </c>
      <c r="C38">
        <v>266</v>
      </c>
      <c r="D38">
        <v>346.7</v>
      </c>
      <c r="E38">
        <v>243.2</v>
      </c>
      <c r="F38">
        <v>261.39999999999998</v>
      </c>
      <c r="G38">
        <v>386.3</v>
      </c>
      <c r="H38">
        <v>262</v>
      </c>
      <c r="I38">
        <v>246.9</v>
      </c>
      <c r="J38">
        <v>152.80000000000001</v>
      </c>
      <c r="K38">
        <v>154.9</v>
      </c>
      <c r="L38">
        <v>298</v>
      </c>
    </row>
    <row r="39" spans="1:12" x14ac:dyDescent="0.2">
      <c r="A39" s="11">
        <v>43525</v>
      </c>
      <c r="B39">
        <v>267.60000000000002</v>
      </c>
      <c r="C39">
        <v>261.39999999999998</v>
      </c>
      <c r="D39">
        <v>328.6</v>
      </c>
      <c r="E39">
        <v>256.10000000000002</v>
      </c>
      <c r="F39">
        <v>262.39999999999998</v>
      </c>
      <c r="G39">
        <v>370.3</v>
      </c>
      <c r="H39">
        <v>265.5</v>
      </c>
      <c r="I39">
        <v>255.3</v>
      </c>
      <c r="J39">
        <v>141</v>
      </c>
      <c r="K39">
        <v>150.1</v>
      </c>
      <c r="L39">
        <v>307.3</v>
      </c>
    </row>
    <row r="40" spans="1:12" x14ac:dyDescent="0.2">
      <c r="A40" s="11">
        <v>43617</v>
      </c>
      <c r="B40">
        <v>273.7</v>
      </c>
      <c r="C40">
        <v>260.60000000000002</v>
      </c>
      <c r="D40">
        <v>342.8</v>
      </c>
      <c r="E40">
        <v>266</v>
      </c>
      <c r="F40">
        <v>264.10000000000002</v>
      </c>
      <c r="G40">
        <v>370.7</v>
      </c>
      <c r="H40">
        <v>266.5</v>
      </c>
      <c r="I40">
        <v>256.60000000000002</v>
      </c>
      <c r="J40">
        <v>161.5</v>
      </c>
      <c r="K40">
        <v>164.9</v>
      </c>
      <c r="L40">
        <v>287.7</v>
      </c>
    </row>
    <row r="41" spans="1:12" x14ac:dyDescent="0.2">
      <c r="A41" s="11">
        <v>43709</v>
      </c>
      <c r="B41">
        <v>275.39999999999998</v>
      </c>
      <c r="C41">
        <v>265</v>
      </c>
      <c r="D41">
        <v>333.1</v>
      </c>
      <c r="E41">
        <v>273.60000000000002</v>
      </c>
      <c r="F41">
        <v>262.8</v>
      </c>
      <c r="G41">
        <v>371.9</v>
      </c>
      <c r="H41">
        <v>275.10000000000002</v>
      </c>
      <c r="I41">
        <v>257.10000000000002</v>
      </c>
      <c r="J41">
        <v>177.3</v>
      </c>
      <c r="K41">
        <v>166</v>
      </c>
      <c r="L41">
        <v>279</v>
      </c>
    </row>
    <row r="42" spans="1:12" x14ac:dyDescent="0.2">
      <c r="A42" s="11">
        <v>43800</v>
      </c>
      <c r="B42">
        <v>278.8</v>
      </c>
      <c r="C42">
        <v>256.8</v>
      </c>
      <c r="D42">
        <v>329.4</v>
      </c>
      <c r="E42">
        <v>283.8</v>
      </c>
      <c r="F42">
        <v>282.3</v>
      </c>
      <c r="G42">
        <v>392</v>
      </c>
      <c r="H42">
        <v>266.5</v>
      </c>
      <c r="I42">
        <v>280.89999999999998</v>
      </c>
      <c r="J42">
        <v>175.5</v>
      </c>
      <c r="K42">
        <v>171.4</v>
      </c>
      <c r="L42">
        <v>280.60000000000002</v>
      </c>
    </row>
    <row r="43" spans="1:12" x14ac:dyDescent="0.2">
      <c r="A43" s="11">
        <v>43891</v>
      </c>
      <c r="B43">
        <v>278.10000000000002</v>
      </c>
      <c r="C43">
        <v>264.39999999999998</v>
      </c>
      <c r="D43">
        <v>325.7</v>
      </c>
      <c r="E43">
        <v>273.8</v>
      </c>
      <c r="F43">
        <v>276.10000000000002</v>
      </c>
      <c r="G43">
        <v>395.5</v>
      </c>
      <c r="H43">
        <v>272.39999999999998</v>
      </c>
      <c r="I43">
        <v>281.5</v>
      </c>
      <c r="J43">
        <v>172.8</v>
      </c>
      <c r="K43">
        <v>172.5</v>
      </c>
      <c r="L43">
        <v>265</v>
      </c>
    </row>
    <row r="44" spans="1:12" x14ac:dyDescent="0.2">
      <c r="A44" s="11">
        <v>43983</v>
      </c>
      <c r="B44">
        <v>281.39999999999998</v>
      </c>
      <c r="C44">
        <v>263</v>
      </c>
      <c r="D44">
        <v>319.8</v>
      </c>
      <c r="E44">
        <v>308.8</v>
      </c>
      <c r="F44">
        <v>278.39999999999998</v>
      </c>
      <c r="G44">
        <v>396.2</v>
      </c>
      <c r="H44">
        <v>270.89999999999998</v>
      </c>
      <c r="I44">
        <v>275.2</v>
      </c>
      <c r="J44">
        <v>172.6</v>
      </c>
      <c r="K44">
        <v>170.4</v>
      </c>
      <c r="L44">
        <v>271.5</v>
      </c>
    </row>
    <row r="45" spans="1:12" x14ac:dyDescent="0.2">
      <c r="A45" s="11">
        <v>44075</v>
      </c>
      <c r="B45">
        <v>278.5</v>
      </c>
      <c r="C45">
        <v>263</v>
      </c>
      <c r="D45">
        <v>314.89999999999998</v>
      </c>
      <c r="E45">
        <v>297.7</v>
      </c>
      <c r="F45">
        <v>286.5</v>
      </c>
      <c r="G45">
        <v>397.5</v>
      </c>
      <c r="H45">
        <v>268.10000000000002</v>
      </c>
      <c r="I45">
        <v>262.8</v>
      </c>
      <c r="J45">
        <v>172.6</v>
      </c>
      <c r="K45">
        <v>171.1</v>
      </c>
      <c r="L45">
        <v>270.10000000000002</v>
      </c>
    </row>
    <row r="46" spans="1:12" x14ac:dyDescent="0.2">
      <c r="A46" s="11">
        <v>44166</v>
      </c>
      <c r="B46">
        <v>284.89999999999998</v>
      </c>
      <c r="C46">
        <v>261.3</v>
      </c>
      <c r="D46">
        <v>329.4</v>
      </c>
      <c r="E46">
        <v>319.10000000000002</v>
      </c>
      <c r="F46">
        <v>273</v>
      </c>
      <c r="G46">
        <v>398.1</v>
      </c>
      <c r="H46">
        <v>280</v>
      </c>
      <c r="I46">
        <v>278.8</v>
      </c>
      <c r="J46">
        <v>171</v>
      </c>
      <c r="K46">
        <v>170.5</v>
      </c>
      <c r="L46">
        <v>258.89999999999998</v>
      </c>
    </row>
    <row r="47" spans="1:12" x14ac:dyDescent="0.2">
      <c r="A47" s="11">
        <v>44256</v>
      </c>
      <c r="B47">
        <v>285.5</v>
      </c>
      <c r="C47">
        <v>266.5</v>
      </c>
      <c r="D47">
        <v>323.2</v>
      </c>
      <c r="E47">
        <v>316.8</v>
      </c>
      <c r="F47">
        <v>284.10000000000002</v>
      </c>
      <c r="G47">
        <v>398.4</v>
      </c>
      <c r="H47">
        <v>276.8</v>
      </c>
      <c r="I47">
        <v>279.3</v>
      </c>
      <c r="J47">
        <v>166.7</v>
      </c>
      <c r="K47">
        <v>171.3</v>
      </c>
      <c r="L47">
        <v>286.2</v>
      </c>
    </row>
    <row r="48" spans="1:12" x14ac:dyDescent="0.2">
      <c r="A48" s="11">
        <v>44348</v>
      </c>
      <c r="B48">
        <v>287</v>
      </c>
      <c r="C48">
        <v>265.89999999999998</v>
      </c>
      <c r="D48">
        <v>315</v>
      </c>
      <c r="E48">
        <v>333.7</v>
      </c>
      <c r="F48">
        <v>302.8</v>
      </c>
      <c r="G48">
        <v>394.9</v>
      </c>
      <c r="H48">
        <v>284</v>
      </c>
      <c r="I48">
        <v>261.2</v>
      </c>
      <c r="J48">
        <v>167.1</v>
      </c>
      <c r="K48">
        <v>169.2</v>
      </c>
      <c r="L48">
        <v>287.3</v>
      </c>
    </row>
    <row r="49" spans="1:12" x14ac:dyDescent="0.2">
      <c r="A49" s="11">
        <v>44440</v>
      </c>
      <c r="B49">
        <v>285.10000000000002</v>
      </c>
      <c r="C49">
        <v>279.8</v>
      </c>
      <c r="D49">
        <v>299.3</v>
      </c>
      <c r="E49">
        <v>313.2</v>
      </c>
      <c r="F49">
        <v>302.60000000000002</v>
      </c>
      <c r="G49">
        <v>395.5</v>
      </c>
      <c r="H49">
        <v>278.7</v>
      </c>
      <c r="I49">
        <v>268.7</v>
      </c>
      <c r="J49">
        <v>181.2</v>
      </c>
      <c r="K49">
        <v>171</v>
      </c>
      <c r="L49">
        <v>297.2</v>
      </c>
    </row>
    <row r="50" spans="1:12" x14ac:dyDescent="0.2">
      <c r="A50" s="11">
        <v>44531</v>
      </c>
      <c r="B50">
        <v>293.8</v>
      </c>
      <c r="C50">
        <v>286</v>
      </c>
      <c r="D50">
        <v>327.7</v>
      </c>
      <c r="E50">
        <v>315.89999999999998</v>
      </c>
      <c r="F50">
        <v>302.8</v>
      </c>
      <c r="G50">
        <v>397.2</v>
      </c>
      <c r="H50">
        <v>288.5</v>
      </c>
      <c r="I50">
        <v>267.5</v>
      </c>
      <c r="J50">
        <v>188.5</v>
      </c>
      <c r="K50">
        <v>170.2</v>
      </c>
      <c r="L50">
        <v>310.10000000000002</v>
      </c>
    </row>
    <row r="51" spans="1:12" x14ac:dyDescent="0.2">
      <c r="A51" s="11">
        <v>44621</v>
      </c>
      <c r="B51">
        <v>290.60000000000002</v>
      </c>
      <c r="C51">
        <v>281.3</v>
      </c>
      <c r="D51">
        <v>326.2</v>
      </c>
      <c r="E51">
        <v>281</v>
      </c>
      <c r="F51">
        <v>295.7</v>
      </c>
      <c r="G51">
        <v>396.8</v>
      </c>
      <c r="H51">
        <v>329.9</v>
      </c>
      <c r="I51">
        <v>277</v>
      </c>
      <c r="J51">
        <v>187</v>
      </c>
      <c r="K51">
        <v>172</v>
      </c>
      <c r="L51">
        <v>307.39999999999998</v>
      </c>
    </row>
  </sheetData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7315-ED41-C44A-9D77-CCA785CAB274}">
  <dimension ref="A1:M71"/>
  <sheetViews>
    <sheetView workbookViewId="0">
      <selection activeCell="L6" activeCellId="5" sqref="A3:C3 A6:C65 H3 H6:H65 L3 L6:L65"/>
    </sheetView>
  </sheetViews>
  <sheetFormatPr baseColWidth="10" defaultRowHeight="16" x14ac:dyDescent="0.2"/>
  <cols>
    <col min="2" max="2" width="15" bestFit="1" customWidth="1"/>
    <col min="3" max="4" width="14.5" bestFit="1" customWidth="1"/>
    <col min="5" max="5" width="15.83203125" bestFit="1" customWidth="1"/>
    <col min="6" max="6" width="14.5" bestFit="1" customWidth="1"/>
    <col min="7" max="7" width="27.83203125" bestFit="1" customWidth="1"/>
    <col min="8" max="8" width="12.6640625" bestFit="1" customWidth="1"/>
    <col min="11" max="11" width="12.6640625" bestFit="1" customWidth="1"/>
    <col min="12" max="12" width="21.5" bestFit="1" customWidth="1"/>
  </cols>
  <sheetData>
    <row r="1" spans="1:13" x14ac:dyDescent="0.2">
      <c r="A1" t="s">
        <v>269</v>
      </c>
    </row>
    <row r="2" spans="1:13" x14ac:dyDescent="0.2">
      <c r="A2" t="s">
        <v>270</v>
      </c>
    </row>
    <row r="3" spans="1:13" x14ac:dyDescent="0.2">
      <c r="A3" t="s">
        <v>271</v>
      </c>
      <c r="B3" t="s">
        <v>272</v>
      </c>
      <c r="C3" t="s">
        <v>273</v>
      </c>
      <c r="D3" t="s">
        <v>273</v>
      </c>
      <c r="E3" t="s">
        <v>273</v>
      </c>
      <c r="F3" t="s">
        <v>273</v>
      </c>
      <c r="G3" t="s">
        <v>273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s">
        <v>276</v>
      </c>
    </row>
    <row r="4" spans="1:13" x14ac:dyDescent="0.2">
      <c r="A4" t="s">
        <v>55</v>
      </c>
      <c r="B4" t="s">
        <v>55</v>
      </c>
      <c r="C4" t="s">
        <v>47</v>
      </c>
      <c r="D4" t="s">
        <v>277</v>
      </c>
      <c r="E4" t="s">
        <v>278</v>
      </c>
      <c r="F4" t="s">
        <v>279</v>
      </c>
      <c r="G4" t="s">
        <v>280</v>
      </c>
      <c r="H4" t="s">
        <v>47</v>
      </c>
      <c r="I4" t="s">
        <v>281</v>
      </c>
      <c r="J4" t="s">
        <v>282</v>
      </c>
      <c r="K4" t="s">
        <v>283</v>
      </c>
      <c r="L4" t="s">
        <v>55</v>
      </c>
      <c r="M4" t="s">
        <v>55</v>
      </c>
    </row>
    <row r="5" spans="1:13" x14ac:dyDescent="0.2">
      <c r="A5" t="s">
        <v>284</v>
      </c>
      <c r="B5">
        <v>100</v>
      </c>
      <c r="C5">
        <v>22.62</v>
      </c>
      <c r="D5">
        <v>15.26</v>
      </c>
      <c r="E5">
        <v>4.12</v>
      </c>
      <c r="F5">
        <v>0.83</v>
      </c>
      <c r="G5">
        <v>2.41</v>
      </c>
      <c r="H5">
        <v>13.15</v>
      </c>
      <c r="I5">
        <v>2.14</v>
      </c>
      <c r="J5">
        <v>7.95</v>
      </c>
      <c r="K5">
        <v>3.06</v>
      </c>
      <c r="L5">
        <v>64.23</v>
      </c>
      <c r="M5">
        <v>24.38</v>
      </c>
    </row>
    <row r="6" spans="1:13" x14ac:dyDescent="0.2">
      <c r="A6" s="11">
        <v>42948</v>
      </c>
      <c r="B6">
        <v>114.8</v>
      </c>
      <c r="C6">
        <v>135.30000000000001</v>
      </c>
      <c r="D6">
        <v>150.9</v>
      </c>
      <c r="E6">
        <v>120.8</v>
      </c>
      <c r="F6">
        <v>120.8</v>
      </c>
      <c r="G6">
        <v>66</v>
      </c>
      <c r="H6">
        <v>89.1</v>
      </c>
      <c r="I6">
        <v>117.5</v>
      </c>
      <c r="J6">
        <v>77</v>
      </c>
      <c r="K6">
        <v>100.6</v>
      </c>
      <c r="L6">
        <v>112.8</v>
      </c>
      <c r="M6">
        <v>142.1</v>
      </c>
    </row>
    <row r="7" spans="1:13" x14ac:dyDescent="0.2">
      <c r="A7" s="11">
        <v>42979</v>
      </c>
      <c r="B7">
        <v>114.9</v>
      </c>
      <c r="C7">
        <v>131.5</v>
      </c>
      <c r="D7">
        <v>144.80000000000001</v>
      </c>
      <c r="E7">
        <v>119.8</v>
      </c>
      <c r="F7">
        <v>129.30000000000001</v>
      </c>
      <c r="G7">
        <v>67.8</v>
      </c>
      <c r="H7">
        <v>91.9</v>
      </c>
      <c r="I7">
        <v>117.5</v>
      </c>
      <c r="J7">
        <v>79.599999999999994</v>
      </c>
      <c r="K7">
        <v>106.1</v>
      </c>
      <c r="L7">
        <v>113.7</v>
      </c>
      <c r="M7">
        <v>138.69999999999999</v>
      </c>
    </row>
    <row r="8" spans="1:13" x14ac:dyDescent="0.2">
      <c r="A8" s="11">
        <v>43009</v>
      </c>
      <c r="B8">
        <v>115.6</v>
      </c>
      <c r="C8">
        <v>133.9</v>
      </c>
      <c r="D8">
        <v>148</v>
      </c>
      <c r="E8">
        <v>118.5</v>
      </c>
      <c r="F8">
        <v>122.3</v>
      </c>
      <c r="G8">
        <v>74.599999999999994</v>
      </c>
      <c r="H8">
        <v>93.8</v>
      </c>
      <c r="I8">
        <v>118.3</v>
      </c>
      <c r="J8">
        <v>82.4</v>
      </c>
      <c r="K8">
        <v>106.1</v>
      </c>
      <c r="L8">
        <v>113.7</v>
      </c>
      <c r="M8">
        <v>140.6</v>
      </c>
    </row>
    <row r="9" spans="1:13" x14ac:dyDescent="0.2">
      <c r="A9" s="11">
        <v>43040</v>
      </c>
      <c r="B9">
        <v>116.4</v>
      </c>
      <c r="C9">
        <v>136</v>
      </c>
      <c r="D9">
        <v>151.1</v>
      </c>
      <c r="E9">
        <v>117.1</v>
      </c>
      <c r="F9">
        <v>121.9</v>
      </c>
      <c r="G9">
        <v>78.3</v>
      </c>
      <c r="H9">
        <v>94.6</v>
      </c>
      <c r="I9">
        <v>117.6</v>
      </c>
      <c r="J9">
        <v>85.2</v>
      </c>
      <c r="K9">
        <v>102.7</v>
      </c>
      <c r="L9">
        <v>114</v>
      </c>
      <c r="M9">
        <v>142.5</v>
      </c>
    </row>
    <row r="10" spans="1:13" x14ac:dyDescent="0.2">
      <c r="A10" s="11">
        <v>43070</v>
      </c>
      <c r="B10">
        <v>115.7</v>
      </c>
      <c r="C10">
        <v>131.69999999999999</v>
      </c>
      <c r="D10">
        <v>144.1</v>
      </c>
      <c r="E10">
        <v>119.2</v>
      </c>
      <c r="F10">
        <v>122.2</v>
      </c>
      <c r="G10">
        <v>78.5</v>
      </c>
      <c r="H10">
        <v>95.5</v>
      </c>
      <c r="I10">
        <v>117</v>
      </c>
      <c r="J10">
        <v>87</v>
      </c>
      <c r="K10">
        <v>102.4</v>
      </c>
      <c r="L10">
        <v>114.2</v>
      </c>
      <c r="M10">
        <v>137.80000000000001</v>
      </c>
    </row>
    <row r="11" spans="1:13" x14ac:dyDescent="0.2">
      <c r="A11" s="11">
        <v>43101</v>
      </c>
      <c r="B11">
        <v>116</v>
      </c>
      <c r="C11">
        <v>129.9</v>
      </c>
      <c r="D11">
        <v>140.80000000000001</v>
      </c>
      <c r="E11">
        <v>120.6</v>
      </c>
      <c r="F11">
        <v>119.7</v>
      </c>
      <c r="G11">
        <v>80.2</v>
      </c>
      <c r="H11">
        <v>97.5</v>
      </c>
      <c r="I11">
        <v>121.1</v>
      </c>
      <c r="J11">
        <v>88.3</v>
      </c>
      <c r="K11">
        <v>105</v>
      </c>
      <c r="L11">
        <v>114.9</v>
      </c>
      <c r="M11">
        <v>135.6</v>
      </c>
    </row>
    <row r="12" spans="1:13" x14ac:dyDescent="0.2">
      <c r="A12" s="11">
        <v>43132</v>
      </c>
      <c r="B12">
        <v>116.1</v>
      </c>
      <c r="C12">
        <v>128</v>
      </c>
      <c r="D12">
        <v>137.9</v>
      </c>
      <c r="E12">
        <v>120.7</v>
      </c>
      <c r="F12">
        <v>121.6</v>
      </c>
      <c r="G12">
        <v>80.099999999999994</v>
      </c>
      <c r="H12">
        <v>98.8</v>
      </c>
      <c r="I12">
        <v>122.6</v>
      </c>
      <c r="J12">
        <v>89.8</v>
      </c>
      <c r="K12">
        <v>105.4</v>
      </c>
      <c r="L12">
        <v>115.5</v>
      </c>
      <c r="M12">
        <v>133.69999999999999</v>
      </c>
    </row>
    <row r="13" spans="1:13" x14ac:dyDescent="0.2">
      <c r="A13" s="11">
        <v>43160</v>
      </c>
      <c r="B13">
        <v>116.3</v>
      </c>
      <c r="C13">
        <v>128.19999999999999</v>
      </c>
      <c r="D13">
        <v>137.30000000000001</v>
      </c>
      <c r="E13">
        <v>120.1</v>
      </c>
      <c r="F13">
        <v>138.30000000000001</v>
      </c>
      <c r="G13">
        <v>81.2</v>
      </c>
      <c r="H13">
        <v>98</v>
      </c>
      <c r="I13">
        <v>122.6</v>
      </c>
      <c r="J13">
        <v>88.5</v>
      </c>
      <c r="K13">
        <v>105.4</v>
      </c>
      <c r="L13">
        <v>115.8</v>
      </c>
      <c r="M13">
        <v>133.69999999999999</v>
      </c>
    </row>
    <row r="14" spans="1:13" x14ac:dyDescent="0.2">
      <c r="A14" s="11">
        <v>43191</v>
      </c>
      <c r="B14">
        <v>117.3</v>
      </c>
      <c r="C14">
        <v>130.69999999999999</v>
      </c>
      <c r="D14">
        <v>139.80000000000001</v>
      </c>
      <c r="E14">
        <v>120.4</v>
      </c>
      <c r="F14">
        <v>140.19999999999999</v>
      </c>
      <c r="G14">
        <v>87.5</v>
      </c>
      <c r="H14">
        <v>99</v>
      </c>
      <c r="I14">
        <v>123.1</v>
      </c>
      <c r="J14">
        <v>90.2</v>
      </c>
      <c r="K14">
        <v>104.9</v>
      </c>
      <c r="L14">
        <v>116.3</v>
      </c>
      <c r="M14">
        <v>135.4</v>
      </c>
    </row>
    <row r="15" spans="1:13" x14ac:dyDescent="0.2">
      <c r="A15" s="11">
        <v>43221</v>
      </c>
      <c r="B15">
        <v>118.3</v>
      </c>
      <c r="C15">
        <v>131.4</v>
      </c>
      <c r="D15">
        <v>140.30000000000001</v>
      </c>
      <c r="E15">
        <v>120.3</v>
      </c>
      <c r="F15">
        <v>129.6</v>
      </c>
      <c r="G15">
        <v>95.1</v>
      </c>
      <c r="H15">
        <v>102.4</v>
      </c>
      <c r="I15">
        <v>123</v>
      </c>
      <c r="J15">
        <v>93.6</v>
      </c>
      <c r="K15">
        <v>110.7</v>
      </c>
      <c r="L15">
        <v>116.9</v>
      </c>
      <c r="M15">
        <v>135.4</v>
      </c>
    </row>
    <row r="16" spans="1:13" x14ac:dyDescent="0.2">
      <c r="A16" s="11">
        <v>43252</v>
      </c>
      <c r="B16">
        <v>119.1</v>
      </c>
      <c r="C16">
        <v>132.5</v>
      </c>
      <c r="D16">
        <v>141.80000000000001</v>
      </c>
      <c r="E16">
        <v>122.5</v>
      </c>
      <c r="F16">
        <v>123.2</v>
      </c>
      <c r="G16">
        <v>94.1</v>
      </c>
      <c r="H16">
        <v>104.4</v>
      </c>
      <c r="I16">
        <v>123</v>
      </c>
      <c r="J16">
        <v>97.3</v>
      </c>
      <c r="K16">
        <v>109.6</v>
      </c>
      <c r="L16">
        <v>117.3</v>
      </c>
      <c r="M16">
        <v>136.80000000000001</v>
      </c>
    </row>
    <row r="17" spans="1:13" x14ac:dyDescent="0.2">
      <c r="A17" s="11">
        <v>43282</v>
      </c>
      <c r="B17">
        <v>119.9</v>
      </c>
      <c r="C17">
        <v>135.30000000000001</v>
      </c>
      <c r="D17">
        <v>144.80000000000001</v>
      </c>
      <c r="E17">
        <v>123.5</v>
      </c>
      <c r="F17">
        <v>135.19999999999999</v>
      </c>
      <c r="G17">
        <v>94.9</v>
      </c>
      <c r="H17">
        <v>104.4</v>
      </c>
      <c r="I17">
        <v>123</v>
      </c>
      <c r="J17">
        <v>97.5</v>
      </c>
      <c r="K17">
        <v>109.6</v>
      </c>
      <c r="L17">
        <v>117.7</v>
      </c>
      <c r="M17">
        <v>138.9</v>
      </c>
    </row>
    <row r="18" spans="1:13" x14ac:dyDescent="0.2">
      <c r="A18" s="11">
        <v>43313</v>
      </c>
      <c r="B18">
        <v>120.1</v>
      </c>
      <c r="C18">
        <v>135.19999999999999</v>
      </c>
      <c r="D18">
        <v>144.80000000000001</v>
      </c>
      <c r="E18">
        <v>124</v>
      </c>
      <c r="F18">
        <v>129.4</v>
      </c>
      <c r="G18">
        <v>95.4</v>
      </c>
      <c r="H18">
        <v>104.9</v>
      </c>
      <c r="I18">
        <v>123</v>
      </c>
      <c r="J18">
        <v>98.3</v>
      </c>
      <c r="K18">
        <v>109.4</v>
      </c>
      <c r="L18">
        <v>117.8</v>
      </c>
      <c r="M18">
        <v>139.1</v>
      </c>
    </row>
    <row r="19" spans="1:13" x14ac:dyDescent="0.2">
      <c r="A19" s="11">
        <v>43344</v>
      </c>
      <c r="B19">
        <v>120.9</v>
      </c>
      <c r="C19">
        <v>135.5</v>
      </c>
      <c r="D19">
        <v>144.5</v>
      </c>
      <c r="E19">
        <v>124</v>
      </c>
      <c r="F19">
        <v>130.4</v>
      </c>
      <c r="G19">
        <v>99.8</v>
      </c>
      <c r="H19">
        <v>107.8</v>
      </c>
      <c r="I19">
        <v>123.2</v>
      </c>
      <c r="J19">
        <v>101.9</v>
      </c>
      <c r="K19">
        <v>112.4</v>
      </c>
      <c r="L19">
        <v>118.4</v>
      </c>
      <c r="M19">
        <v>138.9</v>
      </c>
    </row>
    <row r="20" spans="1:13" x14ac:dyDescent="0.2">
      <c r="A20" s="11">
        <v>43374</v>
      </c>
      <c r="B20">
        <v>122</v>
      </c>
      <c r="C20">
        <v>137.19999999999999</v>
      </c>
      <c r="D20">
        <v>145.9</v>
      </c>
      <c r="E20">
        <v>123.4</v>
      </c>
      <c r="F20">
        <v>140.4</v>
      </c>
      <c r="G20">
        <v>104.1</v>
      </c>
      <c r="H20">
        <v>111.3</v>
      </c>
      <c r="I20">
        <v>123.4</v>
      </c>
      <c r="J20">
        <v>107.6</v>
      </c>
      <c r="K20">
        <v>112.4</v>
      </c>
      <c r="L20">
        <v>118.9</v>
      </c>
      <c r="M20">
        <v>139.9</v>
      </c>
    </row>
    <row r="21" spans="1:13" x14ac:dyDescent="0.2">
      <c r="A21" s="11">
        <v>43405</v>
      </c>
      <c r="B21">
        <v>121.6</v>
      </c>
      <c r="C21">
        <v>136.80000000000001</v>
      </c>
      <c r="D21">
        <v>146.19999999999999</v>
      </c>
      <c r="E21">
        <v>124.6</v>
      </c>
      <c r="F21">
        <v>151.4</v>
      </c>
      <c r="G21">
        <v>92.9</v>
      </c>
      <c r="H21">
        <v>109.3</v>
      </c>
      <c r="I21">
        <v>123.4</v>
      </c>
      <c r="J21">
        <v>105.5</v>
      </c>
      <c r="K21">
        <v>109.3</v>
      </c>
      <c r="L21">
        <v>118.8</v>
      </c>
      <c r="M21">
        <v>139.69999999999999</v>
      </c>
    </row>
    <row r="22" spans="1:13" x14ac:dyDescent="0.2">
      <c r="A22" s="11">
        <v>43435</v>
      </c>
      <c r="B22">
        <v>119.7</v>
      </c>
      <c r="C22">
        <v>133.5</v>
      </c>
      <c r="D22">
        <v>143.5</v>
      </c>
      <c r="E22">
        <v>124.4</v>
      </c>
      <c r="F22">
        <v>139.30000000000001</v>
      </c>
      <c r="G22">
        <v>83.3</v>
      </c>
      <c r="H22">
        <v>102.8</v>
      </c>
      <c r="I22">
        <v>123.4</v>
      </c>
      <c r="J22">
        <v>94.2</v>
      </c>
      <c r="K22">
        <v>110.7</v>
      </c>
      <c r="L22">
        <v>118.3</v>
      </c>
      <c r="M22">
        <v>137.6</v>
      </c>
    </row>
    <row r="23" spans="1:13" x14ac:dyDescent="0.2">
      <c r="A23" s="11">
        <v>43466</v>
      </c>
      <c r="B23">
        <v>119.2</v>
      </c>
      <c r="C23">
        <v>133.80000000000001</v>
      </c>
      <c r="D23">
        <v>144.19999999999999</v>
      </c>
      <c r="E23">
        <v>123.4</v>
      </c>
      <c r="F23">
        <v>136.69999999999999</v>
      </c>
      <c r="G23">
        <v>84.7</v>
      </c>
      <c r="H23">
        <v>99.3</v>
      </c>
      <c r="I23">
        <v>123.6</v>
      </c>
      <c r="J23">
        <v>88.4</v>
      </c>
      <c r="K23">
        <v>110.7</v>
      </c>
      <c r="L23">
        <v>118.1</v>
      </c>
      <c r="M23">
        <v>138.30000000000001</v>
      </c>
    </row>
    <row r="24" spans="1:13" x14ac:dyDescent="0.2">
      <c r="A24" s="11">
        <v>43497</v>
      </c>
      <c r="B24">
        <v>119.5</v>
      </c>
      <c r="C24">
        <v>134.1</v>
      </c>
      <c r="D24">
        <v>143.69999999999999</v>
      </c>
      <c r="E24">
        <v>123.2</v>
      </c>
      <c r="F24">
        <v>144</v>
      </c>
      <c r="G24">
        <v>88.2</v>
      </c>
      <c r="H24">
        <v>100.5</v>
      </c>
      <c r="I24">
        <v>123.6</v>
      </c>
      <c r="J24">
        <v>91.4</v>
      </c>
      <c r="K24">
        <v>108.2</v>
      </c>
      <c r="L24">
        <v>118.2</v>
      </c>
      <c r="M24">
        <v>138.1</v>
      </c>
    </row>
    <row r="25" spans="1:13" x14ac:dyDescent="0.2">
      <c r="A25" s="11">
        <v>43525</v>
      </c>
      <c r="B25">
        <v>119.9</v>
      </c>
      <c r="C25">
        <v>134.5</v>
      </c>
      <c r="D25">
        <v>144.5</v>
      </c>
      <c r="E25">
        <v>123.7</v>
      </c>
      <c r="F25">
        <v>138</v>
      </c>
      <c r="G25">
        <v>88.2</v>
      </c>
      <c r="H25">
        <v>102.5</v>
      </c>
      <c r="I25">
        <v>123.6</v>
      </c>
      <c r="J25">
        <v>95</v>
      </c>
      <c r="K25">
        <v>107.3</v>
      </c>
      <c r="L25">
        <v>118.3</v>
      </c>
      <c r="M25">
        <v>138.5</v>
      </c>
    </row>
    <row r="26" spans="1:13" x14ac:dyDescent="0.2">
      <c r="A26" s="11">
        <v>43556</v>
      </c>
      <c r="B26">
        <v>121.1</v>
      </c>
      <c r="C26">
        <v>139.30000000000001</v>
      </c>
      <c r="D26">
        <v>148.80000000000001</v>
      </c>
      <c r="E26">
        <v>127.7</v>
      </c>
      <c r="F26">
        <v>158</v>
      </c>
      <c r="G26">
        <v>92.7</v>
      </c>
      <c r="H26">
        <v>102.8</v>
      </c>
      <c r="I26">
        <v>123.6</v>
      </c>
      <c r="J26">
        <v>95.4</v>
      </c>
      <c r="K26">
        <v>107.3</v>
      </c>
      <c r="L26">
        <v>118.5</v>
      </c>
      <c r="M26">
        <v>141.5</v>
      </c>
    </row>
    <row r="27" spans="1:13" x14ac:dyDescent="0.2">
      <c r="A27" s="11">
        <v>43586</v>
      </c>
      <c r="B27">
        <v>121.6</v>
      </c>
      <c r="C27">
        <v>140.30000000000001</v>
      </c>
      <c r="D27">
        <v>150.6</v>
      </c>
      <c r="E27">
        <v>127.5</v>
      </c>
      <c r="F27">
        <v>153.4</v>
      </c>
      <c r="G27">
        <v>92.4</v>
      </c>
      <c r="H27">
        <v>104.4</v>
      </c>
      <c r="I27">
        <v>123.6</v>
      </c>
      <c r="J27">
        <v>96.8</v>
      </c>
      <c r="K27">
        <v>110.7</v>
      </c>
      <c r="L27">
        <v>118.6</v>
      </c>
      <c r="M27">
        <v>142.80000000000001</v>
      </c>
    </row>
    <row r="28" spans="1:13" x14ac:dyDescent="0.2">
      <c r="A28" s="11">
        <v>43617</v>
      </c>
      <c r="B28">
        <v>121.5</v>
      </c>
      <c r="C28">
        <v>141</v>
      </c>
      <c r="D28">
        <v>152.19999999999999</v>
      </c>
      <c r="E28">
        <v>128.69999999999999</v>
      </c>
      <c r="F28">
        <v>153.4</v>
      </c>
      <c r="G28">
        <v>87.2</v>
      </c>
      <c r="H28">
        <v>102.2</v>
      </c>
      <c r="I28">
        <v>124</v>
      </c>
      <c r="J28">
        <v>94</v>
      </c>
      <c r="K28">
        <v>108.3</v>
      </c>
      <c r="L28">
        <v>118.5</v>
      </c>
      <c r="M28">
        <v>144.19999999999999</v>
      </c>
    </row>
    <row r="29" spans="1:13" x14ac:dyDescent="0.2">
      <c r="A29" s="11">
        <v>43647</v>
      </c>
      <c r="B29">
        <v>121.3</v>
      </c>
      <c r="C29">
        <v>142.80000000000001</v>
      </c>
      <c r="D29">
        <v>154.30000000000001</v>
      </c>
      <c r="E29">
        <v>128.69999999999999</v>
      </c>
      <c r="F29">
        <v>163.6</v>
      </c>
      <c r="G29">
        <v>87.2</v>
      </c>
      <c r="H29">
        <v>100.6</v>
      </c>
      <c r="I29">
        <v>124</v>
      </c>
      <c r="J29">
        <v>91.4</v>
      </c>
      <c r="K29">
        <v>108.3</v>
      </c>
      <c r="L29">
        <v>118</v>
      </c>
      <c r="M29">
        <v>145.69999999999999</v>
      </c>
    </row>
    <row r="30" spans="1:13" x14ac:dyDescent="0.2">
      <c r="A30" s="11">
        <v>43678</v>
      </c>
      <c r="B30">
        <v>121.5</v>
      </c>
      <c r="C30">
        <v>144</v>
      </c>
      <c r="D30">
        <v>156.1</v>
      </c>
      <c r="E30">
        <v>129.80000000000001</v>
      </c>
      <c r="F30">
        <v>158.4</v>
      </c>
      <c r="G30">
        <v>86.4</v>
      </c>
      <c r="H30">
        <v>101.2</v>
      </c>
      <c r="I30">
        <v>124</v>
      </c>
      <c r="J30">
        <v>91.4</v>
      </c>
      <c r="K30">
        <v>110.7</v>
      </c>
      <c r="L30">
        <v>117.8</v>
      </c>
      <c r="M30">
        <v>147.30000000000001</v>
      </c>
    </row>
    <row r="31" spans="1:13" x14ac:dyDescent="0.2">
      <c r="A31" s="11">
        <v>43709</v>
      </c>
      <c r="B31">
        <v>121.3</v>
      </c>
      <c r="C31">
        <v>143</v>
      </c>
      <c r="D31">
        <v>155.4</v>
      </c>
      <c r="E31">
        <v>126.8</v>
      </c>
      <c r="F31">
        <v>154.80000000000001</v>
      </c>
      <c r="G31">
        <v>88</v>
      </c>
      <c r="H31">
        <v>100.6</v>
      </c>
      <c r="I31">
        <v>124.8</v>
      </c>
      <c r="J31">
        <v>90.5</v>
      </c>
      <c r="K31">
        <v>110</v>
      </c>
      <c r="L31">
        <v>117.9</v>
      </c>
      <c r="M31">
        <v>147.4</v>
      </c>
    </row>
    <row r="32" spans="1:13" x14ac:dyDescent="0.2">
      <c r="A32" s="11">
        <v>43739</v>
      </c>
      <c r="B32">
        <v>122</v>
      </c>
      <c r="C32">
        <v>145.5</v>
      </c>
      <c r="D32">
        <v>160.19999999999999</v>
      </c>
      <c r="E32">
        <v>126.1</v>
      </c>
      <c r="F32">
        <v>153.6</v>
      </c>
      <c r="G32">
        <v>82.8</v>
      </c>
      <c r="H32">
        <v>102.3</v>
      </c>
      <c r="I32">
        <v>126.5</v>
      </c>
      <c r="J32">
        <v>92.8</v>
      </c>
      <c r="K32">
        <v>110</v>
      </c>
      <c r="L32">
        <v>117.8</v>
      </c>
      <c r="M32">
        <v>150.6</v>
      </c>
    </row>
    <row r="33" spans="1:13" x14ac:dyDescent="0.2">
      <c r="A33" s="11">
        <v>43770</v>
      </c>
      <c r="B33">
        <v>122.3</v>
      </c>
      <c r="C33">
        <v>147.19999999999999</v>
      </c>
      <c r="D33">
        <v>162.6</v>
      </c>
      <c r="E33">
        <v>127</v>
      </c>
      <c r="F33">
        <v>142.6</v>
      </c>
      <c r="G33">
        <v>86</v>
      </c>
      <c r="H33">
        <v>101.3</v>
      </c>
      <c r="I33">
        <v>126.5</v>
      </c>
      <c r="J33">
        <v>91.1</v>
      </c>
      <c r="K33">
        <v>110</v>
      </c>
      <c r="L33">
        <v>117.8</v>
      </c>
      <c r="M33">
        <v>152.4</v>
      </c>
    </row>
    <row r="34" spans="1:13" x14ac:dyDescent="0.2">
      <c r="A34" s="11">
        <v>43800</v>
      </c>
      <c r="B34">
        <v>123</v>
      </c>
      <c r="C34">
        <v>148.9</v>
      </c>
      <c r="D34">
        <v>162.6</v>
      </c>
      <c r="E34">
        <v>134</v>
      </c>
      <c r="F34">
        <v>147.6</v>
      </c>
      <c r="G34">
        <v>88.2</v>
      </c>
      <c r="H34">
        <v>103.2</v>
      </c>
      <c r="I34">
        <v>126.5</v>
      </c>
      <c r="J34">
        <v>91.3</v>
      </c>
      <c r="K34">
        <v>117.9</v>
      </c>
      <c r="L34">
        <v>118</v>
      </c>
      <c r="M34">
        <v>153</v>
      </c>
    </row>
    <row r="35" spans="1:13" x14ac:dyDescent="0.2">
      <c r="A35" s="11">
        <v>43831</v>
      </c>
      <c r="B35">
        <v>123.4</v>
      </c>
      <c r="C35">
        <v>147.19999999999999</v>
      </c>
      <c r="D35">
        <v>160.5</v>
      </c>
      <c r="E35">
        <v>132.1</v>
      </c>
      <c r="F35">
        <v>153.80000000000001</v>
      </c>
      <c r="G35">
        <v>86.9</v>
      </c>
      <c r="H35">
        <v>104.7</v>
      </c>
      <c r="I35">
        <v>126.5</v>
      </c>
      <c r="J35">
        <v>93.8</v>
      </c>
      <c r="K35">
        <v>117.9</v>
      </c>
      <c r="L35">
        <v>118.8</v>
      </c>
      <c r="M35">
        <v>152.19999999999999</v>
      </c>
    </row>
    <row r="36" spans="1:13" x14ac:dyDescent="0.2">
      <c r="A36" s="11">
        <v>43862</v>
      </c>
      <c r="B36">
        <v>122.2</v>
      </c>
      <c r="C36">
        <v>142.80000000000001</v>
      </c>
      <c r="D36">
        <v>154.69999999999999</v>
      </c>
      <c r="E36">
        <v>131.69999999999999</v>
      </c>
      <c r="F36">
        <v>157.4</v>
      </c>
      <c r="G36">
        <v>81.3</v>
      </c>
      <c r="H36">
        <v>103.6</v>
      </c>
      <c r="I36">
        <v>126.5</v>
      </c>
      <c r="J36">
        <v>92.4</v>
      </c>
      <c r="K36">
        <v>116.6</v>
      </c>
      <c r="L36">
        <v>118.8</v>
      </c>
      <c r="M36">
        <v>148.1</v>
      </c>
    </row>
    <row r="37" spans="1:13" x14ac:dyDescent="0.2">
      <c r="A37" s="11">
        <v>43891</v>
      </c>
      <c r="B37">
        <v>120.4</v>
      </c>
      <c r="C37">
        <v>137.4</v>
      </c>
      <c r="D37">
        <v>151.19999999999999</v>
      </c>
      <c r="E37">
        <v>124.8</v>
      </c>
      <c r="F37">
        <v>156.80000000000001</v>
      </c>
      <c r="G37">
        <v>64.7</v>
      </c>
      <c r="H37">
        <v>99.5</v>
      </c>
      <c r="I37">
        <v>126.5</v>
      </c>
      <c r="J37">
        <v>86.7</v>
      </c>
      <c r="K37">
        <v>113.9</v>
      </c>
      <c r="L37">
        <v>118.6</v>
      </c>
      <c r="M37">
        <v>145.69999999999999</v>
      </c>
    </row>
    <row r="38" spans="1:13" x14ac:dyDescent="0.2">
      <c r="A38" s="11">
        <v>43922</v>
      </c>
      <c r="B38">
        <v>119.2</v>
      </c>
      <c r="C38">
        <v>137.80000000000001</v>
      </c>
      <c r="D38">
        <v>154.5</v>
      </c>
      <c r="E38">
        <v>123.9</v>
      </c>
      <c r="F38">
        <v>154.1</v>
      </c>
      <c r="G38">
        <v>49.9</v>
      </c>
      <c r="H38">
        <v>89.8</v>
      </c>
      <c r="I38">
        <v>126.5</v>
      </c>
      <c r="J38">
        <v>70.599999999999994</v>
      </c>
      <c r="K38">
        <v>113.9</v>
      </c>
      <c r="L38">
        <v>118.7</v>
      </c>
      <c r="M38">
        <v>147.69999999999999</v>
      </c>
    </row>
    <row r="39" spans="1:13" x14ac:dyDescent="0.2">
      <c r="A39" s="11">
        <v>43952</v>
      </c>
      <c r="B39">
        <v>117.5</v>
      </c>
      <c r="C39">
        <v>137.30000000000001</v>
      </c>
      <c r="D39">
        <v>153.1</v>
      </c>
      <c r="E39">
        <v>122.5</v>
      </c>
      <c r="F39">
        <v>150.9</v>
      </c>
      <c r="G39">
        <v>57.8</v>
      </c>
      <c r="H39">
        <v>80.3</v>
      </c>
      <c r="I39">
        <v>126.4</v>
      </c>
      <c r="J39">
        <v>58.4</v>
      </c>
      <c r="K39">
        <v>105</v>
      </c>
      <c r="L39">
        <v>118.2</v>
      </c>
      <c r="M39">
        <v>146.69999999999999</v>
      </c>
    </row>
    <row r="40" spans="1:13" x14ac:dyDescent="0.2">
      <c r="A40" s="11">
        <v>43983</v>
      </c>
      <c r="B40">
        <v>119.3</v>
      </c>
      <c r="C40">
        <v>140.9</v>
      </c>
      <c r="D40">
        <v>155.4</v>
      </c>
      <c r="E40">
        <v>125.1</v>
      </c>
      <c r="F40">
        <v>166.3</v>
      </c>
      <c r="G40">
        <v>67.7</v>
      </c>
      <c r="H40">
        <v>85.6</v>
      </c>
      <c r="I40">
        <v>126.4</v>
      </c>
      <c r="J40">
        <v>68.599999999999994</v>
      </c>
      <c r="K40">
        <v>101</v>
      </c>
      <c r="L40">
        <v>118.6</v>
      </c>
      <c r="M40">
        <v>148.69999999999999</v>
      </c>
    </row>
    <row r="41" spans="1:13" x14ac:dyDescent="0.2">
      <c r="A41" s="11">
        <v>44013</v>
      </c>
      <c r="B41">
        <v>121</v>
      </c>
      <c r="C41">
        <v>145.1</v>
      </c>
      <c r="D41">
        <v>161.30000000000001</v>
      </c>
      <c r="E41">
        <v>123.8</v>
      </c>
      <c r="F41">
        <v>166.5</v>
      </c>
      <c r="G41">
        <v>71</v>
      </c>
      <c r="H41">
        <v>90.7</v>
      </c>
      <c r="I41">
        <v>126.4</v>
      </c>
      <c r="J41">
        <v>77.099999999999994</v>
      </c>
      <c r="K41">
        <v>101</v>
      </c>
      <c r="L41">
        <v>118.7</v>
      </c>
      <c r="M41">
        <v>152.5</v>
      </c>
    </row>
    <row r="42" spans="1:13" x14ac:dyDescent="0.2">
      <c r="A42" s="11">
        <v>44044</v>
      </c>
      <c r="B42">
        <v>122</v>
      </c>
      <c r="C42">
        <v>146.69999999999999</v>
      </c>
      <c r="D42">
        <v>163</v>
      </c>
      <c r="E42">
        <v>125.5</v>
      </c>
      <c r="F42">
        <v>167.6</v>
      </c>
      <c r="G42">
        <v>72.2</v>
      </c>
      <c r="H42">
        <v>92</v>
      </c>
      <c r="I42">
        <v>126.4</v>
      </c>
      <c r="J42">
        <v>78.400000000000006</v>
      </c>
      <c r="K42">
        <v>103.4</v>
      </c>
      <c r="L42">
        <v>119.4</v>
      </c>
      <c r="M42">
        <v>154.30000000000001</v>
      </c>
    </row>
    <row r="43" spans="1:13" x14ac:dyDescent="0.2">
      <c r="A43" s="11">
        <v>44075</v>
      </c>
      <c r="B43">
        <v>122.9</v>
      </c>
      <c r="C43">
        <v>148.80000000000001</v>
      </c>
      <c r="D43">
        <v>168.4</v>
      </c>
      <c r="E43">
        <v>124.5</v>
      </c>
      <c r="F43">
        <v>145.5</v>
      </c>
      <c r="G43">
        <v>67.400000000000006</v>
      </c>
      <c r="H43">
        <v>91.9</v>
      </c>
      <c r="I43">
        <v>126.4</v>
      </c>
      <c r="J43">
        <v>77.5</v>
      </c>
      <c r="K43">
        <v>105.3</v>
      </c>
      <c r="L43">
        <v>120.1</v>
      </c>
      <c r="M43">
        <v>158</v>
      </c>
    </row>
    <row r="44" spans="1:13" x14ac:dyDescent="0.2">
      <c r="A44" s="11">
        <v>44105</v>
      </c>
      <c r="B44">
        <v>123.6</v>
      </c>
      <c r="C44">
        <v>151.80000000000001</v>
      </c>
      <c r="D44">
        <v>171.5</v>
      </c>
      <c r="E44">
        <v>129.80000000000001</v>
      </c>
      <c r="F44">
        <v>153.30000000000001</v>
      </c>
      <c r="G44">
        <v>63.8</v>
      </c>
      <c r="H44">
        <v>90.9</v>
      </c>
      <c r="I44">
        <v>126.4</v>
      </c>
      <c r="J44">
        <v>75.8</v>
      </c>
      <c r="K44">
        <v>105.3</v>
      </c>
      <c r="L44">
        <v>120.4</v>
      </c>
      <c r="M44">
        <v>159.9</v>
      </c>
    </row>
    <row r="45" spans="1:13" x14ac:dyDescent="0.2">
      <c r="A45" s="11">
        <v>44136</v>
      </c>
      <c r="B45">
        <v>125.1</v>
      </c>
      <c r="C45">
        <v>152.80000000000001</v>
      </c>
      <c r="D45">
        <v>170.1</v>
      </c>
      <c r="E45">
        <v>138</v>
      </c>
      <c r="F45">
        <v>157.4</v>
      </c>
      <c r="G45">
        <v>67.5</v>
      </c>
      <c r="H45">
        <v>94.2</v>
      </c>
      <c r="I45">
        <v>126.5</v>
      </c>
      <c r="J45">
        <v>76.599999999999994</v>
      </c>
      <c r="K45">
        <v>117.4</v>
      </c>
      <c r="L45">
        <v>121.6</v>
      </c>
      <c r="M45">
        <v>159.69999999999999</v>
      </c>
    </row>
    <row r="46" spans="1:13" x14ac:dyDescent="0.2">
      <c r="A46" s="11">
        <v>44166</v>
      </c>
      <c r="B46">
        <v>125.4</v>
      </c>
      <c r="C46">
        <v>148</v>
      </c>
      <c r="D46">
        <v>161.1</v>
      </c>
      <c r="E46">
        <v>138</v>
      </c>
      <c r="F46">
        <v>172.2</v>
      </c>
      <c r="G46">
        <v>74.099999999999994</v>
      </c>
      <c r="H46">
        <v>96.9</v>
      </c>
      <c r="I46">
        <v>127</v>
      </c>
      <c r="J46">
        <v>81.099999999999994</v>
      </c>
      <c r="K46">
        <v>116.9</v>
      </c>
      <c r="L46">
        <v>123.3</v>
      </c>
      <c r="M46">
        <v>154.69999999999999</v>
      </c>
    </row>
    <row r="47" spans="1:13" x14ac:dyDescent="0.2">
      <c r="A47" s="11">
        <v>44197</v>
      </c>
      <c r="B47">
        <v>126.5</v>
      </c>
      <c r="C47">
        <v>144.9</v>
      </c>
      <c r="D47">
        <v>155.80000000000001</v>
      </c>
      <c r="E47">
        <v>137.69999999999999</v>
      </c>
      <c r="F47">
        <v>172.8</v>
      </c>
      <c r="G47">
        <v>78.7</v>
      </c>
      <c r="H47">
        <v>100.7</v>
      </c>
      <c r="I47">
        <v>127</v>
      </c>
      <c r="J47">
        <v>87.4</v>
      </c>
      <c r="K47">
        <v>116.9</v>
      </c>
      <c r="L47">
        <v>125.3</v>
      </c>
      <c r="M47">
        <v>151.80000000000001</v>
      </c>
    </row>
    <row r="48" spans="1:13" x14ac:dyDescent="0.2">
      <c r="A48" s="11">
        <v>44228</v>
      </c>
      <c r="B48">
        <v>128.1</v>
      </c>
      <c r="C48">
        <v>147.1</v>
      </c>
      <c r="D48">
        <v>157.5</v>
      </c>
      <c r="E48">
        <v>137</v>
      </c>
      <c r="F48">
        <v>184.3</v>
      </c>
      <c r="G48">
        <v>85.6</v>
      </c>
      <c r="H48">
        <v>105.7</v>
      </c>
      <c r="I48">
        <v>126.9</v>
      </c>
      <c r="J48">
        <v>95.3</v>
      </c>
      <c r="K48">
        <v>117.6</v>
      </c>
      <c r="L48">
        <v>126</v>
      </c>
      <c r="M48">
        <v>153.4</v>
      </c>
    </row>
    <row r="49" spans="1:13" x14ac:dyDescent="0.2">
      <c r="A49" s="11">
        <v>44256</v>
      </c>
      <c r="B49">
        <v>129.9</v>
      </c>
      <c r="C49">
        <v>147.4</v>
      </c>
      <c r="D49">
        <v>156.4</v>
      </c>
      <c r="E49">
        <v>139.69999999999999</v>
      </c>
      <c r="F49">
        <v>188.1</v>
      </c>
      <c r="G49">
        <v>89.6</v>
      </c>
      <c r="H49">
        <v>109.2</v>
      </c>
      <c r="I49">
        <v>126.9</v>
      </c>
      <c r="J49">
        <v>103.7</v>
      </c>
      <c r="K49">
        <v>111.1</v>
      </c>
      <c r="L49">
        <v>127.9</v>
      </c>
      <c r="M49">
        <v>153.9</v>
      </c>
    </row>
    <row r="50" spans="1:13" x14ac:dyDescent="0.2">
      <c r="A50" s="11">
        <v>44287</v>
      </c>
      <c r="B50">
        <v>132</v>
      </c>
      <c r="C50">
        <v>151.5</v>
      </c>
      <c r="D50">
        <v>161.6</v>
      </c>
      <c r="E50">
        <v>143.19999999999999</v>
      </c>
      <c r="F50">
        <v>185.9</v>
      </c>
      <c r="G50">
        <v>90.2</v>
      </c>
      <c r="H50">
        <v>108.9</v>
      </c>
      <c r="I50">
        <v>127.3</v>
      </c>
      <c r="J50">
        <v>103.1</v>
      </c>
      <c r="K50">
        <v>111.1</v>
      </c>
      <c r="L50">
        <v>129.9</v>
      </c>
      <c r="M50">
        <v>158.80000000000001</v>
      </c>
    </row>
    <row r="51" spans="1:13" x14ac:dyDescent="0.2">
      <c r="A51" s="11">
        <v>44317</v>
      </c>
      <c r="B51">
        <v>132.9</v>
      </c>
      <c r="C51">
        <v>150.19999999999999</v>
      </c>
      <c r="D51">
        <v>159.6</v>
      </c>
      <c r="E51">
        <v>145</v>
      </c>
      <c r="F51">
        <v>170.9</v>
      </c>
      <c r="G51">
        <v>92.2</v>
      </c>
      <c r="H51">
        <v>109.8</v>
      </c>
      <c r="I51">
        <v>127.3</v>
      </c>
      <c r="J51">
        <v>106.9</v>
      </c>
      <c r="K51">
        <v>105.2</v>
      </c>
      <c r="L51">
        <v>131.5</v>
      </c>
      <c r="M51">
        <v>158.80000000000001</v>
      </c>
    </row>
    <row r="52" spans="1:13" x14ac:dyDescent="0.2">
      <c r="A52" s="11">
        <v>44348</v>
      </c>
      <c r="B52">
        <v>133.69999999999999</v>
      </c>
      <c r="C52">
        <v>153</v>
      </c>
      <c r="D52">
        <v>160.5</v>
      </c>
      <c r="E52">
        <v>148.4</v>
      </c>
      <c r="F52">
        <v>191.8</v>
      </c>
      <c r="G52">
        <v>99.5</v>
      </c>
      <c r="H52">
        <v>110.7</v>
      </c>
      <c r="I52">
        <v>127.3</v>
      </c>
      <c r="J52">
        <v>111</v>
      </c>
      <c r="K52">
        <v>98.2</v>
      </c>
      <c r="L52">
        <v>131.6</v>
      </c>
      <c r="M52">
        <v>158.69999999999999</v>
      </c>
    </row>
    <row r="53" spans="1:13" x14ac:dyDescent="0.2">
      <c r="A53" s="11">
        <v>44378</v>
      </c>
      <c r="B53">
        <v>135</v>
      </c>
      <c r="C53">
        <v>154.30000000000001</v>
      </c>
      <c r="D53">
        <v>161.5</v>
      </c>
      <c r="E53">
        <v>152.19999999999999</v>
      </c>
      <c r="F53">
        <v>187.4</v>
      </c>
      <c r="G53">
        <v>101</v>
      </c>
      <c r="H53">
        <v>115.2</v>
      </c>
      <c r="I53">
        <v>127.5</v>
      </c>
      <c r="J53">
        <v>118.5</v>
      </c>
      <c r="K53">
        <v>98.2</v>
      </c>
      <c r="L53">
        <v>132.30000000000001</v>
      </c>
      <c r="M53">
        <v>159.4</v>
      </c>
    </row>
    <row r="54" spans="1:13" x14ac:dyDescent="0.2">
      <c r="A54" s="11">
        <v>44409</v>
      </c>
      <c r="B54">
        <v>136.19999999999999</v>
      </c>
      <c r="C54">
        <v>155.4</v>
      </c>
      <c r="D54">
        <v>161.69999999999999</v>
      </c>
      <c r="E54">
        <v>161.5</v>
      </c>
      <c r="F54">
        <v>179.6</v>
      </c>
      <c r="G54">
        <v>97.1</v>
      </c>
      <c r="H54">
        <v>117.9</v>
      </c>
      <c r="I54">
        <v>127.7</v>
      </c>
      <c r="J54">
        <v>119.7</v>
      </c>
      <c r="K54">
        <v>106.4</v>
      </c>
      <c r="L54">
        <v>133.19999999999999</v>
      </c>
      <c r="M54">
        <v>160.1</v>
      </c>
    </row>
    <row r="55" spans="1:13" x14ac:dyDescent="0.2">
      <c r="A55" s="11">
        <v>44440</v>
      </c>
      <c r="B55">
        <v>137.4</v>
      </c>
      <c r="C55">
        <v>157.69999999999999</v>
      </c>
      <c r="D55">
        <v>164.1</v>
      </c>
      <c r="E55">
        <v>161.19999999999999</v>
      </c>
      <c r="F55">
        <v>190.3</v>
      </c>
      <c r="G55">
        <v>100.4</v>
      </c>
      <c r="H55">
        <v>119</v>
      </c>
      <c r="I55">
        <v>127.7</v>
      </c>
      <c r="J55">
        <v>117.6</v>
      </c>
      <c r="K55">
        <v>116.7</v>
      </c>
      <c r="L55">
        <v>134</v>
      </c>
      <c r="M55">
        <v>162.1</v>
      </c>
    </row>
    <row r="56" spans="1:13" x14ac:dyDescent="0.2">
      <c r="A56" s="11">
        <v>44470</v>
      </c>
      <c r="B56">
        <v>140.69999999999999</v>
      </c>
      <c r="C56">
        <v>163</v>
      </c>
      <c r="D56">
        <v>171.6</v>
      </c>
      <c r="E56">
        <v>153.69999999999999</v>
      </c>
      <c r="F56">
        <v>178.7</v>
      </c>
      <c r="G56">
        <v>118.9</v>
      </c>
      <c r="H56">
        <v>126</v>
      </c>
      <c r="I56">
        <v>128.9</v>
      </c>
      <c r="J56">
        <v>128.9</v>
      </c>
      <c r="K56">
        <v>116.7</v>
      </c>
      <c r="L56">
        <v>135.9</v>
      </c>
      <c r="M56">
        <v>166.7</v>
      </c>
    </row>
    <row r="57" spans="1:13" x14ac:dyDescent="0.2">
      <c r="A57" s="11">
        <v>44501</v>
      </c>
      <c r="B57">
        <v>143.69999999999999</v>
      </c>
      <c r="C57">
        <v>168.4</v>
      </c>
      <c r="D57">
        <v>178.3</v>
      </c>
      <c r="E57">
        <v>156.5</v>
      </c>
      <c r="F57">
        <v>198.6</v>
      </c>
      <c r="G57">
        <v>115.5</v>
      </c>
      <c r="H57">
        <v>136</v>
      </c>
      <c r="I57">
        <v>130.4</v>
      </c>
      <c r="J57">
        <v>139.30000000000001</v>
      </c>
      <c r="K57">
        <v>131.5</v>
      </c>
      <c r="L57">
        <v>136.6</v>
      </c>
      <c r="M57">
        <v>170.6</v>
      </c>
    </row>
    <row r="58" spans="1:13" x14ac:dyDescent="0.2">
      <c r="A58" s="11">
        <v>44531</v>
      </c>
      <c r="B58">
        <v>143.30000000000001</v>
      </c>
      <c r="C58">
        <v>168.4</v>
      </c>
      <c r="D58">
        <v>176.7</v>
      </c>
      <c r="E58">
        <v>164.6</v>
      </c>
      <c r="F58">
        <v>204.7</v>
      </c>
      <c r="G58">
        <v>109.3</v>
      </c>
      <c r="H58">
        <v>133.80000000000001</v>
      </c>
      <c r="I58">
        <v>130.9</v>
      </c>
      <c r="J58">
        <v>134</v>
      </c>
      <c r="K58">
        <v>135.30000000000001</v>
      </c>
      <c r="L58">
        <v>136.5</v>
      </c>
      <c r="M58">
        <v>169.2</v>
      </c>
    </row>
    <row r="59" spans="1:13" x14ac:dyDescent="0.2">
      <c r="A59" s="11">
        <v>44562</v>
      </c>
      <c r="B59">
        <v>143.80000000000001</v>
      </c>
      <c r="C59">
        <v>167.5</v>
      </c>
      <c r="D59">
        <v>172</v>
      </c>
      <c r="E59">
        <v>165.9</v>
      </c>
      <c r="F59">
        <v>224.7</v>
      </c>
      <c r="G59">
        <v>122.3</v>
      </c>
      <c r="H59">
        <v>135.30000000000001</v>
      </c>
      <c r="I59">
        <v>130.9</v>
      </c>
      <c r="J59">
        <v>136.5</v>
      </c>
      <c r="K59">
        <v>135.30000000000001</v>
      </c>
      <c r="L59">
        <v>137.19999999999999</v>
      </c>
      <c r="M59">
        <v>166.3</v>
      </c>
    </row>
    <row r="60" spans="1:13" x14ac:dyDescent="0.2">
      <c r="A60" s="11">
        <v>44593</v>
      </c>
      <c r="B60">
        <v>145.30000000000001</v>
      </c>
      <c r="C60">
        <v>167.5</v>
      </c>
      <c r="D60">
        <v>170.4</v>
      </c>
      <c r="E60">
        <v>170.2</v>
      </c>
      <c r="F60">
        <v>225</v>
      </c>
      <c r="G60">
        <v>125.1</v>
      </c>
      <c r="H60">
        <v>138.30000000000001</v>
      </c>
      <c r="I60">
        <v>130.9</v>
      </c>
      <c r="J60">
        <v>142.9</v>
      </c>
      <c r="K60">
        <v>131.80000000000001</v>
      </c>
      <c r="L60">
        <v>138.9</v>
      </c>
      <c r="M60">
        <v>166.7</v>
      </c>
    </row>
    <row r="61" spans="1:13" x14ac:dyDescent="0.2">
      <c r="A61" s="11">
        <v>44621</v>
      </c>
      <c r="B61">
        <v>148.9</v>
      </c>
      <c r="C61">
        <v>170.9</v>
      </c>
      <c r="D61">
        <v>169.6</v>
      </c>
      <c r="E61">
        <v>175</v>
      </c>
      <c r="F61">
        <v>228.9</v>
      </c>
      <c r="G61">
        <v>151.6</v>
      </c>
      <c r="H61">
        <v>143.9</v>
      </c>
      <c r="I61">
        <v>130.9</v>
      </c>
      <c r="J61">
        <v>155.69999999999999</v>
      </c>
      <c r="K61">
        <v>122.2</v>
      </c>
      <c r="L61">
        <v>142.30000000000001</v>
      </c>
      <c r="M61">
        <v>168.2</v>
      </c>
    </row>
    <row r="62" spans="1:13" x14ac:dyDescent="0.2">
      <c r="A62" s="11">
        <v>44652</v>
      </c>
      <c r="B62">
        <v>152.30000000000001</v>
      </c>
      <c r="C62">
        <v>174.5</v>
      </c>
      <c r="D62">
        <v>175.3</v>
      </c>
      <c r="E62">
        <v>177.5</v>
      </c>
      <c r="F62">
        <v>208.2</v>
      </c>
      <c r="G62">
        <v>152.5</v>
      </c>
      <c r="H62">
        <v>151.19999999999999</v>
      </c>
      <c r="I62">
        <v>130.9</v>
      </c>
      <c r="J62">
        <v>167.9</v>
      </c>
      <c r="K62">
        <v>122.2</v>
      </c>
      <c r="L62">
        <v>144.69999999999999</v>
      </c>
      <c r="M62">
        <v>173.3</v>
      </c>
    </row>
    <row r="63" spans="1:13" x14ac:dyDescent="0.2">
      <c r="A63" s="11">
        <v>44682</v>
      </c>
      <c r="B63">
        <v>155</v>
      </c>
      <c r="C63">
        <v>178.5</v>
      </c>
      <c r="D63">
        <v>178.4</v>
      </c>
      <c r="E63">
        <v>179.9</v>
      </c>
      <c r="F63">
        <v>210.2</v>
      </c>
      <c r="G63">
        <v>165.5</v>
      </c>
      <c r="H63">
        <v>163.6</v>
      </c>
      <c r="I63">
        <v>130.9</v>
      </c>
      <c r="J63">
        <v>186.7</v>
      </c>
      <c r="K63">
        <v>126.4</v>
      </c>
      <c r="L63">
        <v>145</v>
      </c>
      <c r="M63">
        <v>175.6</v>
      </c>
    </row>
    <row r="64" spans="1:13" x14ac:dyDescent="0.2">
      <c r="A64" s="11">
        <v>44713</v>
      </c>
      <c r="B64">
        <v>154</v>
      </c>
      <c r="C64">
        <v>182.4</v>
      </c>
      <c r="D64">
        <v>183.6</v>
      </c>
      <c r="E64">
        <v>176.3</v>
      </c>
      <c r="F64">
        <v>208.2</v>
      </c>
      <c r="G64">
        <v>176.4</v>
      </c>
      <c r="H64">
        <v>155.4</v>
      </c>
      <c r="I64">
        <v>130.9</v>
      </c>
      <c r="J64">
        <v>174.8</v>
      </c>
      <c r="K64">
        <v>122.2</v>
      </c>
      <c r="L64">
        <v>143.69999999999999</v>
      </c>
      <c r="M64">
        <v>178.4</v>
      </c>
    </row>
    <row r="65" spans="1:13" x14ac:dyDescent="0.2">
      <c r="A65" s="11">
        <v>44743</v>
      </c>
      <c r="B65">
        <v>153.80000000000001</v>
      </c>
      <c r="C65">
        <v>177.5</v>
      </c>
      <c r="D65">
        <v>178.9</v>
      </c>
      <c r="E65">
        <v>171.7</v>
      </c>
      <c r="F65">
        <v>210.2</v>
      </c>
      <c r="G65">
        <v>167.5</v>
      </c>
      <c r="H65">
        <v>165.6</v>
      </c>
      <c r="I65">
        <v>130.9</v>
      </c>
      <c r="J65">
        <v>188.7</v>
      </c>
      <c r="K65">
        <v>130</v>
      </c>
      <c r="L65">
        <v>143.1</v>
      </c>
      <c r="M65">
        <v>174.4</v>
      </c>
    </row>
    <row r="66" spans="1:13" x14ac:dyDescent="0.2">
      <c r="A66" t="s">
        <v>285</v>
      </c>
      <c r="B66" t="s">
        <v>286</v>
      </c>
      <c r="C66" t="s">
        <v>286</v>
      </c>
      <c r="D66" t="s">
        <v>286</v>
      </c>
      <c r="E66" t="s">
        <v>286</v>
      </c>
      <c r="F66" t="s">
        <v>286</v>
      </c>
      <c r="G66" t="s">
        <v>286</v>
      </c>
      <c r="H66" t="s">
        <v>286</v>
      </c>
      <c r="I66" t="s">
        <v>286</v>
      </c>
      <c r="J66" t="s">
        <v>286</v>
      </c>
      <c r="K66" t="s">
        <v>286</v>
      </c>
      <c r="L66" t="s">
        <v>286</v>
      </c>
      <c r="M66" t="s">
        <v>286</v>
      </c>
    </row>
    <row r="67" spans="1:13" x14ac:dyDescent="0.2">
      <c r="A67" t="s">
        <v>122</v>
      </c>
      <c r="B67">
        <v>118.7</v>
      </c>
      <c r="C67">
        <v>132.5</v>
      </c>
      <c r="D67">
        <v>141.69999999999999</v>
      </c>
      <c r="E67">
        <v>121.7</v>
      </c>
      <c r="F67">
        <v>132.1</v>
      </c>
      <c r="G67">
        <v>92.9</v>
      </c>
      <c r="H67">
        <v>102.6</v>
      </c>
      <c r="I67">
        <v>123</v>
      </c>
      <c r="J67">
        <v>94.7</v>
      </c>
      <c r="K67">
        <v>108.7</v>
      </c>
      <c r="L67">
        <v>117.1</v>
      </c>
      <c r="M67">
        <v>136.6</v>
      </c>
    </row>
    <row r="68" spans="1:13" x14ac:dyDescent="0.2">
      <c r="A68" t="s">
        <v>123</v>
      </c>
      <c r="B68">
        <v>121.4</v>
      </c>
      <c r="C68">
        <v>140.9</v>
      </c>
      <c r="D68">
        <v>151.5</v>
      </c>
      <c r="E68">
        <v>128.19999999999999</v>
      </c>
      <c r="F68">
        <v>157.1</v>
      </c>
      <c r="G68">
        <v>89.9</v>
      </c>
      <c r="H68">
        <v>102.5</v>
      </c>
      <c r="I68">
        <v>123.8</v>
      </c>
      <c r="J68">
        <v>94.4</v>
      </c>
      <c r="K68">
        <v>108.7</v>
      </c>
      <c r="L68">
        <v>118.4</v>
      </c>
      <c r="M68">
        <v>143.6</v>
      </c>
    </row>
    <row r="69" spans="1:13" x14ac:dyDescent="0.2">
      <c r="A69" t="s">
        <v>8</v>
      </c>
      <c r="B69">
        <v>119.3</v>
      </c>
      <c r="C69">
        <v>140.30000000000001</v>
      </c>
      <c r="D69">
        <v>156.1</v>
      </c>
      <c r="E69">
        <v>123.8</v>
      </c>
      <c r="F69">
        <v>159.5</v>
      </c>
      <c r="G69">
        <v>61.6</v>
      </c>
      <c r="H69">
        <v>86.6</v>
      </c>
      <c r="I69">
        <v>126.4</v>
      </c>
      <c r="J69">
        <v>68.7</v>
      </c>
      <c r="K69">
        <v>105.2</v>
      </c>
      <c r="L69">
        <v>118.6</v>
      </c>
      <c r="M69">
        <v>148.9</v>
      </c>
    </row>
    <row r="70" spans="1:13" x14ac:dyDescent="0.2">
      <c r="A70" t="s">
        <v>9</v>
      </c>
      <c r="B70">
        <v>133.4</v>
      </c>
      <c r="C70">
        <v>152.30000000000001</v>
      </c>
      <c r="D70">
        <v>160.80000000000001</v>
      </c>
      <c r="E70">
        <v>147.19999999999999</v>
      </c>
      <c r="F70">
        <v>184</v>
      </c>
      <c r="G70">
        <v>95.7</v>
      </c>
      <c r="H70">
        <v>111.2</v>
      </c>
      <c r="I70">
        <v>127.4</v>
      </c>
      <c r="J70">
        <v>109.9</v>
      </c>
      <c r="K70">
        <v>103.2</v>
      </c>
      <c r="L70">
        <v>131.30000000000001</v>
      </c>
      <c r="M70">
        <v>158.9</v>
      </c>
    </row>
    <row r="71" spans="1:13" x14ac:dyDescent="0.2">
      <c r="A71" t="s">
        <v>11</v>
      </c>
      <c r="B71">
        <v>153.80000000000001</v>
      </c>
      <c r="C71">
        <v>178.2</v>
      </c>
      <c r="D71">
        <v>179.1</v>
      </c>
      <c r="E71">
        <v>176.4</v>
      </c>
      <c r="F71">
        <v>209.2</v>
      </c>
      <c r="G71">
        <v>165.5</v>
      </c>
      <c r="H71">
        <v>159</v>
      </c>
      <c r="I71">
        <v>130.9</v>
      </c>
      <c r="J71">
        <v>179.5</v>
      </c>
      <c r="K71">
        <v>125.2</v>
      </c>
      <c r="L71">
        <v>144.1</v>
      </c>
      <c r="M71">
        <v>175.4</v>
      </c>
    </row>
  </sheetData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76CE-F19F-8543-A328-6F9F67EC6832}">
  <dimension ref="A1:AC34"/>
  <sheetViews>
    <sheetView workbookViewId="0">
      <pane xSplit="1" ySplit="15" topLeftCell="R17" activePane="bottomRight" state="frozen"/>
      <selection pane="topRight" activeCell="B1" sqref="B1"/>
      <selection pane="bottomLeft" activeCell="A16" sqref="A16"/>
      <selection pane="bottomRight" activeCell="A4" sqref="A4:XFD4"/>
    </sheetView>
  </sheetViews>
  <sheetFormatPr baseColWidth="10" defaultRowHeight="16" x14ac:dyDescent="0.2"/>
  <cols>
    <col min="1" max="1" width="85.83203125" bestFit="1" customWidth="1"/>
    <col min="25" max="25" width="14.5" bestFit="1" customWidth="1"/>
    <col min="26" max="26" width="13.1640625" bestFit="1" customWidth="1"/>
    <col min="27" max="27" width="18.83203125" bestFit="1" customWidth="1"/>
    <col min="29" max="29" width="13.6640625" bestFit="1" customWidth="1"/>
  </cols>
  <sheetData>
    <row r="1" spans="1:29" x14ac:dyDescent="0.2">
      <c r="A1" t="s">
        <v>224</v>
      </c>
    </row>
    <row r="2" spans="1:29" x14ac:dyDescent="0.2">
      <c r="A2" t="s">
        <v>225</v>
      </c>
    </row>
    <row r="3" spans="1:29" x14ac:dyDescent="0.2">
      <c r="A3" t="s">
        <v>262</v>
      </c>
      <c r="B3" t="s">
        <v>173</v>
      </c>
      <c r="C3" t="s">
        <v>174</v>
      </c>
      <c r="D3" t="s">
        <v>175</v>
      </c>
      <c r="E3" t="s">
        <v>176</v>
      </c>
      <c r="F3" t="s">
        <v>177</v>
      </c>
      <c r="G3" t="s">
        <v>178</v>
      </c>
      <c r="H3" t="s">
        <v>179</v>
      </c>
      <c r="I3" t="s">
        <v>180</v>
      </c>
      <c r="J3" t="s">
        <v>181</v>
      </c>
      <c r="K3" t="s">
        <v>182</v>
      </c>
      <c r="L3" t="s">
        <v>183</v>
      </c>
      <c r="M3" t="s">
        <v>184</v>
      </c>
      <c r="N3" t="s">
        <v>185</v>
      </c>
      <c r="O3" t="s">
        <v>186</v>
      </c>
      <c r="P3" t="s">
        <v>187</v>
      </c>
      <c r="Q3" t="s">
        <v>188</v>
      </c>
      <c r="R3" t="s">
        <v>189</v>
      </c>
      <c r="S3" t="s">
        <v>190</v>
      </c>
      <c r="T3" t="s">
        <v>191</v>
      </c>
      <c r="U3" t="s">
        <v>192</v>
      </c>
      <c r="V3" t="s">
        <v>193</v>
      </c>
      <c r="W3" t="s">
        <v>194</v>
      </c>
      <c r="X3" t="s">
        <v>195</v>
      </c>
      <c r="Y3" t="s">
        <v>245</v>
      </c>
      <c r="Z3" t="s">
        <v>244</v>
      </c>
      <c r="AA3" t="s">
        <v>246</v>
      </c>
      <c r="AC3" t="s">
        <v>247</v>
      </c>
    </row>
    <row r="4" spans="1:29" x14ac:dyDescent="0.2">
      <c r="A4" t="s">
        <v>268</v>
      </c>
      <c r="B4" s="7">
        <v>2264840</v>
      </c>
      <c r="C4" s="7">
        <v>2436560</v>
      </c>
      <c r="D4" s="7">
        <v>2612060</v>
      </c>
      <c r="E4" s="7">
        <v>2623520</v>
      </c>
      <c r="F4" s="7">
        <v>2835880</v>
      </c>
      <c r="G4" s="7">
        <v>2736600</v>
      </c>
      <c r="H4" s="7">
        <v>3053890</v>
      </c>
      <c r="I4" s="7">
        <v>3468400</v>
      </c>
      <c r="J4" s="7">
        <v>4007730</v>
      </c>
      <c r="K4" s="7">
        <v>4781110</v>
      </c>
      <c r="L4" s="7">
        <v>5408470</v>
      </c>
      <c r="M4" s="7">
        <v>6176030</v>
      </c>
      <c r="N4" s="7">
        <v>6325530</v>
      </c>
      <c r="O4" s="7">
        <v>6606180</v>
      </c>
      <c r="P4" s="7">
        <v>6583580</v>
      </c>
      <c r="Q4" s="7">
        <v>6748780</v>
      </c>
      <c r="R4" s="7">
        <v>7161400</v>
      </c>
      <c r="S4" s="7">
        <v>7743880</v>
      </c>
      <c r="T4" s="7">
        <v>9237100</v>
      </c>
      <c r="U4" s="7">
        <v>9656800</v>
      </c>
      <c r="V4" s="7">
        <v>9767230</v>
      </c>
      <c r="W4" s="7">
        <v>11023480</v>
      </c>
      <c r="X4" s="7">
        <v>10978180</v>
      </c>
      <c r="Y4" s="7">
        <v>10958930</v>
      </c>
      <c r="Z4" s="7">
        <v>14193020</v>
      </c>
      <c r="AA4" s="7">
        <v>16045110</v>
      </c>
      <c r="AB4" t="str">
        <f>IF(Y4&gt;Z4,"Public","Private")</f>
        <v>Private</v>
      </c>
      <c r="AC4" t="str" cm="1">
        <f t="array" ref="AC4">INDEX($Y$3:$AA$3,0,MATCH(MAX($Y4:$AA4),$Y4:$AA4,0))</f>
        <v>Household-GCF</v>
      </c>
    </row>
    <row r="5" spans="1:29" x14ac:dyDescent="0.2">
      <c r="A5" t="s">
        <v>199</v>
      </c>
      <c r="B5" s="7">
        <v>155350</v>
      </c>
      <c r="C5" s="7">
        <v>165950</v>
      </c>
      <c r="D5" s="7">
        <v>174970</v>
      </c>
      <c r="E5" s="7">
        <v>162000</v>
      </c>
      <c r="F5" s="7">
        <v>198270</v>
      </c>
      <c r="G5" s="7">
        <v>176560</v>
      </c>
      <c r="H5" s="7">
        <v>216190</v>
      </c>
      <c r="I5" s="7">
        <v>274970</v>
      </c>
      <c r="J5" s="7">
        <v>331620</v>
      </c>
      <c r="K5" s="7">
        <v>389170</v>
      </c>
      <c r="L5" s="7">
        <v>392780</v>
      </c>
      <c r="M5" s="7">
        <v>345190</v>
      </c>
      <c r="N5" s="7">
        <v>385820</v>
      </c>
      <c r="O5" s="7">
        <v>333980</v>
      </c>
      <c r="P5" s="7">
        <v>356960</v>
      </c>
      <c r="Q5" s="7">
        <v>360190</v>
      </c>
      <c r="R5" s="7">
        <v>339250</v>
      </c>
      <c r="S5" s="7">
        <v>371720</v>
      </c>
      <c r="T5" s="7">
        <v>425220</v>
      </c>
      <c r="U5" s="7">
        <v>477670</v>
      </c>
      <c r="V5" s="7">
        <v>460320</v>
      </c>
      <c r="W5" s="7">
        <v>534930</v>
      </c>
      <c r="X5" s="7">
        <v>470400</v>
      </c>
      <c r="Y5" s="7">
        <v>467280</v>
      </c>
      <c r="Z5" s="7">
        <v>23510</v>
      </c>
      <c r="AA5" s="7">
        <v>2774540</v>
      </c>
      <c r="AB5" t="str">
        <f t="shared" ref="AB5:AB34" si="0">IF(Y5&gt;Z5,"Public","Private")</f>
        <v>Public</v>
      </c>
      <c r="AC5" t="str" cm="1">
        <f t="array" ref="AC5">INDEX($Y$3:$AA$3,0,MATCH(MAX($Y5:$AA5),$Y5:$AA5,0))</f>
        <v>Household-GCF</v>
      </c>
    </row>
    <row r="6" spans="1:29" x14ac:dyDescent="0.2">
      <c r="A6" t="s">
        <v>226</v>
      </c>
      <c r="P6" s="7">
        <v>338520</v>
      </c>
      <c r="Q6" s="7">
        <v>340870</v>
      </c>
      <c r="R6" s="7">
        <v>319320</v>
      </c>
      <c r="S6" s="7">
        <v>348440</v>
      </c>
      <c r="T6" s="7">
        <v>399770</v>
      </c>
      <c r="U6" s="7">
        <v>443000</v>
      </c>
      <c r="V6" s="7">
        <v>429450</v>
      </c>
      <c r="W6" s="7">
        <v>495280</v>
      </c>
      <c r="X6" s="7">
        <v>429340</v>
      </c>
      <c r="Y6" s="7">
        <v>426840</v>
      </c>
      <c r="Z6" s="7">
        <v>17880</v>
      </c>
      <c r="AA6" s="7">
        <v>2235360</v>
      </c>
      <c r="AB6" t="str">
        <f t="shared" si="0"/>
        <v>Public</v>
      </c>
      <c r="AC6" t="str" cm="1">
        <f t="array" ref="AC6">INDEX($Y$3:$AA$3,0,MATCH(MAX($Y6:$AA6),$Y6:$AA6,0))</f>
        <v>Household-GCF</v>
      </c>
    </row>
    <row r="7" spans="1:29" x14ac:dyDescent="0.2">
      <c r="A7" t="s">
        <v>203</v>
      </c>
      <c r="P7">
        <v>0</v>
      </c>
      <c r="Q7">
        <v>0</v>
      </c>
      <c r="R7">
        <v>0</v>
      </c>
      <c r="S7">
        <v>0</v>
      </c>
      <c r="T7">
        <v>10</v>
      </c>
      <c r="U7">
        <v>-20</v>
      </c>
      <c r="V7">
        <v>90</v>
      </c>
      <c r="W7">
        <v>-10</v>
      </c>
      <c r="X7">
        <v>-90</v>
      </c>
      <c r="Y7">
        <v>-90</v>
      </c>
      <c r="Z7" s="7">
        <v>1010</v>
      </c>
      <c r="AA7" s="7">
        <v>275900</v>
      </c>
      <c r="AB7" t="str">
        <f t="shared" si="0"/>
        <v>Private</v>
      </c>
      <c r="AC7" t="str" cm="1">
        <f t="array" ref="AC7">INDEX($Y$3:$AA$3,0,MATCH(MAX($Y7:$AA7),$Y7:$AA7,0))</f>
        <v>Household-GCF</v>
      </c>
    </row>
    <row r="8" spans="1:29" x14ac:dyDescent="0.2">
      <c r="A8" t="s">
        <v>204</v>
      </c>
      <c r="B8" s="7">
        <v>18600</v>
      </c>
      <c r="C8" s="7">
        <v>21350</v>
      </c>
      <c r="D8" s="7">
        <v>19140</v>
      </c>
      <c r="E8" s="7">
        <v>19460</v>
      </c>
      <c r="F8" s="7">
        <v>21600</v>
      </c>
      <c r="G8" s="7">
        <v>16890</v>
      </c>
      <c r="H8" s="7">
        <v>28710</v>
      </c>
      <c r="I8" s="7">
        <v>16320</v>
      </c>
      <c r="J8" s="7">
        <v>20240</v>
      </c>
      <c r="K8" s="7">
        <v>23760</v>
      </c>
      <c r="L8" s="7">
        <v>19460</v>
      </c>
      <c r="M8" s="7">
        <v>17050</v>
      </c>
      <c r="N8" s="7">
        <v>19390</v>
      </c>
      <c r="O8" s="7">
        <v>16500</v>
      </c>
      <c r="P8" s="7">
        <v>18370</v>
      </c>
      <c r="Q8" s="7">
        <v>19220</v>
      </c>
      <c r="R8" s="7">
        <v>19850</v>
      </c>
      <c r="S8" s="7">
        <v>23300</v>
      </c>
      <c r="T8" s="7">
        <v>25410</v>
      </c>
      <c r="U8" s="7">
        <v>34660</v>
      </c>
      <c r="V8" s="7">
        <v>30730</v>
      </c>
      <c r="W8" s="7">
        <v>39520</v>
      </c>
      <c r="X8" s="7">
        <v>41060</v>
      </c>
      <c r="Y8" s="7">
        <v>40450</v>
      </c>
      <c r="Z8">
        <v>340</v>
      </c>
      <c r="AA8" s="7">
        <v>6500</v>
      </c>
      <c r="AB8" t="str">
        <f t="shared" si="0"/>
        <v>Public</v>
      </c>
      <c r="AC8" t="str" cm="1">
        <f t="array" ref="AC8">INDEX($Y$3:$AA$3,0,MATCH(MAX($Y8:$AA8),$Y8:$AA8,0))</f>
        <v>Public-GCF</v>
      </c>
    </row>
    <row r="9" spans="1:29" x14ac:dyDescent="0.2">
      <c r="A9" t="s">
        <v>205</v>
      </c>
      <c r="B9">
        <v>30</v>
      </c>
      <c r="C9">
        <v>160</v>
      </c>
      <c r="D9">
        <v>-50</v>
      </c>
      <c r="E9">
        <v>-40</v>
      </c>
      <c r="F9">
        <v>-20</v>
      </c>
      <c r="G9">
        <v>-10</v>
      </c>
      <c r="H9">
        <v>20</v>
      </c>
      <c r="I9">
        <v>20</v>
      </c>
      <c r="J9">
        <v>20</v>
      </c>
      <c r="K9">
        <v>20</v>
      </c>
      <c r="L9">
        <v>0</v>
      </c>
      <c r="M9">
        <v>60</v>
      </c>
      <c r="N9">
        <v>90</v>
      </c>
      <c r="O9">
        <v>60</v>
      </c>
      <c r="P9">
        <v>60</v>
      </c>
      <c r="Q9">
        <v>100</v>
      </c>
      <c r="R9">
        <v>70</v>
      </c>
      <c r="S9">
        <v>-20</v>
      </c>
      <c r="T9">
        <v>40</v>
      </c>
      <c r="U9">
        <v>30</v>
      </c>
      <c r="V9">
        <v>40</v>
      </c>
      <c r="W9">
        <v>150</v>
      </c>
      <c r="X9">
        <v>90</v>
      </c>
      <c r="Y9">
        <v>80</v>
      </c>
      <c r="Z9" s="7">
        <v>4270</v>
      </c>
      <c r="AA9" s="7">
        <v>256780</v>
      </c>
      <c r="AB9" t="str">
        <f t="shared" si="0"/>
        <v>Private</v>
      </c>
      <c r="AC9" t="str" cm="1">
        <f t="array" ref="AC9">INDEX($Y$3:$AA$3,0,MATCH(MAX($Y9:$AA9),$Y9:$AA9,0))</f>
        <v>Household-GCF</v>
      </c>
    </row>
    <row r="10" spans="1:29" x14ac:dyDescent="0.2">
      <c r="A10" t="s">
        <v>206</v>
      </c>
      <c r="B10" s="7">
        <v>937960</v>
      </c>
      <c r="C10" s="7">
        <v>1025290</v>
      </c>
      <c r="D10" s="7">
        <v>972520</v>
      </c>
      <c r="E10" s="7">
        <v>877870</v>
      </c>
      <c r="F10" s="7">
        <v>950040</v>
      </c>
      <c r="G10" s="7">
        <v>982970</v>
      </c>
      <c r="H10" s="7">
        <v>1296650</v>
      </c>
      <c r="I10" s="7">
        <v>1305060</v>
      </c>
      <c r="J10" s="7">
        <v>1465570</v>
      </c>
      <c r="K10" s="7">
        <v>1849560</v>
      </c>
      <c r="L10" s="7">
        <v>2034500</v>
      </c>
      <c r="M10" s="7">
        <v>2435800</v>
      </c>
      <c r="N10" s="7">
        <v>2529370</v>
      </c>
      <c r="O10" s="7">
        <v>2776920</v>
      </c>
      <c r="P10" s="7">
        <v>2841970</v>
      </c>
      <c r="Q10" s="7">
        <v>2894840</v>
      </c>
      <c r="R10" s="7">
        <v>3194280</v>
      </c>
      <c r="S10" s="7">
        <v>3192970</v>
      </c>
      <c r="T10" s="7">
        <v>4147440</v>
      </c>
      <c r="U10" s="7">
        <v>4059161.5</v>
      </c>
      <c r="V10" s="7">
        <v>3855835.3</v>
      </c>
      <c r="W10" s="7">
        <v>4856541.5</v>
      </c>
      <c r="X10" s="7">
        <v>4382002.4000000004</v>
      </c>
      <c r="Y10" s="7">
        <v>4377470.9000000004</v>
      </c>
      <c r="Z10" s="7">
        <v>5748006</v>
      </c>
      <c r="AA10" s="7">
        <v>3167113.5</v>
      </c>
      <c r="AB10" t="str">
        <f t="shared" si="0"/>
        <v>Private</v>
      </c>
      <c r="AC10" t="str" cm="1">
        <f t="array" ref="AC10">INDEX($Y$3:$AA$3,0,MATCH(MAX($Y10:$AA10),$Y10:$AA10,0))</f>
        <v>Private-GCF</v>
      </c>
    </row>
    <row r="11" spans="1:29" x14ac:dyDescent="0.2">
      <c r="A11" t="s">
        <v>207</v>
      </c>
      <c r="B11" s="7">
        <v>159670</v>
      </c>
      <c r="C11" s="7">
        <v>150610</v>
      </c>
      <c r="D11" s="7">
        <v>169700</v>
      </c>
      <c r="E11" s="7">
        <v>127250</v>
      </c>
      <c r="F11" s="7">
        <v>147710</v>
      </c>
      <c r="G11" s="7">
        <v>133690</v>
      </c>
      <c r="H11" s="7">
        <v>208670</v>
      </c>
      <c r="I11" s="7">
        <v>235090</v>
      </c>
      <c r="J11" s="7">
        <v>275330</v>
      </c>
      <c r="K11" s="7">
        <v>238390</v>
      </c>
      <c r="L11" s="7">
        <v>287880</v>
      </c>
      <c r="M11" s="7">
        <v>397010</v>
      </c>
      <c r="N11" s="7">
        <v>356580</v>
      </c>
      <c r="O11" s="7">
        <v>398340</v>
      </c>
      <c r="P11" s="7">
        <v>442250</v>
      </c>
      <c r="Q11" s="7">
        <v>452790</v>
      </c>
      <c r="R11" s="7">
        <v>636400</v>
      </c>
      <c r="S11" s="7">
        <v>429570</v>
      </c>
      <c r="T11" s="7">
        <v>309600</v>
      </c>
      <c r="U11" s="7">
        <v>344780</v>
      </c>
      <c r="V11" s="7">
        <v>324860</v>
      </c>
      <c r="W11" s="7">
        <v>251550</v>
      </c>
      <c r="X11" s="7">
        <v>202150</v>
      </c>
      <c r="Y11" s="7">
        <v>262700</v>
      </c>
      <c r="Z11" s="7">
        <v>146840</v>
      </c>
      <c r="AA11" s="7">
        <v>242760</v>
      </c>
      <c r="AB11" t="str">
        <f t="shared" si="0"/>
        <v>Public</v>
      </c>
      <c r="AC11" t="str" cm="1">
        <f t="array" ref="AC11">INDEX($Y$3:$AA$3,0,MATCH(MAX($Y11:$AA11),$Y11:$AA11,0))</f>
        <v>Public-GCF</v>
      </c>
    </row>
    <row r="12" spans="1:29" x14ac:dyDescent="0.2">
      <c r="A12" t="s">
        <v>208</v>
      </c>
      <c r="B12" s="7">
        <v>227370</v>
      </c>
      <c r="C12" s="7">
        <v>253410</v>
      </c>
      <c r="D12" s="7">
        <v>201990</v>
      </c>
      <c r="E12" s="7">
        <v>171890</v>
      </c>
      <c r="F12" s="7">
        <v>142090</v>
      </c>
      <c r="G12" s="7">
        <v>147860</v>
      </c>
      <c r="H12" s="7">
        <v>156160</v>
      </c>
      <c r="I12" s="7">
        <v>204300</v>
      </c>
      <c r="J12" s="7">
        <v>217350</v>
      </c>
      <c r="K12" s="7">
        <v>298950</v>
      </c>
      <c r="L12" s="7">
        <v>330210</v>
      </c>
      <c r="M12" s="7">
        <v>431920</v>
      </c>
      <c r="N12" s="7">
        <v>601310</v>
      </c>
      <c r="O12" s="7">
        <v>605600</v>
      </c>
      <c r="P12" s="7">
        <v>541160</v>
      </c>
      <c r="Q12" s="7">
        <v>505870</v>
      </c>
      <c r="R12" s="7">
        <v>502810</v>
      </c>
      <c r="S12" s="7">
        <v>335580</v>
      </c>
      <c r="T12" s="7">
        <v>515670</v>
      </c>
      <c r="U12" s="7">
        <v>698590</v>
      </c>
      <c r="V12" s="7">
        <v>425930</v>
      </c>
      <c r="W12" s="7">
        <v>667880</v>
      </c>
      <c r="X12" s="7">
        <v>713760</v>
      </c>
      <c r="Y12" s="7">
        <v>586760</v>
      </c>
      <c r="Z12" s="7">
        <v>4499400</v>
      </c>
      <c r="AA12" s="7">
        <v>1042390</v>
      </c>
      <c r="AB12" t="str">
        <f t="shared" si="0"/>
        <v>Private</v>
      </c>
      <c r="AC12" t="str" cm="1">
        <f t="array" ref="AC12">INDEX($Y$3:$AA$3,0,MATCH(MAX($Y12:$AA12),$Y12:$AA12,0))</f>
        <v>Private-GCF</v>
      </c>
    </row>
    <row r="13" spans="1:29" x14ac:dyDescent="0.2">
      <c r="A13" t="s">
        <v>214</v>
      </c>
      <c r="B13" s="7">
        <v>527270</v>
      </c>
      <c r="C13" s="7">
        <v>588740</v>
      </c>
      <c r="D13" s="7">
        <v>559490</v>
      </c>
      <c r="E13" s="7">
        <v>554240</v>
      </c>
      <c r="F13" s="7">
        <v>538060</v>
      </c>
      <c r="G13" s="7">
        <v>525160</v>
      </c>
      <c r="H13" s="7">
        <v>684200</v>
      </c>
      <c r="I13" s="7">
        <v>649830</v>
      </c>
      <c r="J13" s="7">
        <v>799660</v>
      </c>
      <c r="K13" s="7">
        <v>985800</v>
      </c>
      <c r="L13" s="7">
        <v>1081110</v>
      </c>
      <c r="M13" s="7">
        <v>1237830</v>
      </c>
      <c r="N13" s="7">
        <v>1297300</v>
      </c>
      <c r="O13" s="7">
        <v>1464630</v>
      </c>
      <c r="P13" s="7">
        <v>1555300</v>
      </c>
      <c r="Q13" s="7">
        <v>1618480</v>
      </c>
      <c r="R13" s="7">
        <v>1653200</v>
      </c>
      <c r="S13" s="7">
        <v>2024170</v>
      </c>
      <c r="T13" s="7">
        <v>2674750</v>
      </c>
      <c r="U13" s="7">
        <v>2242480</v>
      </c>
      <c r="V13" s="7">
        <v>2025350</v>
      </c>
      <c r="W13" s="7">
        <v>2660800</v>
      </c>
      <c r="X13" s="7">
        <v>2565880</v>
      </c>
      <c r="Y13" s="7">
        <v>2284510</v>
      </c>
      <c r="Z13" s="7">
        <v>882040</v>
      </c>
      <c r="AA13" s="7">
        <v>20890</v>
      </c>
      <c r="AB13" t="str">
        <f t="shared" si="0"/>
        <v>Public</v>
      </c>
      <c r="AC13" t="str" cm="1">
        <f t="array" ref="AC13">INDEX($Y$3:$AA$3,0,MATCH(MAX($Y13:$AA13),$Y13:$AA13,0))</f>
        <v>Public-GCF</v>
      </c>
    </row>
    <row r="14" spans="1:29" x14ac:dyDescent="0.2">
      <c r="A14" t="s">
        <v>219</v>
      </c>
      <c r="B14" s="7">
        <v>23660</v>
      </c>
      <c r="C14" s="7">
        <v>32530</v>
      </c>
      <c r="D14" s="7">
        <v>41330</v>
      </c>
      <c r="E14" s="7">
        <v>24480</v>
      </c>
      <c r="F14" s="7">
        <v>122180</v>
      </c>
      <c r="G14" s="7">
        <v>176260</v>
      </c>
      <c r="H14" s="7">
        <v>247620</v>
      </c>
      <c r="I14" s="7">
        <v>215830</v>
      </c>
      <c r="J14" s="7">
        <v>173230</v>
      </c>
      <c r="K14" s="7">
        <v>326420</v>
      </c>
      <c r="L14" s="7">
        <v>335300</v>
      </c>
      <c r="M14" s="7">
        <v>369040</v>
      </c>
      <c r="N14" s="7">
        <v>274180</v>
      </c>
      <c r="O14" s="7">
        <v>308350</v>
      </c>
      <c r="P14" s="7">
        <v>303260</v>
      </c>
      <c r="Q14" s="7">
        <v>317700</v>
      </c>
      <c r="R14" s="7">
        <v>401870</v>
      </c>
      <c r="S14" s="7">
        <v>403650</v>
      </c>
      <c r="T14" s="7">
        <v>647420</v>
      </c>
      <c r="U14" s="7">
        <v>773310</v>
      </c>
      <c r="V14" s="7">
        <v>1079690</v>
      </c>
      <c r="W14" s="7">
        <v>1276320</v>
      </c>
      <c r="X14" s="7">
        <v>900220</v>
      </c>
      <c r="Y14" s="7">
        <v>1243500</v>
      </c>
      <c r="Z14" s="7">
        <v>219730</v>
      </c>
      <c r="AA14" s="7">
        <v>1861080</v>
      </c>
      <c r="AB14" t="str">
        <f t="shared" si="0"/>
        <v>Public</v>
      </c>
      <c r="AC14" t="str" cm="1">
        <f t="array" ref="AC14">INDEX($Y$3:$AA$3,0,MATCH(MAX($Y14:$AA14),$Y14:$AA14,0))</f>
        <v>Household-GCF</v>
      </c>
    </row>
    <row r="15" spans="1:29" x14ac:dyDescent="0.2">
      <c r="A15" t="s">
        <v>220</v>
      </c>
      <c r="B15" s="7">
        <v>1171520</v>
      </c>
      <c r="C15" s="7">
        <v>1245310</v>
      </c>
      <c r="D15" s="7">
        <v>1464580</v>
      </c>
      <c r="E15" s="7">
        <v>1583650</v>
      </c>
      <c r="F15" s="7">
        <v>1687570</v>
      </c>
      <c r="G15" s="7">
        <v>1577070</v>
      </c>
      <c r="H15" s="7">
        <v>1541050</v>
      </c>
      <c r="I15" s="7">
        <v>1888370</v>
      </c>
      <c r="J15" s="7">
        <v>2210530</v>
      </c>
      <c r="K15" s="7">
        <v>2542390</v>
      </c>
      <c r="L15" s="7">
        <v>2981190</v>
      </c>
      <c r="M15" s="7">
        <v>3395040</v>
      </c>
      <c r="N15" s="7">
        <v>3410340</v>
      </c>
      <c r="O15" s="7">
        <v>3495280</v>
      </c>
      <c r="P15" s="7">
        <v>3384650</v>
      </c>
      <c r="Q15" s="7">
        <v>3493750</v>
      </c>
      <c r="R15" s="7">
        <v>3627880</v>
      </c>
      <c r="S15" s="7">
        <v>4179200</v>
      </c>
      <c r="T15" s="7">
        <v>4664440</v>
      </c>
      <c r="U15" s="7">
        <v>5119965.2</v>
      </c>
      <c r="V15" s="7">
        <v>5451075.2000000002</v>
      </c>
      <c r="W15" s="7">
        <v>5632001.2999999998</v>
      </c>
      <c r="X15" s="7">
        <v>6125786.2999999998</v>
      </c>
      <c r="Y15" s="7">
        <v>6114180.2999999998</v>
      </c>
      <c r="Z15" s="7">
        <v>8421511.1999999993</v>
      </c>
      <c r="AA15" s="7">
        <v>10103453.1</v>
      </c>
      <c r="AB15" t="str">
        <f t="shared" si="0"/>
        <v>Private</v>
      </c>
      <c r="AC15" t="str" cm="1">
        <f t="array" ref="AC15">INDEX($Y$3:$AA$3,0,MATCH(MAX($Y15:$AA15),$Y15:$AA15,0))</f>
        <v>Household-GCF</v>
      </c>
    </row>
    <row r="16" spans="1:29" x14ac:dyDescent="0.2">
      <c r="A16" t="s">
        <v>227</v>
      </c>
      <c r="B16" s="7">
        <v>364550</v>
      </c>
      <c r="C16" s="7">
        <v>341020</v>
      </c>
      <c r="D16" s="7">
        <v>467130</v>
      </c>
      <c r="E16" s="7">
        <v>542870</v>
      </c>
      <c r="F16" s="7">
        <v>507020</v>
      </c>
      <c r="G16" s="7">
        <v>289430</v>
      </c>
      <c r="H16" s="7">
        <v>272790</v>
      </c>
      <c r="I16" s="7">
        <v>342330</v>
      </c>
      <c r="J16" s="7">
        <v>387360</v>
      </c>
      <c r="K16" s="7">
        <v>449440</v>
      </c>
      <c r="L16" s="7">
        <v>637490</v>
      </c>
      <c r="M16" s="7">
        <v>909600</v>
      </c>
      <c r="N16" s="7">
        <v>717160</v>
      </c>
      <c r="O16" s="7">
        <v>606670</v>
      </c>
      <c r="P16" s="7">
        <v>534610</v>
      </c>
      <c r="Q16" s="7">
        <v>552970</v>
      </c>
      <c r="R16" s="7">
        <v>377860</v>
      </c>
      <c r="S16" s="7">
        <v>721890</v>
      </c>
      <c r="T16" s="7">
        <v>626150</v>
      </c>
      <c r="U16" s="7">
        <v>625452.30000000005</v>
      </c>
      <c r="V16" s="7">
        <v>901920.7</v>
      </c>
      <c r="W16" s="7">
        <v>886392.4</v>
      </c>
      <c r="X16" s="7">
        <v>1108772.3999999999</v>
      </c>
      <c r="Y16" s="7">
        <v>412588.6</v>
      </c>
      <c r="Z16" s="7">
        <v>3739997.4</v>
      </c>
      <c r="AA16" s="7">
        <v>2594778.7000000002</v>
      </c>
      <c r="AB16" t="str">
        <f t="shared" si="0"/>
        <v>Private</v>
      </c>
      <c r="AC16" t="str" cm="1">
        <f t="array" ref="AC16">INDEX($Y$3:$AA$3,0,MATCH(MAX($Y16:$AA16),$Y16:$AA16,0))</f>
        <v>Private-GCF</v>
      </c>
    </row>
    <row r="17" spans="1:29" x14ac:dyDescent="0.2">
      <c r="A17" t="s">
        <v>228</v>
      </c>
      <c r="B17" s="7">
        <v>36080</v>
      </c>
      <c r="C17" s="7">
        <v>8030</v>
      </c>
      <c r="D17" s="7">
        <v>96360</v>
      </c>
      <c r="E17" s="7">
        <v>96160</v>
      </c>
      <c r="F17" s="7">
        <v>75800</v>
      </c>
      <c r="G17" s="7">
        <v>-122780</v>
      </c>
      <c r="H17" s="7">
        <v>-60740</v>
      </c>
      <c r="I17" s="7">
        <v>6060</v>
      </c>
      <c r="J17" s="7">
        <v>-4270</v>
      </c>
      <c r="K17" s="7">
        <v>20160</v>
      </c>
      <c r="L17" s="7">
        <v>35480</v>
      </c>
      <c r="M17" s="7">
        <v>253340</v>
      </c>
      <c r="N17" s="7">
        <v>48170</v>
      </c>
      <c r="O17" s="7">
        <v>23270</v>
      </c>
      <c r="P17" s="7">
        <v>68220</v>
      </c>
      <c r="Q17" s="7">
        <v>58760</v>
      </c>
      <c r="R17" s="7">
        <v>-67650</v>
      </c>
      <c r="S17" s="7">
        <v>186230</v>
      </c>
      <c r="T17" s="7">
        <v>72540</v>
      </c>
      <c r="U17" s="7">
        <v>-3870</v>
      </c>
      <c r="V17" s="7">
        <v>131230</v>
      </c>
      <c r="W17" s="7">
        <v>101220</v>
      </c>
      <c r="X17" s="7">
        <v>360210</v>
      </c>
      <c r="Y17" s="7">
        <v>116320</v>
      </c>
      <c r="Z17" s="7">
        <v>728710</v>
      </c>
      <c r="AA17" s="7">
        <v>1872650</v>
      </c>
      <c r="AB17" t="str">
        <f t="shared" si="0"/>
        <v>Private</v>
      </c>
      <c r="AC17" t="str" cm="1">
        <f t="array" ref="AC17">INDEX($Y$3:$AA$3,0,MATCH(MAX($Y17:$AA17),$Y17:$AA17,0))</f>
        <v>Household-GCF</v>
      </c>
    </row>
    <row r="18" spans="1:29" x14ac:dyDescent="0.2">
      <c r="A18" t="s">
        <v>229</v>
      </c>
      <c r="B18" s="7">
        <v>35710</v>
      </c>
      <c r="C18" s="7">
        <v>8190</v>
      </c>
      <c r="D18" s="7">
        <v>96260</v>
      </c>
      <c r="E18" s="7">
        <v>95530</v>
      </c>
      <c r="F18" s="7">
        <v>76380</v>
      </c>
      <c r="G18" s="7">
        <v>-123080</v>
      </c>
      <c r="H18" s="7">
        <v>-61000</v>
      </c>
      <c r="I18" s="7">
        <v>5700</v>
      </c>
      <c r="J18" s="7">
        <v>-5940</v>
      </c>
      <c r="K18" s="7">
        <v>20030</v>
      </c>
      <c r="L18" s="7">
        <v>34860</v>
      </c>
      <c r="M18" s="7">
        <v>252670</v>
      </c>
      <c r="N18" s="7">
        <v>46510</v>
      </c>
      <c r="O18" s="7">
        <v>22220</v>
      </c>
      <c r="P18" s="7">
        <v>67280</v>
      </c>
      <c r="Q18" s="7">
        <v>57360</v>
      </c>
      <c r="R18" s="7">
        <v>-69960</v>
      </c>
      <c r="S18" s="7">
        <v>185200</v>
      </c>
      <c r="T18" s="7">
        <v>70200</v>
      </c>
      <c r="U18" s="7">
        <v>-7110</v>
      </c>
      <c r="V18" s="7">
        <v>129090</v>
      </c>
      <c r="W18" s="7">
        <v>97250</v>
      </c>
      <c r="X18" s="7">
        <v>357910</v>
      </c>
      <c r="Y18" s="7">
        <v>121710</v>
      </c>
      <c r="Z18" s="7">
        <v>603220</v>
      </c>
      <c r="AA18" s="7">
        <v>1682530</v>
      </c>
      <c r="AB18" t="str">
        <f t="shared" si="0"/>
        <v>Private</v>
      </c>
      <c r="AC18" t="str" cm="1">
        <f t="array" ref="AC18">INDEX($Y$3:$AA$3,0,MATCH(MAX($Y18:$AA18),$Y18:$AA18,0))</f>
        <v>Household-GCF</v>
      </c>
    </row>
    <row r="19" spans="1:29" x14ac:dyDescent="0.2">
      <c r="A19" t="s">
        <v>230</v>
      </c>
      <c r="B19">
        <v>370</v>
      </c>
      <c r="C19">
        <v>-160</v>
      </c>
      <c r="D19">
        <v>100</v>
      </c>
      <c r="E19">
        <v>640</v>
      </c>
      <c r="F19">
        <v>-580</v>
      </c>
      <c r="G19">
        <v>300</v>
      </c>
      <c r="H19">
        <v>250</v>
      </c>
      <c r="I19">
        <v>360</v>
      </c>
      <c r="J19" s="7">
        <v>1670</v>
      </c>
      <c r="K19">
        <v>140</v>
      </c>
      <c r="L19">
        <v>620</v>
      </c>
      <c r="M19">
        <v>670</v>
      </c>
      <c r="N19" s="7">
        <v>1660</v>
      </c>
      <c r="O19" s="7">
        <v>1050</v>
      </c>
      <c r="P19">
        <v>940</v>
      </c>
      <c r="Q19" s="7">
        <v>1400</v>
      </c>
      <c r="R19" s="7">
        <v>2310</v>
      </c>
      <c r="S19" s="7">
        <v>1020</v>
      </c>
      <c r="T19" s="7">
        <v>2340</v>
      </c>
      <c r="U19" s="7">
        <v>3240</v>
      </c>
      <c r="V19" s="7">
        <v>2140</v>
      </c>
      <c r="W19" s="7">
        <v>3970</v>
      </c>
      <c r="X19" s="7">
        <v>2300</v>
      </c>
      <c r="Y19" s="7">
        <v>-5390</v>
      </c>
      <c r="Z19" s="7">
        <v>125490</v>
      </c>
      <c r="AA19" s="7">
        <v>190120</v>
      </c>
      <c r="AB19" t="str">
        <f t="shared" si="0"/>
        <v>Private</v>
      </c>
      <c r="AC19" t="str" cm="1">
        <f t="array" ref="AC19">INDEX($Y$3:$AA$3,0,MATCH(MAX($Y19:$AA19),$Y19:$AA19,0))</f>
        <v>Household-GCF</v>
      </c>
    </row>
    <row r="20" spans="1:29" x14ac:dyDescent="0.2">
      <c r="A20" t="s">
        <v>231</v>
      </c>
      <c r="B20" s="7">
        <v>328460</v>
      </c>
      <c r="C20" s="7">
        <v>332990</v>
      </c>
      <c r="D20" s="7">
        <v>370770</v>
      </c>
      <c r="E20" s="7">
        <v>446710</v>
      </c>
      <c r="F20" s="7">
        <v>431220</v>
      </c>
      <c r="G20" s="7">
        <v>412210</v>
      </c>
      <c r="H20" s="7">
        <v>333530</v>
      </c>
      <c r="I20" s="7">
        <v>336280</v>
      </c>
      <c r="J20" s="7">
        <v>391630</v>
      </c>
      <c r="K20" s="7">
        <v>429280</v>
      </c>
      <c r="L20" s="7">
        <v>602020</v>
      </c>
      <c r="M20" s="7">
        <v>656260</v>
      </c>
      <c r="N20" s="7">
        <v>668990</v>
      </c>
      <c r="O20" s="7">
        <v>583400</v>
      </c>
      <c r="P20" s="7">
        <v>466390</v>
      </c>
      <c r="Q20" s="7">
        <v>494210</v>
      </c>
      <c r="R20" s="7">
        <v>445510</v>
      </c>
      <c r="S20" s="7">
        <v>535660</v>
      </c>
      <c r="T20" s="7">
        <v>553610</v>
      </c>
      <c r="U20" s="7">
        <v>629320</v>
      </c>
      <c r="V20" s="7">
        <v>770690</v>
      </c>
      <c r="W20" s="7">
        <v>785170</v>
      </c>
      <c r="X20" s="7">
        <v>748560</v>
      </c>
      <c r="Y20" s="7">
        <v>296270</v>
      </c>
      <c r="Z20" s="7">
        <v>3011280</v>
      </c>
      <c r="AA20" s="7">
        <v>722130</v>
      </c>
      <c r="AB20" t="str">
        <f t="shared" si="0"/>
        <v>Private</v>
      </c>
      <c r="AC20" t="str" cm="1">
        <f t="array" ref="AC20">INDEX($Y$3:$AA$3,0,MATCH(MAX($Y20:$AA20),$Y20:$AA20,0))</f>
        <v>Private-GCF</v>
      </c>
    </row>
    <row r="21" spans="1:29" x14ac:dyDescent="0.2">
      <c r="A21" t="s">
        <v>232</v>
      </c>
      <c r="B21" s="7">
        <v>125640</v>
      </c>
      <c r="C21" s="7">
        <v>120490</v>
      </c>
      <c r="D21" s="7">
        <v>128740</v>
      </c>
      <c r="E21" s="7">
        <v>129220</v>
      </c>
      <c r="F21" s="7">
        <v>156780</v>
      </c>
      <c r="G21" s="7">
        <v>194890</v>
      </c>
      <c r="H21" s="7">
        <v>200240</v>
      </c>
      <c r="I21" s="7">
        <v>205300</v>
      </c>
      <c r="J21" s="7">
        <v>234820</v>
      </c>
      <c r="K21" s="7">
        <v>265690</v>
      </c>
      <c r="L21" s="7">
        <v>301960</v>
      </c>
      <c r="M21" s="7">
        <v>370210</v>
      </c>
      <c r="N21" s="7">
        <v>393090</v>
      </c>
      <c r="O21" s="7">
        <v>371590</v>
      </c>
      <c r="P21" s="7">
        <v>290840</v>
      </c>
      <c r="Q21" s="7">
        <v>307490</v>
      </c>
      <c r="R21" s="7">
        <v>330220</v>
      </c>
      <c r="S21" s="7">
        <v>411140</v>
      </c>
      <c r="T21" s="7">
        <v>466790</v>
      </c>
      <c r="U21" s="7">
        <v>480500</v>
      </c>
      <c r="V21" s="7">
        <v>535600</v>
      </c>
      <c r="W21" s="7">
        <v>556870</v>
      </c>
      <c r="X21" s="7">
        <v>560790</v>
      </c>
      <c r="Y21" s="7">
        <v>245910</v>
      </c>
      <c r="Z21" s="7">
        <v>196290</v>
      </c>
      <c r="AA21">
        <v>0</v>
      </c>
      <c r="AB21" t="str">
        <f t="shared" si="0"/>
        <v>Public</v>
      </c>
      <c r="AC21" t="str" cm="1">
        <f t="array" ref="AC21">INDEX($Y$3:$AA$3,0,MATCH(MAX($Y21:$AA21),$Y21:$AA21,0))</f>
        <v>Public-GCF</v>
      </c>
    </row>
    <row r="22" spans="1:29" x14ac:dyDescent="0.2">
      <c r="A22" t="s">
        <v>233</v>
      </c>
      <c r="B22" s="7">
        <v>49390</v>
      </c>
      <c r="C22" s="7">
        <v>53610</v>
      </c>
      <c r="D22" s="7">
        <v>56130</v>
      </c>
      <c r="E22" s="7">
        <v>55260</v>
      </c>
      <c r="F22" s="7">
        <v>38210</v>
      </c>
      <c r="G22" s="7">
        <v>46690</v>
      </c>
      <c r="H22" s="7">
        <v>42390</v>
      </c>
      <c r="I22" s="7">
        <v>42560</v>
      </c>
      <c r="J22" s="7">
        <v>69440</v>
      </c>
      <c r="K22" s="7">
        <v>95330</v>
      </c>
      <c r="L22" s="7">
        <v>228320</v>
      </c>
      <c r="M22" s="7">
        <v>180790</v>
      </c>
      <c r="N22" s="7">
        <v>160110</v>
      </c>
      <c r="O22" s="7">
        <v>138390</v>
      </c>
      <c r="P22" s="7">
        <v>126200</v>
      </c>
      <c r="Q22" s="7">
        <v>136880</v>
      </c>
      <c r="R22" s="7">
        <v>90080</v>
      </c>
      <c r="S22" s="7">
        <v>86750</v>
      </c>
      <c r="T22" s="7">
        <v>41000</v>
      </c>
      <c r="U22" s="7">
        <v>94988.9</v>
      </c>
      <c r="V22" s="7">
        <v>143041.60000000001</v>
      </c>
      <c r="W22" s="7">
        <v>142359.9</v>
      </c>
      <c r="X22" s="7">
        <v>143442.5</v>
      </c>
      <c r="Y22" s="7">
        <v>20778.2</v>
      </c>
      <c r="Z22" s="7">
        <v>610464.4</v>
      </c>
      <c r="AA22" s="7">
        <v>482742.2</v>
      </c>
      <c r="AB22" t="str">
        <f t="shared" si="0"/>
        <v>Private</v>
      </c>
      <c r="AC22" t="str" cm="1">
        <f t="array" ref="AC22">INDEX($Y$3:$AA$3,0,MATCH(MAX($Y22:$AA22),$Y22:$AA22,0))</f>
        <v>Private-GCF</v>
      </c>
    </row>
    <row r="23" spans="1:29" x14ac:dyDescent="0.2">
      <c r="A23" t="s">
        <v>234</v>
      </c>
      <c r="P23" s="7">
        <v>38040</v>
      </c>
      <c r="Q23" s="7">
        <v>30240</v>
      </c>
      <c r="R23" s="7">
        <v>32970</v>
      </c>
      <c r="S23" s="7">
        <v>31240</v>
      </c>
      <c r="T23" s="7">
        <v>34800</v>
      </c>
      <c r="U23" s="7">
        <v>33210</v>
      </c>
      <c r="V23" s="7">
        <v>43160</v>
      </c>
      <c r="W23" s="7">
        <v>64100</v>
      </c>
      <c r="X23" s="7">
        <v>78000</v>
      </c>
      <c r="Y23" s="7">
        <v>50050</v>
      </c>
      <c r="Z23" s="7">
        <v>143590</v>
      </c>
      <c r="AA23" s="7">
        <v>446530</v>
      </c>
      <c r="AB23" t="str">
        <f t="shared" si="0"/>
        <v>Private</v>
      </c>
      <c r="AC23" t="str" cm="1">
        <f t="array" ref="AC23">INDEX($Y$3:$AA$3,0,MATCH(MAX($Y23:$AA23),$Y23:$AA23,0))</f>
        <v>Household-GCF</v>
      </c>
    </row>
    <row r="24" spans="1:29" x14ac:dyDescent="0.2">
      <c r="A24" t="s">
        <v>235</v>
      </c>
      <c r="P24" s="7">
        <v>21120</v>
      </c>
      <c r="Q24" s="7">
        <v>32010</v>
      </c>
      <c r="R24" s="7">
        <v>10980</v>
      </c>
      <c r="S24" s="7">
        <v>5970</v>
      </c>
      <c r="T24" s="7">
        <v>7180</v>
      </c>
      <c r="U24" s="7">
        <v>2700</v>
      </c>
      <c r="V24" s="7">
        <v>12110</v>
      </c>
      <c r="W24" s="7">
        <v>7070</v>
      </c>
      <c r="X24">
        <v>380</v>
      </c>
      <c r="Y24" s="7">
        <v>4220</v>
      </c>
      <c r="Z24" s="7">
        <v>35330</v>
      </c>
      <c r="AA24" s="7">
        <v>12710</v>
      </c>
      <c r="AB24" t="str">
        <f t="shared" si="0"/>
        <v>Private</v>
      </c>
      <c r="AC24" t="str" cm="1">
        <f t="array" ref="AC24">INDEX($Y$3:$AA$3,0,MATCH(MAX($Y24:$AA24),$Y24:$AA24,0))</f>
        <v>Private-GCF</v>
      </c>
    </row>
    <row r="25" spans="1:29" x14ac:dyDescent="0.2">
      <c r="A25" t="s">
        <v>236</v>
      </c>
      <c r="P25" s="7">
        <v>28030</v>
      </c>
      <c r="Q25" s="7">
        <v>46700</v>
      </c>
      <c r="R25" s="7">
        <v>4730</v>
      </c>
      <c r="S25" s="7">
        <v>30650</v>
      </c>
      <c r="T25" s="7">
        <v>-33890</v>
      </c>
      <c r="U25" s="7">
        <v>22730</v>
      </c>
      <c r="V25" s="7">
        <v>45610</v>
      </c>
      <c r="W25" s="7">
        <v>12560</v>
      </c>
      <c r="X25" s="7">
        <v>6430</v>
      </c>
      <c r="Y25" s="7">
        <v>-90500</v>
      </c>
      <c r="Z25" s="7">
        <v>173000</v>
      </c>
      <c r="AA25">
        <v>0</v>
      </c>
      <c r="AB25" t="str">
        <f t="shared" si="0"/>
        <v>Private</v>
      </c>
      <c r="AC25" t="str" cm="1">
        <f t="array" ref="AC25">INDEX($Y$3:$AA$3,0,MATCH(MAX($Y25:$AA25),$Y25:$AA25,0))</f>
        <v>Private-GCF</v>
      </c>
    </row>
    <row r="26" spans="1:29" x14ac:dyDescent="0.2">
      <c r="A26" t="s">
        <v>237</v>
      </c>
      <c r="P26" s="7">
        <v>39010</v>
      </c>
      <c r="Q26" s="7">
        <v>27930</v>
      </c>
      <c r="R26" s="7">
        <v>41400</v>
      </c>
      <c r="S26" s="7">
        <v>18890</v>
      </c>
      <c r="T26" s="7">
        <v>32910</v>
      </c>
      <c r="U26" s="7">
        <v>36350</v>
      </c>
      <c r="V26" s="7">
        <v>42160</v>
      </c>
      <c r="W26" s="7">
        <v>58620</v>
      </c>
      <c r="X26" s="7">
        <v>58630</v>
      </c>
      <c r="Y26" s="7">
        <v>57010</v>
      </c>
      <c r="Z26" s="7">
        <v>258540</v>
      </c>
      <c r="AA26" s="7">
        <v>23510</v>
      </c>
      <c r="AB26" t="str">
        <f t="shared" si="0"/>
        <v>Private</v>
      </c>
      <c r="AC26" t="str" cm="1">
        <f t="array" ref="AC26">INDEX($Y$3:$AA$3,0,MATCH(MAX($Y26:$AA26),$Y26:$AA26,0))</f>
        <v>Private-GCF</v>
      </c>
    </row>
    <row r="27" spans="1:29" x14ac:dyDescent="0.2">
      <c r="A27" t="s">
        <v>238</v>
      </c>
      <c r="B27" s="7">
        <v>3970</v>
      </c>
      <c r="C27" s="7">
        <v>4980</v>
      </c>
      <c r="D27" s="7">
        <v>3720</v>
      </c>
      <c r="E27" s="7">
        <v>11130</v>
      </c>
      <c r="F27" s="7">
        <v>14280</v>
      </c>
      <c r="G27" s="7">
        <v>13420</v>
      </c>
      <c r="H27" s="7">
        <v>9750</v>
      </c>
      <c r="I27" s="7">
        <v>-1900</v>
      </c>
      <c r="J27" s="7">
        <v>1050</v>
      </c>
      <c r="K27" s="7">
        <v>2710</v>
      </c>
      <c r="L27">
        <v>960</v>
      </c>
      <c r="M27">
        <v>630</v>
      </c>
      <c r="N27" s="7">
        <v>2610</v>
      </c>
      <c r="O27" s="7">
        <v>4490</v>
      </c>
      <c r="P27" s="7">
        <v>6050</v>
      </c>
      <c r="Q27" s="7">
        <v>13870</v>
      </c>
      <c r="R27" s="7">
        <v>-9210</v>
      </c>
      <c r="S27">
        <v>770</v>
      </c>
      <c r="T27" s="7">
        <v>5250</v>
      </c>
      <c r="U27" s="7">
        <v>3500</v>
      </c>
      <c r="V27" s="7">
        <v>17610</v>
      </c>
      <c r="W27" s="7">
        <v>17190</v>
      </c>
      <c r="X27" s="7">
        <v>20060</v>
      </c>
      <c r="Y27" s="7">
        <v>19160</v>
      </c>
      <c r="Z27" s="7">
        <v>23340</v>
      </c>
      <c r="AA27" s="7">
        <v>40610</v>
      </c>
      <c r="AB27" t="str">
        <f t="shared" si="0"/>
        <v>Private</v>
      </c>
      <c r="AC27" t="str" cm="1">
        <f t="array" ref="AC27">INDEX($Y$3:$AA$3,0,MATCH(MAX($Y27:$AA27),$Y27:$AA27,0))</f>
        <v>Household-GCF</v>
      </c>
    </row>
    <row r="28" spans="1:29" x14ac:dyDescent="0.2">
      <c r="A28" t="s">
        <v>239</v>
      </c>
      <c r="B28" s="7">
        <v>149470</v>
      </c>
      <c r="C28" s="7">
        <v>153910</v>
      </c>
      <c r="D28" s="7">
        <v>182180</v>
      </c>
      <c r="E28" s="7">
        <v>251100</v>
      </c>
      <c r="F28" s="7">
        <v>221940</v>
      </c>
      <c r="G28" s="7">
        <v>157220</v>
      </c>
      <c r="H28" s="7">
        <v>81150</v>
      </c>
      <c r="I28" s="7">
        <v>90300</v>
      </c>
      <c r="J28" s="7">
        <v>86330</v>
      </c>
      <c r="K28" s="7">
        <v>65540</v>
      </c>
      <c r="L28" s="7">
        <v>70780</v>
      </c>
      <c r="M28" s="7">
        <v>104630</v>
      </c>
      <c r="N28" s="7">
        <v>113190</v>
      </c>
      <c r="O28" s="7">
        <v>68930</v>
      </c>
      <c r="P28" s="7">
        <v>43310</v>
      </c>
      <c r="Q28" s="7">
        <v>35970</v>
      </c>
      <c r="R28" s="7">
        <v>34420</v>
      </c>
      <c r="S28" s="7">
        <v>37000</v>
      </c>
      <c r="T28" s="7">
        <v>40560</v>
      </c>
      <c r="U28" s="7">
        <v>50330</v>
      </c>
      <c r="V28" s="7">
        <v>74440</v>
      </c>
      <c r="W28" s="7">
        <v>68760</v>
      </c>
      <c r="X28" s="7">
        <v>24260</v>
      </c>
      <c r="Y28" s="7">
        <v>10410</v>
      </c>
      <c r="Z28" s="7">
        <v>2181190</v>
      </c>
      <c r="AA28" s="7">
        <v>198770</v>
      </c>
      <c r="AB28" t="str">
        <f t="shared" si="0"/>
        <v>Private</v>
      </c>
      <c r="AC28" t="str" cm="1">
        <f t="array" ref="AC28">INDEX($Y$3:$AA$3,0,MATCH(MAX($Y28:$AA28),$Y28:$AA28,0))</f>
        <v>Private-GCF</v>
      </c>
    </row>
    <row r="29" spans="1:29" x14ac:dyDescent="0.2">
      <c r="A29" t="s">
        <v>222</v>
      </c>
      <c r="B29" s="7">
        <v>39900</v>
      </c>
      <c r="C29" s="7">
        <v>39790</v>
      </c>
      <c r="D29" s="7">
        <v>70150</v>
      </c>
      <c r="E29" s="7">
        <v>64320</v>
      </c>
      <c r="F29" s="7">
        <v>24720</v>
      </c>
      <c r="G29" s="7">
        <v>32890</v>
      </c>
      <c r="H29" s="7">
        <v>54890</v>
      </c>
      <c r="I29" s="7">
        <v>43640</v>
      </c>
      <c r="J29" s="7">
        <v>55540</v>
      </c>
      <c r="K29" s="7">
        <v>65980</v>
      </c>
      <c r="L29" s="7">
        <v>69940</v>
      </c>
      <c r="M29" s="7">
        <v>67210</v>
      </c>
      <c r="N29" s="7">
        <v>76340</v>
      </c>
      <c r="O29" s="7">
        <v>88890</v>
      </c>
      <c r="P29" s="7">
        <v>85080</v>
      </c>
      <c r="Q29" s="7">
        <v>99170</v>
      </c>
      <c r="R29" s="7">
        <v>126900</v>
      </c>
      <c r="S29" s="7">
        <v>110860</v>
      </c>
      <c r="T29" s="7">
        <v>114800</v>
      </c>
      <c r="U29" s="7">
        <v>111375.1</v>
      </c>
      <c r="V29" s="7">
        <v>129669.5</v>
      </c>
      <c r="W29" s="7">
        <v>134717.20000000001</v>
      </c>
      <c r="X29" s="7">
        <v>111821.1</v>
      </c>
      <c r="Y29" s="7">
        <v>128068.4</v>
      </c>
      <c r="Z29" s="7">
        <v>4145481.5</v>
      </c>
      <c r="AA29" s="7">
        <v>6805415</v>
      </c>
      <c r="AB29" t="str">
        <f t="shared" si="0"/>
        <v>Private</v>
      </c>
      <c r="AC29" t="str" cm="1">
        <f t="array" ref="AC29">INDEX($Y$3:$AA$3,0,MATCH(MAX($Y29:$AA29),$Y29:$AA29,0))</f>
        <v>Household-GCF</v>
      </c>
    </row>
    <row r="30" spans="1:29" x14ac:dyDescent="0.2">
      <c r="A30" t="s">
        <v>240</v>
      </c>
      <c r="B30" s="7">
        <v>39320</v>
      </c>
      <c r="C30" s="7">
        <v>39220</v>
      </c>
      <c r="D30" s="7">
        <v>69310</v>
      </c>
      <c r="E30" s="7">
        <v>63760</v>
      </c>
      <c r="F30" s="7">
        <v>24210</v>
      </c>
      <c r="G30" s="7">
        <v>32310</v>
      </c>
      <c r="H30" s="7">
        <v>54200</v>
      </c>
      <c r="I30" s="7">
        <v>42930</v>
      </c>
      <c r="J30" s="7">
        <v>54640</v>
      </c>
      <c r="K30" s="7">
        <v>64580</v>
      </c>
      <c r="L30" s="7">
        <v>68610</v>
      </c>
      <c r="M30" s="7">
        <v>65520</v>
      </c>
      <c r="N30" s="7">
        <v>75280</v>
      </c>
      <c r="O30" s="7">
        <v>87300</v>
      </c>
      <c r="P30" s="7">
        <v>84280</v>
      </c>
      <c r="Q30" s="7">
        <v>94620</v>
      </c>
      <c r="R30" s="7">
        <v>125230</v>
      </c>
      <c r="S30" s="7">
        <v>106180</v>
      </c>
      <c r="T30" s="7">
        <v>112160</v>
      </c>
      <c r="U30" s="7">
        <v>105180</v>
      </c>
      <c r="V30" s="7">
        <v>120500</v>
      </c>
      <c r="W30" s="7">
        <v>113800</v>
      </c>
      <c r="X30" s="7">
        <v>96550</v>
      </c>
      <c r="Y30" s="7">
        <v>110070</v>
      </c>
      <c r="Z30" s="7">
        <v>454140</v>
      </c>
      <c r="AA30">
        <v>0</v>
      </c>
      <c r="AB30" t="str">
        <f t="shared" si="0"/>
        <v>Private</v>
      </c>
      <c r="AC30" t="str" cm="1">
        <f t="array" ref="AC30">INDEX($Y$3:$AA$3,0,MATCH(MAX($Y30:$AA30),$Y30:$AA30,0))</f>
        <v>Private-GCF</v>
      </c>
    </row>
    <row r="31" spans="1:29" x14ac:dyDescent="0.2">
      <c r="A31" t="s">
        <v>241</v>
      </c>
      <c r="B31">
        <v>570</v>
      </c>
      <c r="C31">
        <v>570</v>
      </c>
      <c r="D31">
        <v>840</v>
      </c>
      <c r="E31">
        <v>560</v>
      </c>
      <c r="F31">
        <v>510</v>
      </c>
      <c r="G31">
        <v>580</v>
      </c>
      <c r="H31">
        <v>690</v>
      </c>
      <c r="I31">
        <v>710</v>
      </c>
      <c r="J31">
        <v>900</v>
      </c>
      <c r="K31" s="7">
        <v>1400</v>
      </c>
      <c r="L31" s="7">
        <v>1330</v>
      </c>
      <c r="M31" s="7">
        <v>1690</v>
      </c>
      <c r="N31" s="7">
        <v>1060</v>
      </c>
      <c r="O31" s="7">
        <v>1590</v>
      </c>
      <c r="P31">
        <v>800</v>
      </c>
      <c r="Q31" s="7">
        <v>4550</v>
      </c>
      <c r="R31" s="7">
        <v>1670</v>
      </c>
      <c r="S31" s="7">
        <v>4680</v>
      </c>
      <c r="T31" s="7">
        <v>2640</v>
      </c>
      <c r="U31" s="7">
        <v>6190</v>
      </c>
      <c r="V31" s="7">
        <v>9170</v>
      </c>
      <c r="W31" s="7">
        <v>20920</v>
      </c>
      <c r="X31" s="7">
        <v>15270</v>
      </c>
      <c r="Y31" s="7">
        <v>18000</v>
      </c>
      <c r="Z31" s="7">
        <v>3691340</v>
      </c>
      <c r="AA31" s="7">
        <v>6805410</v>
      </c>
      <c r="AB31" t="str">
        <f t="shared" si="0"/>
        <v>Private</v>
      </c>
      <c r="AC31" t="str" cm="1">
        <f t="array" ref="AC31">INDEX($Y$3:$AA$3,0,MATCH(MAX($Y31:$AA31),$Y31:$AA31,0))</f>
        <v>Household-GCF</v>
      </c>
    </row>
    <row r="32" spans="1:29" x14ac:dyDescent="0.2">
      <c r="A32" t="s">
        <v>223</v>
      </c>
      <c r="B32" s="7">
        <v>767080</v>
      </c>
      <c r="C32" s="7">
        <v>864500</v>
      </c>
      <c r="D32" s="7">
        <v>927300</v>
      </c>
      <c r="E32" s="7">
        <v>976460</v>
      </c>
      <c r="F32" s="7">
        <v>1155830</v>
      </c>
      <c r="G32" s="7">
        <v>1254750</v>
      </c>
      <c r="H32" s="7">
        <v>1213370</v>
      </c>
      <c r="I32" s="7">
        <v>1502400</v>
      </c>
      <c r="J32" s="7">
        <v>1767630</v>
      </c>
      <c r="K32" s="7">
        <v>2026970</v>
      </c>
      <c r="L32" s="7">
        <v>2273750</v>
      </c>
      <c r="M32" s="7">
        <v>2418230</v>
      </c>
      <c r="N32" s="7">
        <v>2616840</v>
      </c>
      <c r="O32" s="7">
        <v>2799720</v>
      </c>
      <c r="P32" s="7">
        <v>2764960</v>
      </c>
      <c r="Q32" s="7">
        <v>2841610</v>
      </c>
      <c r="R32" s="7">
        <v>3123120</v>
      </c>
      <c r="S32" s="7">
        <v>3346450</v>
      </c>
      <c r="T32" s="7">
        <v>3923490</v>
      </c>
      <c r="U32" s="7">
        <v>4383137.9000000004</v>
      </c>
      <c r="V32" s="7">
        <v>4419485</v>
      </c>
      <c r="W32" s="7">
        <v>4610891.7</v>
      </c>
      <c r="X32" s="7">
        <v>4905192.8</v>
      </c>
      <c r="Y32" s="7">
        <v>5573523.2999999998</v>
      </c>
      <c r="Z32" s="7">
        <v>536032.30000000005</v>
      </c>
      <c r="AA32" s="7">
        <v>703259.4</v>
      </c>
      <c r="AB32" t="str">
        <f t="shared" si="0"/>
        <v>Public</v>
      </c>
      <c r="AC32" t="str" cm="1">
        <f t="array" ref="AC32">INDEX($Y$3:$AA$3,0,MATCH(MAX($Y32:$AA32),$Y32:$AA32,0))</f>
        <v>Public-GCF</v>
      </c>
    </row>
    <row r="33" spans="1:29" x14ac:dyDescent="0.2">
      <c r="A33" t="s">
        <v>242</v>
      </c>
      <c r="B33" s="7">
        <v>713860</v>
      </c>
      <c r="C33" s="7">
        <v>804120</v>
      </c>
      <c r="D33" s="7">
        <v>847330</v>
      </c>
      <c r="E33" s="7">
        <v>895610</v>
      </c>
      <c r="F33" s="7">
        <v>1073690</v>
      </c>
      <c r="G33" s="7">
        <v>1157780</v>
      </c>
      <c r="H33" s="7">
        <v>1105730</v>
      </c>
      <c r="I33" s="7">
        <v>1362430</v>
      </c>
      <c r="J33" s="7">
        <v>1609250</v>
      </c>
      <c r="K33" s="7">
        <v>1841070</v>
      </c>
      <c r="L33" s="7">
        <v>2074520</v>
      </c>
      <c r="M33" s="7">
        <v>2210670</v>
      </c>
      <c r="N33" s="7">
        <v>2380520</v>
      </c>
      <c r="O33" s="7">
        <v>2522410</v>
      </c>
      <c r="P33" s="7">
        <v>2480300</v>
      </c>
      <c r="Q33" s="7">
        <v>2538110</v>
      </c>
      <c r="R33" s="7">
        <v>2765340</v>
      </c>
      <c r="S33" s="7">
        <v>2983560</v>
      </c>
      <c r="T33" s="7">
        <v>3465060</v>
      </c>
      <c r="U33" s="7">
        <v>3882200</v>
      </c>
      <c r="V33" s="7">
        <v>3894330</v>
      </c>
      <c r="W33" s="7">
        <v>4093890</v>
      </c>
      <c r="X33" s="7">
        <v>4421390</v>
      </c>
      <c r="Y33" s="7">
        <v>4995770</v>
      </c>
      <c r="Z33">
        <v>0</v>
      </c>
      <c r="AA33">
        <v>0</v>
      </c>
      <c r="AB33" t="str">
        <f t="shared" si="0"/>
        <v>Public</v>
      </c>
      <c r="AC33" t="str" cm="1">
        <f t="array" ref="AC33">INDEX($Y$3:$AA$3,0,MATCH(MAX($Y33:$AA33),$Y33:$AA33,0))</f>
        <v>Public-GCF</v>
      </c>
    </row>
    <row r="34" spans="1:29" x14ac:dyDescent="0.2">
      <c r="A34" t="s">
        <v>243</v>
      </c>
      <c r="B34" s="7">
        <v>53220</v>
      </c>
      <c r="C34" s="7">
        <v>60380</v>
      </c>
      <c r="D34" s="7">
        <v>79970</v>
      </c>
      <c r="E34" s="7">
        <v>80850</v>
      </c>
      <c r="F34" s="7">
        <v>82140</v>
      </c>
      <c r="G34" s="7">
        <v>96970</v>
      </c>
      <c r="H34" s="7">
        <v>107650</v>
      </c>
      <c r="I34" s="7">
        <v>139970</v>
      </c>
      <c r="J34" s="7">
        <v>158380</v>
      </c>
      <c r="K34" s="7">
        <v>185890</v>
      </c>
      <c r="L34" s="7">
        <v>199230</v>
      </c>
      <c r="M34" s="7">
        <v>207560</v>
      </c>
      <c r="N34" s="7">
        <v>236320</v>
      </c>
      <c r="O34" s="7">
        <v>277310</v>
      </c>
      <c r="P34" s="7">
        <v>284660</v>
      </c>
      <c r="Q34" s="7">
        <v>303500</v>
      </c>
      <c r="R34" s="7">
        <v>357780</v>
      </c>
      <c r="S34" s="7">
        <v>362890</v>
      </c>
      <c r="T34" s="7">
        <v>458430</v>
      </c>
      <c r="U34" s="7">
        <v>500940</v>
      </c>
      <c r="V34" s="7">
        <v>525150</v>
      </c>
      <c r="W34" s="7">
        <v>517000</v>
      </c>
      <c r="X34" s="7">
        <v>483800</v>
      </c>
      <c r="Y34" s="7">
        <v>577760</v>
      </c>
      <c r="Z34" s="7">
        <v>536030</v>
      </c>
      <c r="AA34" s="7">
        <v>703260</v>
      </c>
      <c r="AB34" t="str">
        <f t="shared" si="0"/>
        <v>Public</v>
      </c>
      <c r="AC34" t="str" cm="1">
        <f t="array" ref="AC34">INDEX($Y$3:$AA$3,0,MATCH(MAX($Y34:$AA34),$Y34:$AA34,0))</f>
        <v>Household-GCF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8EA8-7FC7-CF48-858B-D6EA52F63F1E}">
  <dimension ref="A1:BL29"/>
  <sheetViews>
    <sheetView topLeftCell="A9" workbookViewId="0">
      <pane xSplit="1" topLeftCell="BB1" activePane="topRight" state="frozen"/>
      <selection pane="topRight" activeCell="BL16" sqref="BL16"/>
    </sheetView>
  </sheetViews>
  <sheetFormatPr baseColWidth="10" defaultRowHeight="16" x14ac:dyDescent="0.2"/>
  <cols>
    <col min="1" max="1" width="72.6640625" bestFit="1" customWidth="1"/>
    <col min="2" max="3" width="72.6640625" customWidth="1"/>
    <col min="62" max="62" width="16" customWidth="1"/>
    <col min="63" max="63" width="17" customWidth="1"/>
  </cols>
  <sheetData>
    <row r="1" spans="1:64" x14ac:dyDescent="0.2">
      <c r="A1" t="s">
        <v>137</v>
      </c>
    </row>
    <row r="2" spans="1:64" x14ac:dyDescent="0.2">
      <c r="A2" t="s">
        <v>45</v>
      </c>
    </row>
    <row r="3" spans="1:64" x14ac:dyDescent="0.2">
      <c r="D3" t="s">
        <v>138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  <c r="J3" t="s">
        <v>144</v>
      </c>
      <c r="K3" t="s">
        <v>145</v>
      </c>
      <c r="L3" t="s">
        <v>146</v>
      </c>
      <c r="M3" t="s">
        <v>147</v>
      </c>
      <c r="N3" t="s">
        <v>148</v>
      </c>
      <c r="O3" t="s">
        <v>149</v>
      </c>
      <c r="P3" t="s">
        <v>150</v>
      </c>
      <c r="Q3" t="s">
        <v>151</v>
      </c>
      <c r="R3" t="s">
        <v>152</v>
      </c>
      <c r="S3" t="s">
        <v>153</v>
      </c>
      <c r="T3" t="s">
        <v>154</v>
      </c>
      <c r="U3" t="s">
        <v>155</v>
      </c>
      <c r="V3" t="s">
        <v>156</v>
      </c>
      <c r="W3" t="s">
        <v>157</v>
      </c>
      <c r="X3" t="s">
        <v>158</v>
      </c>
      <c r="Y3" t="s">
        <v>159</v>
      </c>
      <c r="Z3" t="s">
        <v>160</v>
      </c>
      <c r="AA3" t="s">
        <v>161</v>
      </c>
      <c r="AB3" t="s">
        <v>162</v>
      </c>
      <c r="AC3" t="s">
        <v>163</v>
      </c>
      <c r="AD3" t="s">
        <v>164</v>
      </c>
      <c r="AE3" t="s">
        <v>165</v>
      </c>
      <c r="AF3" t="s">
        <v>166</v>
      </c>
      <c r="AG3" t="s">
        <v>167</v>
      </c>
      <c r="AH3" t="s">
        <v>168</v>
      </c>
      <c r="AI3" t="s">
        <v>169</v>
      </c>
      <c r="AJ3" t="s">
        <v>170</v>
      </c>
      <c r="AK3" t="s">
        <v>171</v>
      </c>
      <c r="AL3" t="s">
        <v>172</v>
      </c>
      <c r="AM3" t="s">
        <v>173</v>
      </c>
      <c r="AN3" t="s">
        <v>174</v>
      </c>
      <c r="AO3" t="s">
        <v>175</v>
      </c>
      <c r="AP3" t="s">
        <v>176</v>
      </c>
      <c r="AQ3" t="s">
        <v>177</v>
      </c>
      <c r="AR3" t="s">
        <v>178</v>
      </c>
      <c r="AS3" t="s">
        <v>179</v>
      </c>
      <c r="AT3" t="s">
        <v>180</v>
      </c>
      <c r="AU3" t="s">
        <v>181</v>
      </c>
      <c r="AV3" t="s">
        <v>182</v>
      </c>
      <c r="AW3" t="s">
        <v>183</v>
      </c>
      <c r="AX3" t="s">
        <v>184</v>
      </c>
      <c r="AY3" t="s">
        <v>185</v>
      </c>
      <c r="AZ3" t="s">
        <v>186</v>
      </c>
      <c r="BA3" t="s">
        <v>187</v>
      </c>
      <c r="BB3" t="s">
        <v>188</v>
      </c>
      <c r="BC3" t="s">
        <v>189</v>
      </c>
      <c r="BD3" t="s">
        <v>190</v>
      </c>
      <c r="BE3" t="s">
        <v>191</v>
      </c>
      <c r="BF3" t="s">
        <v>192</v>
      </c>
      <c r="BG3" t="s">
        <v>193</v>
      </c>
      <c r="BH3" t="s">
        <v>194</v>
      </c>
      <c r="BI3" t="s">
        <v>195</v>
      </c>
      <c r="BJ3" t="s">
        <v>196</v>
      </c>
      <c r="BK3" t="s">
        <v>197</v>
      </c>
    </row>
    <row r="4" spans="1:64" x14ac:dyDescent="0.2">
      <c r="A4" t="s">
        <v>198</v>
      </c>
      <c r="D4" s="7">
        <v>7402930</v>
      </c>
      <c r="E4" s="7">
        <v>7777730</v>
      </c>
      <c r="F4" s="7">
        <v>8367590</v>
      </c>
      <c r="G4" s="7">
        <v>8061760</v>
      </c>
      <c r="H4" s="7">
        <v>8143810</v>
      </c>
      <c r="I4" s="7">
        <v>8806550</v>
      </c>
      <c r="J4" s="7">
        <v>9036370</v>
      </c>
      <c r="K4" s="7">
        <v>9625220</v>
      </c>
      <c r="L4" s="7">
        <v>10107770</v>
      </c>
      <c r="M4" s="7">
        <v>10209830</v>
      </c>
      <c r="N4" s="7">
        <v>10177300</v>
      </c>
      <c r="O4" s="7">
        <v>10640510</v>
      </c>
      <c r="P4" s="7">
        <v>10764030</v>
      </c>
      <c r="Q4" s="7">
        <v>11733270</v>
      </c>
      <c r="R4" s="7">
        <v>11879920</v>
      </c>
      <c r="S4" s="7">
        <v>12767340</v>
      </c>
      <c r="T4" s="7">
        <v>13469880</v>
      </c>
      <c r="U4" s="7">
        <v>12769240</v>
      </c>
      <c r="V4" s="7">
        <v>13684810</v>
      </c>
      <c r="W4" s="7">
        <v>14454660</v>
      </c>
      <c r="X4" s="7">
        <v>14877370</v>
      </c>
      <c r="Y4" s="7">
        <v>16045810</v>
      </c>
      <c r="Z4" s="7">
        <v>16681420</v>
      </c>
      <c r="AA4" s="7">
        <v>17375650</v>
      </c>
      <c r="AB4" s="7">
        <v>18125380</v>
      </c>
      <c r="AC4" s="7">
        <v>18766010</v>
      </c>
      <c r="AD4" s="7">
        <v>20672620</v>
      </c>
      <c r="AE4" s="7">
        <v>21940570</v>
      </c>
      <c r="AF4" s="7">
        <v>23100150</v>
      </c>
      <c r="AG4" s="7">
        <v>23430600</v>
      </c>
      <c r="AH4" s="7">
        <v>24687380</v>
      </c>
      <c r="AI4" s="7">
        <v>26089950</v>
      </c>
      <c r="AJ4" s="7">
        <v>27758350</v>
      </c>
      <c r="AK4" s="7">
        <v>29781430</v>
      </c>
      <c r="AL4" s="7">
        <v>32156390</v>
      </c>
      <c r="AM4" s="7">
        <v>33539650</v>
      </c>
      <c r="AN4" s="7">
        <v>35781230</v>
      </c>
      <c r="AO4" s="7">
        <v>38645240</v>
      </c>
      <c r="AP4" s="7">
        <v>40248300</v>
      </c>
      <c r="AQ4" s="7">
        <v>42415950</v>
      </c>
      <c r="AR4" s="7">
        <v>44060730</v>
      </c>
      <c r="AS4" s="7">
        <v>47570840</v>
      </c>
      <c r="AT4" s="7">
        <v>50925030</v>
      </c>
      <c r="AU4" s="7">
        <v>55142280</v>
      </c>
      <c r="AV4" s="7">
        <v>59583670</v>
      </c>
      <c r="AW4" s="7">
        <v>63982950</v>
      </c>
      <c r="AX4" s="7">
        <v>66742150</v>
      </c>
      <c r="AY4" s="7">
        <v>71318360</v>
      </c>
      <c r="AZ4" s="7">
        <v>77045140</v>
      </c>
      <c r="BA4" s="7">
        <v>81069459.900000006</v>
      </c>
      <c r="BB4" s="7">
        <v>85462754.599999994</v>
      </c>
      <c r="BC4" s="7">
        <v>90636486.099999994</v>
      </c>
      <c r="BD4" s="7">
        <v>97121327.900000006</v>
      </c>
      <c r="BE4" s="7">
        <v>104918703.5</v>
      </c>
      <c r="BF4" s="7">
        <v>113282846.2</v>
      </c>
      <c r="BG4" s="7">
        <v>120341705.09999999</v>
      </c>
      <c r="BH4" s="7">
        <v>127337977.7</v>
      </c>
      <c r="BI4" s="7">
        <v>132194755.90000001</v>
      </c>
      <c r="BJ4" s="7">
        <v>125850736.2</v>
      </c>
      <c r="BK4" s="7">
        <v>136054740</v>
      </c>
    </row>
    <row r="5" spans="1:64" x14ac:dyDescent="0.2">
      <c r="A5" t="s">
        <v>199</v>
      </c>
      <c r="D5" s="7">
        <v>3909670</v>
      </c>
      <c r="E5" s="7">
        <v>4001130</v>
      </c>
      <c r="F5" s="7">
        <v>4370200</v>
      </c>
      <c r="G5" s="7">
        <v>3887640</v>
      </c>
      <c r="H5" s="7">
        <v>3832330</v>
      </c>
      <c r="I5" s="7">
        <v>4402230</v>
      </c>
      <c r="J5" s="7">
        <v>4395270</v>
      </c>
      <c r="K5" s="7">
        <v>4677770</v>
      </c>
      <c r="L5" s="7">
        <v>5009530</v>
      </c>
      <c r="M5" s="7">
        <v>4915480</v>
      </c>
      <c r="N5" s="7">
        <v>4668800</v>
      </c>
      <c r="O5" s="7">
        <v>5005040</v>
      </c>
      <c r="P5" s="7">
        <v>4928800</v>
      </c>
      <c r="Q5" s="7">
        <v>5564110</v>
      </c>
      <c r="R5" s="7">
        <v>5242600</v>
      </c>
      <c r="S5" s="7">
        <v>5768770</v>
      </c>
      <c r="T5" s="7">
        <v>5901590</v>
      </c>
      <c r="U5" s="7">
        <v>5147680</v>
      </c>
      <c r="V5" s="7">
        <v>5811130</v>
      </c>
      <c r="W5" s="7">
        <v>6078540</v>
      </c>
      <c r="X5" s="7">
        <v>6061460</v>
      </c>
      <c r="Y5" s="7">
        <v>6674940</v>
      </c>
      <c r="Z5" s="7">
        <v>6780750</v>
      </c>
      <c r="AA5" s="7">
        <v>6802060</v>
      </c>
      <c r="AB5" s="7">
        <v>6774200</v>
      </c>
      <c r="AC5" s="7">
        <v>6666640</v>
      </c>
      <c r="AD5" s="7">
        <v>7709280</v>
      </c>
      <c r="AE5" s="7">
        <v>7800960</v>
      </c>
      <c r="AF5" s="7">
        <v>8114170</v>
      </c>
      <c r="AG5" s="7">
        <v>7955750</v>
      </c>
      <c r="AH5" s="7">
        <v>8484880</v>
      </c>
      <c r="AI5" s="7">
        <v>8766810</v>
      </c>
      <c r="AJ5" s="7">
        <v>9180250</v>
      </c>
      <c r="AK5" s="7">
        <v>9116420</v>
      </c>
      <c r="AL5" s="7">
        <v>10020790</v>
      </c>
      <c r="AM5" s="7">
        <v>9764890</v>
      </c>
      <c r="AN5" s="7">
        <v>10382070</v>
      </c>
      <c r="AO5" s="7">
        <v>10659180</v>
      </c>
      <c r="AP5" s="7">
        <v>10658370</v>
      </c>
      <c r="AQ5" s="7">
        <v>11298630</v>
      </c>
      <c r="AR5" s="7">
        <v>10552440</v>
      </c>
      <c r="AS5" s="7">
        <v>11507290</v>
      </c>
      <c r="AT5" s="7">
        <v>11528410</v>
      </c>
      <c r="AU5" s="7">
        <v>12082850</v>
      </c>
      <c r="AV5" s="7">
        <v>12437940</v>
      </c>
      <c r="AW5" s="7">
        <v>13122830</v>
      </c>
      <c r="AX5" s="7">
        <v>13090790</v>
      </c>
      <c r="AY5" s="7">
        <v>12975560</v>
      </c>
      <c r="AZ5" s="7">
        <v>14116340</v>
      </c>
      <c r="BA5" s="7">
        <v>15019470</v>
      </c>
      <c r="BB5" s="7">
        <v>15242880</v>
      </c>
      <c r="BC5" s="7">
        <v>16091980</v>
      </c>
      <c r="BD5" s="7">
        <v>16057150</v>
      </c>
      <c r="BE5" s="7">
        <v>16161460</v>
      </c>
      <c r="BF5" s="7">
        <v>17260040</v>
      </c>
      <c r="BG5" s="7">
        <v>18400230</v>
      </c>
      <c r="BH5" s="7">
        <v>18785980</v>
      </c>
      <c r="BI5" s="7">
        <v>19823030</v>
      </c>
      <c r="BJ5" s="7">
        <v>20480320</v>
      </c>
      <c r="BK5" s="7">
        <v>21096970</v>
      </c>
    </row>
    <row r="6" spans="1:64" x14ac:dyDescent="0.2">
      <c r="A6" t="s">
        <v>200</v>
      </c>
      <c r="B6" t="s">
        <v>200</v>
      </c>
      <c r="D6" s="7">
        <v>2484380</v>
      </c>
      <c r="E6" s="7">
        <v>2530920</v>
      </c>
      <c r="F6" s="7">
        <v>2792420</v>
      </c>
      <c r="G6" s="7">
        <v>2416290</v>
      </c>
      <c r="H6" s="7">
        <v>2361000</v>
      </c>
      <c r="I6" s="7">
        <v>2764070</v>
      </c>
      <c r="J6" s="7">
        <v>2754530</v>
      </c>
      <c r="K6" s="7">
        <v>2954210</v>
      </c>
      <c r="L6" s="7">
        <v>3173140</v>
      </c>
      <c r="M6" s="7">
        <v>3088630</v>
      </c>
      <c r="N6" s="7">
        <v>2914820</v>
      </c>
      <c r="O6" s="7">
        <v>3160430</v>
      </c>
      <c r="P6" s="7">
        <v>3073350</v>
      </c>
      <c r="Q6" s="7">
        <v>3509620</v>
      </c>
      <c r="R6" s="7">
        <v>3296180</v>
      </c>
      <c r="S6" s="7">
        <v>3708680</v>
      </c>
      <c r="T6" s="7">
        <v>3782600</v>
      </c>
      <c r="U6" s="7">
        <v>3277180</v>
      </c>
      <c r="V6" s="7">
        <v>3750370</v>
      </c>
      <c r="W6" s="7">
        <v>3932190</v>
      </c>
      <c r="X6" s="7">
        <v>3926690</v>
      </c>
      <c r="Y6" s="7">
        <v>4348940</v>
      </c>
      <c r="Z6" s="7">
        <v>4413470</v>
      </c>
      <c r="AA6" s="7">
        <v>4422080</v>
      </c>
      <c r="AB6" s="7">
        <v>4404780</v>
      </c>
      <c r="AC6" s="7">
        <v>4328710</v>
      </c>
      <c r="AD6" s="7">
        <v>5057910</v>
      </c>
      <c r="AE6" s="7">
        <v>5077900</v>
      </c>
      <c r="AF6" s="7">
        <v>5295150</v>
      </c>
      <c r="AG6" s="7">
        <v>5172780</v>
      </c>
      <c r="AH6" s="7">
        <v>5537840</v>
      </c>
      <c r="AI6" s="7">
        <v>5713940</v>
      </c>
      <c r="AJ6" s="7">
        <v>5984790</v>
      </c>
      <c r="AK6" s="7">
        <v>5926250</v>
      </c>
      <c r="AL6" s="7">
        <v>6542640</v>
      </c>
      <c r="AM6" s="7">
        <v>6348160</v>
      </c>
      <c r="AN6" s="7">
        <v>6800060</v>
      </c>
      <c r="AO6" s="7">
        <v>6963770</v>
      </c>
      <c r="AP6" s="7">
        <v>6921550</v>
      </c>
      <c r="AQ6" s="7">
        <v>7368600</v>
      </c>
      <c r="AR6" s="7">
        <v>6769070</v>
      </c>
      <c r="AS6" s="7">
        <v>7502640</v>
      </c>
      <c r="AT6" s="7">
        <v>7507520</v>
      </c>
      <c r="AU6" s="7">
        <v>7969260</v>
      </c>
      <c r="AV6" s="7">
        <v>8152680</v>
      </c>
      <c r="AW6" s="7">
        <v>8710910</v>
      </c>
      <c r="AX6" s="7">
        <v>8494070</v>
      </c>
      <c r="AY6" s="7">
        <v>8221860</v>
      </c>
      <c r="AZ6" s="7">
        <v>9162160</v>
      </c>
      <c r="BA6" s="7">
        <v>9821510</v>
      </c>
      <c r="BB6" s="7">
        <v>9838090</v>
      </c>
      <c r="BC6" s="7">
        <v>10370600</v>
      </c>
      <c r="BD6" s="7">
        <v>9984250</v>
      </c>
      <c r="BE6" s="7">
        <v>9693440</v>
      </c>
      <c r="BF6" s="7">
        <v>10202580</v>
      </c>
      <c r="BG6" s="7">
        <v>10751110</v>
      </c>
      <c r="BH6" s="7">
        <v>10492110</v>
      </c>
      <c r="BI6" s="7">
        <v>11065450</v>
      </c>
      <c r="BJ6" s="7">
        <v>11275750</v>
      </c>
    </row>
    <row r="7" spans="1:64" x14ac:dyDescent="0.2">
      <c r="A7" t="s">
        <v>201</v>
      </c>
      <c r="B7" t="s">
        <v>200</v>
      </c>
      <c r="C7" t="s">
        <v>201</v>
      </c>
      <c r="D7" s="7">
        <v>2413510</v>
      </c>
      <c r="E7" s="7">
        <v>2456540</v>
      </c>
      <c r="F7" s="7">
        <v>2708440</v>
      </c>
      <c r="G7" s="7">
        <v>2344550</v>
      </c>
      <c r="H7" s="7">
        <v>2291530</v>
      </c>
      <c r="I7" s="7">
        <v>2682200</v>
      </c>
      <c r="J7" s="7">
        <v>2670920</v>
      </c>
      <c r="K7" s="7">
        <v>2863360</v>
      </c>
      <c r="L7" s="7">
        <v>3071550</v>
      </c>
      <c r="M7" s="7">
        <v>2990600</v>
      </c>
      <c r="N7" s="7">
        <v>2820960</v>
      </c>
      <c r="O7" s="7">
        <v>3057200</v>
      </c>
      <c r="P7" s="7">
        <v>2974400</v>
      </c>
      <c r="Q7" s="7">
        <v>3391990</v>
      </c>
      <c r="R7" s="7">
        <v>3183680</v>
      </c>
      <c r="S7" s="7">
        <v>3576860</v>
      </c>
      <c r="T7" s="7">
        <v>3644090</v>
      </c>
      <c r="U7" s="7">
        <v>3159110</v>
      </c>
      <c r="V7" s="7">
        <v>3592510</v>
      </c>
      <c r="W7" s="7">
        <v>3768590</v>
      </c>
      <c r="X7" s="7">
        <v>3762110</v>
      </c>
      <c r="Y7" s="7">
        <v>4175350</v>
      </c>
      <c r="Z7" s="7">
        <v>4237540</v>
      </c>
      <c r="AA7" s="7">
        <v>4246680</v>
      </c>
      <c r="AB7" s="7">
        <v>4225960</v>
      </c>
      <c r="AC7" s="7">
        <v>4149960</v>
      </c>
      <c r="AD7" s="7">
        <v>4859600</v>
      </c>
      <c r="AE7" s="7">
        <v>4877650</v>
      </c>
      <c r="AF7" s="7">
        <v>5091250</v>
      </c>
      <c r="AG7" s="7">
        <v>4962290</v>
      </c>
      <c r="AH7" s="7">
        <v>5321140</v>
      </c>
      <c r="AI7" s="7">
        <v>5491880</v>
      </c>
      <c r="AJ7" s="7">
        <v>5756710</v>
      </c>
      <c r="AK7" s="7">
        <v>5694700</v>
      </c>
      <c r="AL7" s="7">
        <v>6301850</v>
      </c>
      <c r="AM7" s="7">
        <v>6103450</v>
      </c>
      <c r="AN7" s="7">
        <v>6552250</v>
      </c>
      <c r="AO7" s="7">
        <v>6711270</v>
      </c>
      <c r="AP7" s="7">
        <v>6651670</v>
      </c>
      <c r="AQ7" s="7">
        <v>7093770</v>
      </c>
      <c r="AR7" s="7">
        <v>6499270</v>
      </c>
      <c r="AS7" s="7">
        <v>7226270</v>
      </c>
      <c r="AT7" s="7">
        <v>7227790</v>
      </c>
      <c r="AU7" s="7">
        <v>7680350</v>
      </c>
      <c r="AV7" s="7">
        <v>7854760</v>
      </c>
      <c r="AW7" s="7">
        <v>8406670</v>
      </c>
      <c r="AX7" s="7">
        <v>8185900</v>
      </c>
      <c r="AY7" s="7">
        <v>7915050</v>
      </c>
      <c r="AZ7" s="7">
        <v>8846030</v>
      </c>
      <c r="BA7" s="7">
        <v>9501150</v>
      </c>
      <c r="BB7" s="7">
        <v>9513290</v>
      </c>
      <c r="BC7" s="7">
        <v>10035890</v>
      </c>
      <c r="BD7" s="7">
        <v>9645600</v>
      </c>
      <c r="BE7" s="7">
        <v>9347930</v>
      </c>
      <c r="BF7" s="7">
        <v>9848640</v>
      </c>
      <c r="BG7" s="7">
        <v>10390460</v>
      </c>
      <c r="BH7" s="7">
        <v>10124850</v>
      </c>
      <c r="BI7" s="7">
        <v>10691880</v>
      </c>
      <c r="BJ7" s="7">
        <v>10895530</v>
      </c>
    </row>
    <row r="8" spans="1:64" x14ac:dyDescent="0.2">
      <c r="A8" t="s">
        <v>202</v>
      </c>
      <c r="B8" t="s">
        <v>200</v>
      </c>
      <c r="C8" t="s">
        <v>202</v>
      </c>
      <c r="D8" s="7">
        <v>11770</v>
      </c>
      <c r="E8" s="7">
        <v>14120</v>
      </c>
      <c r="F8" s="7">
        <v>15690</v>
      </c>
      <c r="G8" s="7">
        <v>20400</v>
      </c>
      <c r="H8" s="7">
        <v>21580</v>
      </c>
      <c r="I8" s="7">
        <v>23140</v>
      </c>
      <c r="J8" s="7">
        <v>27070</v>
      </c>
      <c r="K8" s="7">
        <v>26090</v>
      </c>
      <c r="L8" s="7">
        <v>31780</v>
      </c>
      <c r="M8" s="7">
        <v>35500</v>
      </c>
      <c r="N8" s="7">
        <v>40410</v>
      </c>
      <c r="O8" s="7">
        <v>42960</v>
      </c>
      <c r="P8" s="7">
        <v>48250</v>
      </c>
      <c r="Q8" s="7">
        <v>52170</v>
      </c>
      <c r="R8" s="7">
        <v>58840</v>
      </c>
      <c r="S8" s="7">
        <v>69630</v>
      </c>
      <c r="T8" s="7">
        <v>81790</v>
      </c>
      <c r="U8" s="7">
        <v>87280</v>
      </c>
      <c r="V8" s="7">
        <v>164370</v>
      </c>
      <c r="W8" s="7">
        <v>169750</v>
      </c>
      <c r="X8" s="7">
        <v>171140</v>
      </c>
      <c r="Y8" s="7">
        <v>177740</v>
      </c>
      <c r="Z8" s="7">
        <v>180050</v>
      </c>
      <c r="AA8" s="7">
        <v>179230</v>
      </c>
      <c r="AB8" s="7">
        <v>184110</v>
      </c>
      <c r="AC8" s="7">
        <v>185040</v>
      </c>
      <c r="AD8" s="7">
        <v>201840</v>
      </c>
      <c r="AE8" s="7">
        <v>204220</v>
      </c>
      <c r="AF8" s="7">
        <v>206270</v>
      </c>
      <c r="AG8" s="7">
        <v>216870</v>
      </c>
      <c r="AH8" s="7">
        <v>220430</v>
      </c>
      <c r="AI8" s="7">
        <v>225350</v>
      </c>
      <c r="AJ8" s="7">
        <v>229910</v>
      </c>
      <c r="AK8" s="7">
        <v>235420</v>
      </c>
      <c r="AL8" s="7">
        <v>239720</v>
      </c>
      <c r="AM8" s="7">
        <v>247660</v>
      </c>
      <c r="AN8" s="7">
        <v>245820</v>
      </c>
      <c r="AO8" s="7">
        <v>249990</v>
      </c>
      <c r="AP8" s="7">
        <v>274180</v>
      </c>
      <c r="AQ8" s="7">
        <v>274930</v>
      </c>
      <c r="AR8" s="7">
        <v>276120</v>
      </c>
      <c r="AS8" s="7">
        <v>275230</v>
      </c>
      <c r="AT8" s="7">
        <v>279730</v>
      </c>
      <c r="AU8" s="7">
        <v>288900</v>
      </c>
      <c r="AV8" s="7">
        <v>297910</v>
      </c>
      <c r="AW8" s="7">
        <v>304240</v>
      </c>
      <c r="AX8" s="7">
        <v>308170</v>
      </c>
      <c r="AY8" s="7">
        <v>306820</v>
      </c>
      <c r="AZ8" s="7">
        <v>316130</v>
      </c>
      <c r="BA8" s="7">
        <v>320360</v>
      </c>
      <c r="BB8" s="7">
        <v>324800</v>
      </c>
      <c r="BC8" s="7">
        <v>334710</v>
      </c>
      <c r="BD8" s="7">
        <v>338640</v>
      </c>
      <c r="BE8" s="7">
        <v>345510</v>
      </c>
      <c r="BF8" s="7">
        <v>353930</v>
      </c>
      <c r="BG8" s="7">
        <v>360650</v>
      </c>
      <c r="BH8" s="7">
        <v>367260</v>
      </c>
      <c r="BI8" s="7">
        <v>373560</v>
      </c>
      <c r="BJ8" s="7">
        <v>380220</v>
      </c>
    </row>
    <row r="9" spans="1:64" x14ac:dyDescent="0.2">
      <c r="A9" t="s">
        <v>203</v>
      </c>
      <c r="B9" t="s">
        <v>203</v>
      </c>
      <c r="D9" s="7">
        <v>714590</v>
      </c>
      <c r="E9" s="7">
        <v>727330</v>
      </c>
      <c r="F9" s="7">
        <v>801910</v>
      </c>
      <c r="G9" s="7">
        <v>694170</v>
      </c>
      <c r="H9" s="7">
        <v>678480</v>
      </c>
      <c r="I9" s="7">
        <v>794150</v>
      </c>
      <c r="J9" s="7">
        <v>790800</v>
      </c>
      <c r="K9" s="7">
        <v>847780</v>
      </c>
      <c r="L9" s="7">
        <v>909420</v>
      </c>
      <c r="M9" s="7">
        <v>885460</v>
      </c>
      <c r="N9" s="7">
        <v>835230</v>
      </c>
      <c r="O9" s="7">
        <v>905170</v>
      </c>
      <c r="P9" s="7">
        <v>880660</v>
      </c>
      <c r="Q9" s="7">
        <v>1004300</v>
      </c>
      <c r="R9" s="7">
        <v>942620</v>
      </c>
      <c r="S9" s="7">
        <v>1059040</v>
      </c>
      <c r="T9" s="7">
        <v>1078940</v>
      </c>
      <c r="U9" s="7">
        <v>935350</v>
      </c>
      <c r="V9" s="7">
        <v>1063670</v>
      </c>
      <c r="W9" s="7">
        <v>1115800</v>
      </c>
      <c r="X9" s="7">
        <v>1113880</v>
      </c>
      <c r="Y9" s="7">
        <v>1236230</v>
      </c>
      <c r="Z9" s="7">
        <v>1254650</v>
      </c>
      <c r="AA9" s="7">
        <v>1257350</v>
      </c>
      <c r="AB9" s="7">
        <v>1251220</v>
      </c>
      <c r="AC9" s="7">
        <v>1228720</v>
      </c>
      <c r="AD9" s="7">
        <v>1438830</v>
      </c>
      <c r="AE9" s="7">
        <v>1444170</v>
      </c>
      <c r="AF9" s="7">
        <v>1507410</v>
      </c>
      <c r="AG9" s="7">
        <v>1469230</v>
      </c>
      <c r="AH9" s="7">
        <v>1575480</v>
      </c>
      <c r="AI9" s="7">
        <v>1626030</v>
      </c>
      <c r="AJ9" s="7">
        <v>1704440</v>
      </c>
      <c r="AK9" s="7">
        <v>1686080</v>
      </c>
      <c r="AL9" s="7">
        <v>1865850</v>
      </c>
      <c r="AM9" s="7">
        <v>1807110</v>
      </c>
      <c r="AN9" s="7">
        <v>1939980</v>
      </c>
      <c r="AO9" s="7">
        <v>1987070</v>
      </c>
      <c r="AP9" s="7">
        <v>1969420</v>
      </c>
      <c r="AQ9" s="7">
        <v>2100320</v>
      </c>
      <c r="AR9" s="7">
        <v>1924300</v>
      </c>
      <c r="AS9" s="7">
        <v>2139550</v>
      </c>
      <c r="AT9" s="7">
        <v>2140000</v>
      </c>
      <c r="AU9" s="7">
        <v>2237930</v>
      </c>
      <c r="AV9" s="7">
        <v>2377260</v>
      </c>
      <c r="AW9" s="7">
        <v>2506330</v>
      </c>
      <c r="AX9" s="7">
        <v>2697770</v>
      </c>
      <c r="AY9" s="7">
        <v>2837770</v>
      </c>
      <c r="AZ9" s="7">
        <v>3044750</v>
      </c>
      <c r="BA9" s="7">
        <v>3273340</v>
      </c>
      <c r="BB9" s="7">
        <v>3443750</v>
      </c>
      <c r="BC9" s="7">
        <v>3635580</v>
      </c>
      <c r="BD9" s="7">
        <v>3904490</v>
      </c>
      <c r="BE9" s="7">
        <v>4196370</v>
      </c>
      <c r="BF9" s="7">
        <v>4615720</v>
      </c>
      <c r="BG9" s="7">
        <v>4978300</v>
      </c>
      <c r="BH9" s="7">
        <v>5409700</v>
      </c>
      <c r="BI9" s="7">
        <v>5814500</v>
      </c>
      <c r="BJ9" s="7">
        <v>6171170</v>
      </c>
    </row>
    <row r="10" spans="1:64" x14ac:dyDescent="0.2">
      <c r="A10" t="s">
        <v>204</v>
      </c>
      <c r="B10" t="s">
        <v>204</v>
      </c>
      <c r="D10" s="7">
        <v>969450</v>
      </c>
      <c r="E10" s="7">
        <v>1026130</v>
      </c>
      <c r="F10" s="7">
        <v>1008280</v>
      </c>
      <c r="G10" s="7">
        <v>1142980</v>
      </c>
      <c r="H10" s="7">
        <v>1199300</v>
      </c>
      <c r="I10" s="7">
        <v>1194060</v>
      </c>
      <c r="J10" s="7">
        <v>1198950</v>
      </c>
      <c r="K10" s="7">
        <v>1195800</v>
      </c>
      <c r="L10" s="7">
        <v>1253880</v>
      </c>
      <c r="M10" s="7">
        <v>1308810</v>
      </c>
      <c r="N10" s="7">
        <v>1297610</v>
      </c>
      <c r="O10" s="7">
        <v>1261230</v>
      </c>
      <c r="P10" s="7">
        <v>1371080</v>
      </c>
      <c r="Q10" s="7">
        <v>1408870</v>
      </c>
      <c r="R10" s="7">
        <v>1361990</v>
      </c>
      <c r="S10" s="7">
        <v>1205600</v>
      </c>
      <c r="T10" s="7">
        <v>1271020</v>
      </c>
      <c r="U10" s="7">
        <v>1158020</v>
      </c>
      <c r="V10" s="7">
        <v>1141230</v>
      </c>
      <c r="W10" s="7">
        <v>1173380</v>
      </c>
      <c r="X10" s="7">
        <v>1150740</v>
      </c>
      <c r="Y10" s="7">
        <v>1113740</v>
      </c>
      <c r="Z10" s="7">
        <v>1118400</v>
      </c>
      <c r="AA10" s="7">
        <v>1125010</v>
      </c>
      <c r="AB10" s="7">
        <v>1111010</v>
      </c>
      <c r="AC10" s="7">
        <v>1090670</v>
      </c>
      <c r="AD10" s="7">
        <v>1084670</v>
      </c>
      <c r="AE10" s="7">
        <v>1192020</v>
      </c>
      <c r="AF10" s="7">
        <v>1176220</v>
      </c>
      <c r="AG10" s="7">
        <v>1185360</v>
      </c>
      <c r="AH10" s="7">
        <v>1157640</v>
      </c>
      <c r="AI10" s="7">
        <v>1152080</v>
      </c>
      <c r="AJ10" s="7">
        <v>1182690</v>
      </c>
      <c r="AK10" s="7">
        <v>1178150</v>
      </c>
      <c r="AL10" s="7">
        <v>1195940</v>
      </c>
      <c r="AM10" s="7">
        <v>1225260</v>
      </c>
      <c r="AN10" s="7">
        <v>1239730</v>
      </c>
      <c r="AO10" s="7">
        <v>1294420</v>
      </c>
      <c r="AP10" s="7">
        <v>1329270</v>
      </c>
      <c r="AQ10" s="7">
        <v>1370110</v>
      </c>
      <c r="AR10" s="7">
        <v>1379210</v>
      </c>
      <c r="AS10" s="7">
        <v>1363440</v>
      </c>
      <c r="AT10" s="7">
        <v>1392630</v>
      </c>
      <c r="AU10" s="7">
        <v>1371000</v>
      </c>
      <c r="AV10" s="7">
        <v>1362750</v>
      </c>
      <c r="AW10" s="7">
        <v>1334540</v>
      </c>
      <c r="AX10" s="7">
        <v>1307130</v>
      </c>
      <c r="AY10" s="7">
        <v>1303240</v>
      </c>
      <c r="AZ10" s="7">
        <v>1262790</v>
      </c>
      <c r="BA10" s="7">
        <v>1244360</v>
      </c>
      <c r="BB10" s="7">
        <v>1247430</v>
      </c>
      <c r="BC10" s="7">
        <v>1320930</v>
      </c>
      <c r="BD10" s="7">
        <v>1346090</v>
      </c>
      <c r="BE10" s="7">
        <v>1369600</v>
      </c>
      <c r="BF10" s="7">
        <v>1445470</v>
      </c>
      <c r="BG10" s="7">
        <v>1523510</v>
      </c>
      <c r="BH10" s="7">
        <v>1639490</v>
      </c>
      <c r="BI10" s="7">
        <v>1644160</v>
      </c>
      <c r="BJ10" s="7">
        <v>1656240</v>
      </c>
    </row>
    <row r="11" spans="1:64" x14ac:dyDescent="0.2">
      <c r="A11" t="s">
        <v>205</v>
      </c>
      <c r="B11" t="s">
        <v>205</v>
      </c>
      <c r="D11" s="7">
        <v>81550</v>
      </c>
      <c r="E11" s="7">
        <v>89140</v>
      </c>
      <c r="F11" s="7">
        <v>98070</v>
      </c>
      <c r="G11" s="7">
        <v>98070</v>
      </c>
      <c r="H11" s="7">
        <v>101610</v>
      </c>
      <c r="I11" s="7">
        <v>106020</v>
      </c>
      <c r="J11" s="7">
        <v>112430</v>
      </c>
      <c r="K11" s="7">
        <v>115140</v>
      </c>
      <c r="L11" s="7">
        <v>118170</v>
      </c>
      <c r="M11" s="7">
        <v>125770</v>
      </c>
      <c r="N11" s="7">
        <v>129150</v>
      </c>
      <c r="O11" s="7">
        <v>132850</v>
      </c>
      <c r="P11" s="7">
        <v>143000</v>
      </c>
      <c r="Q11" s="7">
        <v>151770</v>
      </c>
      <c r="R11" s="7">
        <v>146690</v>
      </c>
      <c r="S11" s="7">
        <v>146690</v>
      </c>
      <c r="T11" s="7">
        <v>153770</v>
      </c>
      <c r="U11" s="7">
        <v>152750</v>
      </c>
      <c r="V11" s="7">
        <v>155470</v>
      </c>
      <c r="W11" s="7">
        <v>156800</v>
      </c>
      <c r="X11" s="7">
        <v>155070</v>
      </c>
      <c r="Y11" s="7">
        <v>185500</v>
      </c>
      <c r="Z11" s="7">
        <v>198190</v>
      </c>
      <c r="AA11" s="7">
        <v>204730</v>
      </c>
      <c r="AB11" s="7">
        <v>205710</v>
      </c>
      <c r="AC11" s="7">
        <v>211290</v>
      </c>
      <c r="AD11" s="7">
        <v>230420</v>
      </c>
      <c r="AE11" s="7">
        <v>256580</v>
      </c>
      <c r="AF11" s="7">
        <v>268990</v>
      </c>
      <c r="AG11" s="7">
        <v>278670</v>
      </c>
      <c r="AH11" s="7">
        <v>302490</v>
      </c>
      <c r="AI11" s="7">
        <v>336410</v>
      </c>
      <c r="AJ11" s="7">
        <v>357770</v>
      </c>
      <c r="AK11" s="7">
        <v>376250</v>
      </c>
      <c r="AL11" s="7">
        <v>406810</v>
      </c>
      <c r="AM11" s="7">
        <v>413810</v>
      </c>
      <c r="AN11" s="7">
        <v>393140</v>
      </c>
      <c r="AO11" s="7">
        <v>420580</v>
      </c>
      <c r="AP11" s="7">
        <v>440320</v>
      </c>
      <c r="AQ11" s="7">
        <v>462130</v>
      </c>
      <c r="AR11" s="7">
        <v>481230</v>
      </c>
      <c r="AS11" s="7">
        <v>498440</v>
      </c>
      <c r="AT11" s="7">
        <v>488270</v>
      </c>
      <c r="AU11" s="7">
        <v>504670</v>
      </c>
      <c r="AV11" s="7">
        <v>545260</v>
      </c>
      <c r="AW11" s="7">
        <v>571050</v>
      </c>
      <c r="AX11" s="7">
        <v>591820</v>
      </c>
      <c r="AY11" s="7">
        <v>612690</v>
      </c>
      <c r="AZ11" s="7">
        <v>646630</v>
      </c>
      <c r="BA11" s="7">
        <v>680270</v>
      </c>
      <c r="BB11" s="7">
        <v>713620</v>
      </c>
      <c r="BC11" s="7">
        <v>764870</v>
      </c>
      <c r="BD11" s="7">
        <v>822320</v>
      </c>
      <c r="BE11" s="7">
        <v>902050</v>
      </c>
      <c r="BF11" s="7">
        <v>996270</v>
      </c>
      <c r="BG11" s="7">
        <v>1147300</v>
      </c>
      <c r="BH11" s="7">
        <v>1244680</v>
      </c>
      <c r="BI11" s="7">
        <v>1298930</v>
      </c>
      <c r="BJ11" s="7">
        <v>1377160</v>
      </c>
    </row>
    <row r="12" spans="1:64" x14ac:dyDescent="0.2">
      <c r="A12" t="s">
        <v>206</v>
      </c>
      <c r="D12" s="7">
        <v>1764430</v>
      </c>
      <c r="E12" s="7">
        <v>1931130</v>
      </c>
      <c r="F12" s="7">
        <v>2056250</v>
      </c>
      <c r="G12" s="7">
        <v>2149300</v>
      </c>
      <c r="H12" s="7">
        <v>2225990</v>
      </c>
      <c r="I12" s="7">
        <v>2300370</v>
      </c>
      <c r="J12" s="7">
        <v>2409090</v>
      </c>
      <c r="K12" s="7">
        <v>2584810</v>
      </c>
      <c r="L12" s="7">
        <v>2593800</v>
      </c>
      <c r="M12" s="7">
        <v>2658900</v>
      </c>
      <c r="N12" s="7">
        <v>2758410</v>
      </c>
      <c r="O12" s="7">
        <v>2774760</v>
      </c>
      <c r="P12" s="7">
        <v>2818180</v>
      </c>
      <c r="Q12" s="7">
        <v>3027260</v>
      </c>
      <c r="R12" s="7">
        <v>3281790</v>
      </c>
      <c r="S12" s="7">
        <v>3505700</v>
      </c>
      <c r="T12" s="7">
        <v>3737740</v>
      </c>
      <c r="U12" s="7">
        <v>3627130</v>
      </c>
      <c r="V12" s="7">
        <v>3832080</v>
      </c>
      <c r="W12" s="7">
        <v>4149940</v>
      </c>
      <c r="X12" s="7">
        <v>4231240</v>
      </c>
      <c r="Y12" s="7">
        <v>4550650</v>
      </c>
      <c r="Z12" s="7">
        <v>4729200</v>
      </c>
      <c r="AA12" s="7">
        <v>4940370</v>
      </c>
      <c r="AB12" s="7">
        <v>5243050</v>
      </c>
      <c r="AC12" s="7">
        <v>5529790</v>
      </c>
      <c r="AD12" s="7">
        <v>6055910</v>
      </c>
      <c r="AE12" s="7">
        <v>6555800</v>
      </c>
      <c r="AF12" s="7">
        <v>7051130</v>
      </c>
      <c r="AG12" s="7">
        <v>7092500</v>
      </c>
      <c r="AH12" s="7">
        <v>7310870</v>
      </c>
      <c r="AI12" s="7">
        <v>7691330</v>
      </c>
      <c r="AJ12" s="7">
        <v>8394840</v>
      </c>
      <c r="AK12" s="7">
        <v>9309320</v>
      </c>
      <c r="AL12" s="7">
        <v>9868820</v>
      </c>
      <c r="AM12" s="7">
        <v>10302820</v>
      </c>
      <c r="AN12" s="7">
        <v>10724620</v>
      </c>
      <c r="AO12" s="7">
        <v>11354210</v>
      </c>
      <c r="AP12" s="7">
        <v>12012450</v>
      </c>
      <c r="AQ12" s="7">
        <v>12321300</v>
      </c>
      <c r="AR12" s="7">
        <v>13217680</v>
      </c>
      <c r="AS12" s="7">
        <v>14153060</v>
      </c>
      <c r="AT12" s="7">
        <v>15532460</v>
      </c>
      <c r="AU12" s="7">
        <v>17019430</v>
      </c>
      <c r="AV12" s="7">
        <v>19272940</v>
      </c>
      <c r="AW12" s="7">
        <v>20819370</v>
      </c>
      <c r="AX12" s="7">
        <v>21651990</v>
      </c>
      <c r="AY12" s="7">
        <v>23567020</v>
      </c>
      <c r="AZ12" s="7">
        <v>25428100</v>
      </c>
      <c r="BA12" s="7">
        <v>26350240</v>
      </c>
      <c r="BB12" s="7">
        <v>27211670</v>
      </c>
      <c r="BC12" s="7">
        <v>28241880</v>
      </c>
      <c r="BD12" s="7">
        <v>30218990</v>
      </c>
      <c r="BE12" s="7">
        <v>33113170</v>
      </c>
      <c r="BF12" s="7">
        <v>35669530</v>
      </c>
      <c r="BG12" s="7">
        <v>37759960.200000003</v>
      </c>
      <c r="BH12" s="7">
        <v>39767430</v>
      </c>
      <c r="BI12" s="7">
        <v>39224149.200000003</v>
      </c>
      <c r="BJ12" s="7">
        <v>37943700</v>
      </c>
      <c r="BK12" s="7">
        <v>41839990</v>
      </c>
    </row>
    <row r="13" spans="1:64" x14ac:dyDescent="0.2">
      <c r="A13" t="s">
        <v>207</v>
      </c>
      <c r="D13" s="7">
        <v>286170</v>
      </c>
      <c r="E13" s="7">
        <v>294650</v>
      </c>
      <c r="F13" s="7">
        <v>298890</v>
      </c>
      <c r="G13" s="7">
        <v>334030</v>
      </c>
      <c r="H13" s="7">
        <v>341900</v>
      </c>
      <c r="I13" s="7">
        <v>352270</v>
      </c>
      <c r="J13" s="7">
        <v>362230</v>
      </c>
      <c r="K13" s="7">
        <v>380130</v>
      </c>
      <c r="L13" s="7">
        <v>354080</v>
      </c>
      <c r="M13" s="7">
        <v>363440</v>
      </c>
      <c r="N13" s="7">
        <v>384910</v>
      </c>
      <c r="O13" s="7">
        <v>389750</v>
      </c>
      <c r="P13" s="7">
        <v>409070</v>
      </c>
      <c r="Q13" s="7">
        <v>458670</v>
      </c>
      <c r="R13" s="7">
        <v>474960</v>
      </c>
      <c r="S13" s="7">
        <v>489830</v>
      </c>
      <c r="T13" s="7">
        <v>503120</v>
      </c>
      <c r="U13" s="7">
        <v>508540</v>
      </c>
      <c r="V13" s="7">
        <v>570530</v>
      </c>
      <c r="W13" s="7">
        <v>648490</v>
      </c>
      <c r="X13" s="7">
        <v>725590</v>
      </c>
      <c r="Y13" s="7">
        <v>746590</v>
      </c>
      <c r="Z13" s="7">
        <v>755340</v>
      </c>
      <c r="AA13" s="7">
        <v>796550</v>
      </c>
      <c r="AB13" s="7">
        <v>894100</v>
      </c>
      <c r="AC13" s="7">
        <v>927830</v>
      </c>
      <c r="AD13" s="7">
        <v>1077870</v>
      </c>
      <c r="AE13" s="7">
        <v>1159730</v>
      </c>
      <c r="AF13" s="7">
        <v>1281090</v>
      </c>
      <c r="AG13" s="7">
        <v>1324100</v>
      </c>
      <c r="AH13" s="7">
        <v>1336290</v>
      </c>
      <c r="AI13" s="7">
        <v>1354870</v>
      </c>
      <c r="AJ13" s="7">
        <v>1480720</v>
      </c>
      <c r="AK13" s="7">
        <v>1567580</v>
      </c>
      <c r="AL13" s="7">
        <v>1576280</v>
      </c>
      <c r="AM13" s="7">
        <v>1730910</v>
      </c>
      <c r="AN13" s="7">
        <v>1779810</v>
      </c>
      <c r="AO13" s="7">
        <v>1854390</v>
      </c>
      <c r="AP13" s="7">
        <v>1897270</v>
      </c>
      <c r="AQ13" s="7">
        <v>1932600</v>
      </c>
      <c r="AR13" s="7">
        <v>2095250</v>
      </c>
      <c r="AS13" s="7">
        <v>2151810</v>
      </c>
      <c r="AT13" s="7">
        <v>2322120</v>
      </c>
      <c r="AU13" s="7">
        <v>2464220</v>
      </c>
      <c r="AV13" s="7">
        <v>2579820</v>
      </c>
      <c r="AW13" s="7">
        <v>2698720</v>
      </c>
      <c r="AX13" s="7">
        <v>2631370</v>
      </c>
      <c r="AY13" s="7">
        <v>2789700</v>
      </c>
      <c r="AZ13" s="7">
        <v>3165330</v>
      </c>
      <c r="BA13" s="7">
        <v>2610350</v>
      </c>
      <c r="BB13" s="7">
        <v>2626090</v>
      </c>
      <c r="BC13" s="7">
        <v>2631070</v>
      </c>
      <c r="BD13" s="7">
        <v>2886850</v>
      </c>
      <c r="BE13" s="7">
        <v>3179740</v>
      </c>
      <c r="BF13" s="7">
        <v>3492480</v>
      </c>
      <c r="BG13" s="7">
        <v>3296120</v>
      </c>
      <c r="BH13" s="7">
        <v>3268150</v>
      </c>
      <c r="BI13" s="7">
        <v>3217660</v>
      </c>
      <c r="BJ13" s="7">
        <v>2940240</v>
      </c>
      <c r="BK13" s="7">
        <v>3279840</v>
      </c>
    </row>
    <row r="14" spans="1:64" x14ac:dyDescent="0.2">
      <c r="A14" t="s">
        <v>208</v>
      </c>
      <c r="D14" s="7">
        <v>919890</v>
      </c>
      <c r="E14" s="7">
        <v>1006900</v>
      </c>
      <c r="F14" s="7">
        <v>1076520</v>
      </c>
      <c r="G14" s="7">
        <v>1086520</v>
      </c>
      <c r="H14" s="7">
        <v>1095070</v>
      </c>
      <c r="I14" s="7">
        <v>1099310</v>
      </c>
      <c r="J14" s="7">
        <v>1160200</v>
      </c>
      <c r="K14" s="7">
        <v>1284670</v>
      </c>
      <c r="L14" s="7">
        <v>1314850</v>
      </c>
      <c r="M14" s="7">
        <v>1357810</v>
      </c>
      <c r="N14" s="7">
        <v>1411040</v>
      </c>
      <c r="O14" s="7">
        <v>1473820</v>
      </c>
      <c r="P14" s="7">
        <v>1516780</v>
      </c>
      <c r="Q14" s="7">
        <v>1548760</v>
      </c>
      <c r="R14" s="7">
        <v>1684580</v>
      </c>
      <c r="S14" s="7">
        <v>1789430</v>
      </c>
      <c r="T14" s="7">
        <v>2010460</v>
      </c>
      <c r="U14" s="7">
        <v>1945700</v>
      </c>
      <c r="V14" s="7">
        <v>1949480</v>
      </c>
      <c r="W14" s="7">
        <v>2108750</v>
      </c>
      <c r="X14" s="7">
        <v>2178090</v>
      </c>
      <c r="Y14" s="7">
        <v>2400950</v>
      </c>
      <c r="Z14" s="7">
        <v>2501980</v>
      </c>
      <c r="AA14" s="7">
        <v>2581730</v>
      </c>
      <c r="AB14" s="7">
        <v>2723570</v>
      </c>
      <c r="AC14" s="7">
        <v>2876100</v>
      </c>
      <c r="AD14" s="7">
        <v>3120460</v>
      </c>
      <c r="AE14" s="7">
        <v>3396290</v>
      </c>
      <c r="AF14" s="7">
        <v>3558410</v>
      </c>
      <c r="AG14" s="7">
        <v>3473060</v>
      </c>
      <c r="AH14" s="7">
        <v>3580390</v>
      </c>
      <c r="AI14" s="7">
        <v>3887990</v>
      </c>
      <c r="AJ14" s="7">
        <v>4308720</v>
      </c>
      <c r="AK14" s="7">
        <v>4974910</v>
      </c>
      <c r="AL14" s="7">
        <v>5447590</v>
      </c>
      <c r="AM14" s="7">
        <v>5450380</v>
      </c>
      <c r="AN14" s="7">
        <v>5621070</v>
      </c>
      <c r="AO14" s="7">
        <v>5924260</v>
      </c>
      <c r="AP14" s="7">
        <v>6356680</v>
      </c>
      <c r="AQ14" s="7">
        <v>6501000</v>
      </c>
      <c r="AR14" s="7">
        <v>6947410</v>
      </c>
      <c r="AS14" s="7">
        <v>7387640</v>
      </c>
      <c r="AT14" s="7">
        <v>7933080</v>
      </c>
      <c r="AU14" s="7">
        <v>8674750</v>
      </c>
      <c r="AV14" s="7">
        <v>10217800</v>
      </c>
      <c r="AW14" s="7">
        <v>10931060</v>
      </c>
      <c r="AX14" s="7">
        <v>11440850</v>
      </c>
      <c r="AY14" s="7">
        <v>12695640</v>
      </c>
      <c r="AZ14" s="7">
        <v>13672580</v>
      </c>
      <c r="BA14" s="7">
        <v>14099860</v>
      </c>
      <c r="BB14" s="7">
        <v>14868730</v>
      </c>
      <c r="BC14" s="7">
        <v>15607090</v>
      </c>
      <c r="BD14" s="7">
        <v>16839380</v>
      </c>
      <c r="BE14" s="7">
        <v>19038500</v>
      </c>
      <c r="BF14" s="7">
        <v>20547640</v>
      </c>
      <c r="BG14" s="7">
        <v>22094280</v>
      </c>
      <c r="BH14" s="7">
        <v>23289920</v>
      </c>
      <c r="BI14" s="7">
        <v>22612940</v>
      </c>
      <c r="BJ14" s="7">
        <v>22477400</v>
      </c>
      <c r="BK14" s="7">
        <v>24708220</v>
      </c>
    </row>
    <row r="15" spans="1:64" x14ac:dyDescent="0.2">
      <c r="A15" t="s">
        <v>209</v>
      </c>
      <c r="D15" s="7">
        <v>124110</v>
      </c>
      <c r="E15" s="7">
        <v>118610</v>
      </c>
      <c r="F15" s="7">
        <v>126240</v>
      </c>
      <c r="G15" s="7">
        <v>133470</v>
      </c>
      <c r="H15" s="7">
        <v>131150</v>
      </c>
      <c r="I15" s="7">
        <v>117370</v>
      </c>
      <c r="J15" s="7">
        <v>123730</v>
      </c>
      <c r="K15" s="7">
        <v>165830</v>
      </c>
      <c r="L15" s="7">
        <v>135400</v>
      </c>
      <c r="M15" s="7">
        <v>124000</v>
      </c>
      <c r="N15" s="7">
        <v>128190</v>
      </c>
      <c r="O15" s="7">
        <v>113110</v>
      </c>
      <c r="P15" s="7">
        <v>121980</v>
      </c>
      <c r="Q15" s="7">
        <v>139210</v>
      </c>
      <c r="R15" s="7">
        <v>154190</v>
      </c>
      <c r="S15" s="7">
        <v>166920</v>
      </c>
      <c r="T15" s="7">
        <v>189330</v>
      </c>
      <c r="U15" s="7">
        <v>166250</v>
      </c>
      <c r="V15" s="7">
        <v>146930</v>
      </c>
      <c r="W15" s="7">
        <v>174830</v>
      </c>
      <c r="X15" s="7">
        <v>205440</v>
      </c>
      <c r="Y15" s="7">
        <v>250100</v>
      </c>
      <c r="Z15" s="7">
        <v>242640</v>
      </c>
      <c r="AA15" s="7">
        <v>244130</v>
      </c>
      <c r="AB15" s="7">
        <v>252670</v>
      </c>
      <c r="AC15" s="7">
        <v>265860</v>
      </c>
      <c r="AD15" s="7">
        <v>342420</v>
      </c>
      <c r="AE15" s="7">
        <v>371200</v>
      </c>
      <c r="AF15" s="7">
        <v>339390</v>
      </c>
      <c r="AG15" s="7">
        <v>337830</v>
      </c>
      <c r="AH15" s="7">
        <v>343190</v>
      </c>
      <c r="AI15" s="7">
        <v>401660</v>
      </c>
      <c r="AJ15" s="7">
        <v>464930</v>
      </c>
      <c r="AK15" s="7">
        <v>469630</v>
      </c>
      <c r="AL15" s="7">
        <v>481390</v>
      </c>
      <c r="AM15" s="7">
        <v>546850</v>
      </c>
      <c r="AN15" s="7">
        <v>551070</v>
      </c>
      <c r="AO15" s="7">
        <v>564070</v>
      </c>
      <c r="AP15" s="7">
        <v>618800</v>
      </c>
      <c r="AQ15" s="7">
        <v>623230</v>
      </c>
      <c r="AR15" s="7">
        <v>710090</v>
      </c>
      <c r="AS15" s="7">
        <v>733760</v>
      </c>
      <c r="AT15" s="7">
        <v>972950</v>
      </c>
      <c r="AU15" s="7">
        <v>1088470</v>
      </c>
      <c r="AV15" s="7">
        <v>1434570</v>
      </c>
      <c r="AW15" s="7">
        <v>1480890</v>
      </c>
      <c r="AX15" s="7">
        <v>1536240</v>
      </c>
      <c r="AY15" s="7">
        <v>1605390</v>
      </c>
      <c r="AZ15" s="7">
        <v>1431780</v>
      </c>
      <c r="BA15" s="7">
        <v>1675240</v>
      </c>
      <c r="BB15" s="7">
        <v>1545400</v>
      </c>
      <c r="BC15" s="7">
        <v>1535600</v>
      </c>
      <c r="BD15" s="7">
        <v>1576370</v>
      </c>
      <c r="BE15" s="7">
        <v>1831500</v>
      </c>
      <c r="BF15" s="7">
        <v>2029640</v>
      </c>
      <c r="BG15" s="7">
        <v>2143660</v>
      </c>
      <c r="BH15" s="7">
        <v>2586830</v>
      </c>
      <c r="BI15" s="7">
        <v>2481400</v>
      </c>
      <c r="BJ15" s="7">
        <v>2573630</v>
      </c>
    </row>
    <row r="16" spans="1:64" x14ac:dyDescent="0.2">
      <c r="A16" t="s">
        <v>210</v>
      </c>
      <c r="D16" s="7">
        <v>145370</v>
      </c>
      <c r="E16" s="7">
        <v>153470</v>
      </c>
      <c r="F16" s="7">
        <v>162910</v>
      </c>
      <c r="G16" s="7">
        <v>160060</v>
      </c>
      <c r="H16" s="7">
        <v>161400</v>
      </c>
      <c r="I16" s="7">
        <v>164170</v>
      </c>
      <c r="J16" s="7">
        <v>169070</v>
      </c>
      <c r="K16" s="7">
        <v>182210</v>
      </c>
      <c r="L16" s="7">
        <v>164650</v>
      </c>
      <c r="M16" s="7">
        <v>165130</v>
      </c>
      <c r="N16" s="7">
        <v>177960</v>
      </c>
      <c r="O16" s="7">
        <v>200190</v>
      </c>
      <c r="P16" s="7">
        <v>208380</v>
      </c>
      <c r="Q16" s="7">
        <v>205890</v>
      </c>
      <c r="R16" s="7">
        <v>208070</v>
      </c>
      <c r="S16" s="7">
        <v>226600</v>
      </c>
      <c r="T16" s="7">
        <v>269570</v>
      </c>
      <c r="U16" s="7">
        <v>272840</v>
      </c>
      <c r="V16" s="7">
        <v>283050</v>
      </c>
      <c r="W16" s="7">
        <v>276550</v>
      </c>
      <c r="X16" s="7">
        <v>275900</v>
      </c>
      <c r="Y16" s="7">
        <v>303700</v>
      </c>
      <c r="Z16" s="7">
        <v>311690</v>
      </c>
      <c r="AA16" s="7">
        <v>333740</v>
      </c>
      <c r="AB16" s="7">
        <v>356660</v>
      </c>
      <c r="AC16" s="7">
        <v>344000</v>
      </c>
      <c r="AD16" s="7">
        <v>348700</v>
      </c>
      <c r="AE16" s="7">
        <v>408690</v>
      </c>
      <c r="AF16" s="7">
        <v>440280</v>
      </c>
      <c r="AG16" s="7">
        <v>425080</v>
      </c>
      <c r="AH16" s="7">
        <v>434810</v>
      </c>
      <c r="AI16" s="7">
        <v>545300</v>
      </c>
      <c r="AJ16" s="7">
        <v>574460</v>
      </c>
      <c r="AK16" s="7">
        <v>539540</v>
      </c>
      <c r="AL16" s="7">
        <v>652760</v>
      </c>
      <c r="AM16" s="7">
        <v>685950</v>
      </c>
      <c r="AN16" s="7">
        <v>640440</v>
      </c>
      <c r="AO16" s="7">
        <v>674590</v>
      </c>
      <c r="AP16" s="7">
        <v>743240</v>
      </c>
      <c r="AQ16" s="7">
        <v>731280</v>
      </c>
      <c r="AR16" s="7">
        <v>783060</v>
      </c>
      <c r="AS16" s="7">
        <v>769190</v>
      </c>
      <c r="AT16" s="7">
        <v>816120</v>
      </c>
      <c r="AU16" s="7">
        <v>950170</v>
      </c>
      <c r="AV16" s="7">
        <v>1134750</v>
      </c>
      <c r="AW16" s="7">
        <v>1101470</v>
      </c>
      <c r="AX16" s="7">
        <v>1246030</v>
      </c>
      <c r="AY16" s="7">
        <v>1418760</v>
      </c>
      <c r="AZ16" s="7">
        <v>1513210</v>
      </c>
      <c r="BA16" s="7">
        <v>1532380</v>
      </c>
      <c r="BB16" s="7">
        <v>1773980</v>
      </c>
      <c r="BC16" s="7">
        <v>2164110</v>
      </c>
      <c r="BD16" s="7">
        <v>2164290</v>
      </c>
      <c r="BE16" s="7">
        <v>2589360</v>
      </c>
      <c r="BF16" s="7">
        <v>2610790</v>
      </c>
      <c r="BG16" s="7">
        <v>2808730</v>
      </c>
      <c r="BH16" s="7">
        <v>3000130</v>
      </c>
      <c r="BI16" s="7">
        <v>2937710</v>
      </c>
      <c r="BJ16" s="7">
        <v>2395740</v>
      </c>
      <c r="BL16">
        <f>BJ16/BJ4</f>
        <v>1.9036360631158548E-2</v>
      </c>
    </row>
    <row r="17" spans="1:63" x14ac:dyDescent="0.2">
      <c r="A17" t="s">
        <v>211</v>
      </c>
      <c r="D17" s="7">
        <v>215470</v>
      </c>
      <c r="E17" s="7">
        <v>271350</v>
      </c>
      <c r="F17" s="7">
        <v>320560</v>
      </c>
      <c r="G17" s="7">
        <v>309840</v>
      </c>
      <c r="H17" s="7">
        <v>297660</v>
      </c>
      <c r="I17" s="7">
        <v>268560</v>
      </c>
      <c r="J17" s="7">
        <v>279390</v>
      </c>
      <c r="K17" s="7">
        <v>306640</v>
      </c>
      <c r="L17" s="7">
        <v>354410</v>
      </c>
      <c r="M17" s="7">
        <v>363080</v>
      </c>
      <c r="N17" s="7">
        <v>340980</v>
      </c>
      <c r="O17" s="7">
        <v>377020</v>
      </c>
      <c r="P17" s="7">
        <v>415300</v>
      </c>
      <c r="Q17" s="7">
        <v>419020</v>
      </c>
      <c r="R17" s="7">
        <v>471280</v>
      </c>
      <c r="S17" s="7">
        <v>478470</v>
      </c>
      <c r="T17" s="7">
        <v>511100</v>
      </c>
      <c r="U17" s="7">
        <v>485300</v>
      </c>
      <c r="V17" s="7">
        <v>519880</v>
      </c>
      <c r="W17" s="7">
        <v>564610</v>
      </c>
      <c r="X17" s="7">
        <v>550520</v>
      </c>
      <c r="Y17" s="7">
        <v>603820</v>
      </c>
      <c r="Z17" s="7">
        <v>642430</v>
      </c>
      <c r="AA17" s="7">
        <v>681140</v>
      </c>
      <c r="AB17" s="7">
        <v>634530</v>
      </c>
      <c r="AC17" s="7">
        <v>689740</v>
      </c>
      <c r="AD17" s="7">
        <v>823270</v>
      </c>
      <c r="AE17" s="7">
        <v>815100</v>
      </c>
      <c r="AF17" s="7">
        <v>905250</v>
      </c>
      <c r="AG17" s="7">
        <v>914920</v>
      </c>
      <c r="AH17" s="7">
        <v>907880</v>
      </c>
      <c r="AI17" s="7">
        <v>917790</v>
      </c>
      <c r="AJ17" s="7">
        <v>1092280</v>
      </c>
      <c r="AK17" s="7">
        <v>1361470</v>
      </c>
      <c r="AL17" s="7">
        <v>1466070</v>
      </c>
      <c r="AM17" s="7">
        <v>1375130</v>
      </c>
      <c r="AN17" s="7">
        <v>1453040</v>
      </c>
      <c r="AO17" s="7">
        <v>1500910</v>
      </c>
      <c r="AP17" s="7">
        <v>1571280</v>
      </c>
      <c r="AQ17" s="7">
        <v>1582480</v>
      </c>
      <c r="AR17" s="7">
        <v>1756780</v>
      </c>
      <c r="AS17" s="7">
        <v>1902430</v>
      </c>
      <c r="AT17" s="7">
        <v>1323480</v>
      </c>
      <c r="AU17" s="7">
        <v>1515190</v>
      </c>
      <c r="AV17" s="7">
        <v>1756760</v>
      </c>
      <c r="AW17" s="7">
        <v>1835190</v>
      </c>
      <c r="AX17" s="7">
        <v>1896410</v>
      </c>
      <c r="AY17" s="7">
        <v>2086090</v>
      </c>
      <c r="AZ17" s="7">
        <v>2325100</v>
      </c>
      <c r="BA17" s="7">
        <v>2296270</v>
      </c>
      <c r="BB17" s="7">
        <v>2385200</v>
      </c>
      <c r="BC17" s="7">
        <v>2773220</v>
      </c>
      <c r="BD17" s="7">
        <v>2612060</v>
      </c>
      <c r="BE17" s="7">
        <v>2253060</v>
      </c>
      <c r="BF17" s="7">
        <v>2852060</v>
      </c>
      <c r="BG17" s="7">
        <v>3195550</v>
      </c>
      <c r="BH17" s="7">
        <v>3262980</v>
      </c>
      <c r="BI17" s="7">
        <v>3234050</v>
      </c>
      <c r="BJ17" s="7">
        <v>3291380</v>
      </c>
    </row>
    <row r="18" spans="1:63" x14ac:dyDescent="0.2">
      <c r="A18" t="s">
        <v>212</v>
      </c>
      <c r="D18" s="7">
        <v>67040</v>
      </c>
      <c r="E18" s="7">
        <v>85260</v>
      </c>
      <c r="F18" s="7">
        <v>91030</v>
      </c>
      <c r="G18" s="7">
        <v>92870</v>
      </c>
      <c r="H18" s="7">
        <v>95120</v>
      </c>
      <c r="I18" s="7">
        <v>96480</v>
      </c>
      <c r="J18" s="7">
        <v>97300</v>
      </c>
      <c r="K18" s="7">
        <v>110350</v>
      </c>
      <c r="L18" s="7">
        <v>110150</v>
      </c>
      <c r="M18" s="7">
        <v>123050</v>
      </c>
      <c r="N18" s="7">
        <v>131250</v>
      </c>
      <c r="O18" s="7">
        <v>123170</v>
      </c>
      <c r="P18" s="7">
        <v>121960</v>
      </c>
      <c r="Q18" s="7">
        <v>114880</v>
      </c>
      <c r="R18" s="7">
        <v>133410</v>
      </c>
      <c r="S18" s="7">
        <v>138580</v>
      </c>
      <c r="T18" s="7">
        <v>163210</v>
      </c>
      <c r="U18" s="7">
        <v>160670</v>
      </c>
      <c r="V18" s="7">
        <v>165590</v>
      </c>
      <c r="W18" s="7">
        <v>182510</v>
      </c>
      <c r="X18" s="7">
        <v>210140</v>
      </c>
      <c r="Y18" s="7">
        <v>228480</v>
      </c>
      <c r="Z18" s="7">
        <v>259630</v>
      </c>
      <c r="AA18" s="7">
        <v>229890</v>
      </c>
      <c r="AB18" s="7">
        <v>266560</v>
      </c>
      <c r="AC18" s="7">
        <v>271500</v>
      </c>
      <c r="AD18" s="7">
        <v>292210</v>
      </c>
      <c r="AE18" s="7">
        <v>326470</v>
      </c>
      <c r="AF18" s="7">
        <v>353060</v>
      </c>
      <c r="AG18" s="7">
        <v>332830</v>
      </c>
      <c r="AH18" s="7">
        <v>327870</v>
      </c>
      <c r="AI18" s="7">
        <v>347390</v>
      </c>
      <c r="AJ18" s="7">
        <v>450530</v>
      </c>
      <c r="AK18" s="7">
        <v>615190</v>
      </c>
      <c r="AL18" s="7">
        <v>599520</v>
      </c>
      <c r="AM18" s="7">
        <v>606450</v>
      </c>
      <c r="AN18" s="7">
        <v>559310</v>
      </c>
      <c r="AO18" s="7">
        <v>634700</v>
      </c>
      <c r="AP18" s="7">
        <v>668480</v>
      </c>
      <c r="AQ18" s="7">
        <v>742900</v>
      </c>
      <c r="AR18" s="7">
        <v>795790</v>
      </c>
      <c r="AS18" s="7">
        <v>935660</v>
      </c>
      <c r="AT18" s="7">
        <v>1397880</v>
      </c>
      <c r="AU18" s="7">
        <v>1591140</v>
      </c>
      <c r="AV18" s="7">
        <v>1901040</v>
      </c>
      <c r="AW18" s="7">
        <v>2075500</v>
      </c>
      <c r="AX18" s="7">
        <v>2385160</v>
      </c>
      <c r="AY18" s="7">
        <v>2825410</v>
      </c>
      <c r="AZ18" s="7">
        <v>3076120</v>
      </c>
      <c r="BA18" s="7">
        <v>3346700</v>
      </c>
      <c r="BB18" s="7">
        <v>3457310</v>
      </c>
      <c r="BC18" s="7">
        <v>3249940</v>
      </c>
      <c r="BD18" s="7">
        <v>3570170</v>
      </c>
      <c r="BE18" s="7">
        <v>4295500</v>
      </c>
      <c r="BF18" s="7">
        <v>4744180</v>
      </c>
      <c r="BG18" s="7">
        <v>5333070</v>
      </c>
      <c r="BH18" s="7">
        <v>5808470</v>
      </c>
      <c r="BI18" s="7">
        <v>5545150</v>
      </c>
      <c r="BJ18" s="7">
        <v>5194530</v>
      </c>
    </row>
    <row r="19" spans="1:63" x14ac:dyDescent="0.2">
      <c r="A19" t="s">
        <v>213</v>
      </c>
      <c r="D19" s="7">
        <v>318610</v>
      </c>
      <c r="E19" s="7">
        <v>341640</v>
      </c>
      <c r="F19" s="7">
        <v>351780</v>
      </c>
      <c r="G19" s="7">
        <v>367010</v>
      </c>
      <c r="H19" s="7">
        <v>381650</v>
      </c>
      <c r="I19" s="7">
        <v>396540</v>
      </c>
      <c r="J19" s="7">
        <v>428110</v>
      </c>
      <c r="K19" s="7">
        <v>476550</v>
      </c>
      <c r="L19" s="7">
        <v>503840</v>
      </c>
      <c r="M19" s="7">
        <v>523600</v>
      </c>
      <c r="N19" s="7">
        <v>533450</v>
      </c>
      <c r="O19" s="7">
        <v>525040</v>
      </c>
      <c r="P19" s="7">
        <v>542480</v>
      </c>
      <c r="Q19" s="7">
        <v>554220</v>
      </c>
      <c r="R19" s="7">
        <v>625670</v>
      </c>
      <c r="S19" s="7">
        <v>629820</v>
      </c>
      <c r="T19" s="7">
        <v>652690</v>
      </c>
      <c r="U19" s="7">
        <v>640670</v>
      </c>
      <c r="V19" s="7">
        <v>598960</v>
      </c>
      <c r="W19" s="7">
        <v>644850</v>
      </c>
      <c r="X19" s="7">
        <v>708310</v>
      </c>
      <c r="Y19" s="7">
        <v>796010</v>
      </c>
      <c r="Z19" s="7">
        <v>858120</v>
      </c>
      <c r="AA19" s="7">
        <v>907150</v>
      </c>
      <c r="AB19" s="7">
        <v>1019240</v>
      </c>
      <c r="AC19" s="7">
        <v>1113110</v>
      </c>
      <c r="AD19" s="7">
        <v>1178470</v>
      </c>
      <c r="AE19" s="7">
        <v>1340370</v>
      </c>
      <c r="AF19" s="7">
        <v>1452780</v>
      </c>
      <c r="AG19" s="7">
        <v>1433690</v>
      </c>
      <c r="AH19" s="7">
        <v>1471000</v>
      </c>
      <c r="AI19" s="7">
        <v>1602510</v>
      </c>
      <c r="AJ19" s="7">
        <v>1694900</v>
      </c>
      <c r="AK19" s="7">
        <v>2028390</v>
      </c>
      <c r="AL19" s="7">
        <v>2398650</v>
      </c>
      <c r="AM19" s="7">
        <v>2188800</v>
      </c>
      <c r="AN19" s="7">
        <v>2300040</v>
      </c>
      <c r="AO19" s="7">
        <v>2360760</v>
      </c>
      <c r="AP19" s="7">
        <v>2556140</v>
      </c>
      <c r="AQ19" s="7">
        <v>2734070</v>
      </c>
      <c r="AR19" s="7">
        <v>2867910</v>
      </c>
      <c r="AS19" s="7">
        <v>3045390</v>
      </c>
      <c r="AT19" s="7">
        <v>3422650</v>
      </c>
      <c r="AU19" s="7">
        <v>3529780</v>
      </c>
      <c r="AV19" s="7">
        <v>3990670</v>
      </c>
      <c r="AW19" s="7">
        <v>4438020</v>
      </c>
      <c r="AX19" s="7">
        <v>4377020</v>
      </c>
      <c r="AY19" s="7">
        <v>4759990</v>
      </c>
      <c r="AZ19" s="7">
        <v>5326370</v>
      </c>
      <c r="BA19" s="7">
        <v>5249270</v>
      </c>
      <c r="BB19" s="7">
        <v>5706840</v>
      </c>
      <c r="BC19" s="7">
        <v>5884220</v>
      </c>
      <c r="BD19" s="7">
        <v>6916490</v>
      </c>
      <c r="BE19" s="7">
        <v>8069080</v>
      </c>
      <c r="BF19" s="7">
        <v>8310970</v>
      </c>
      <c r="BG19" s="7">
        <v>8613270</v>
      </c>
      <c r="BH19" s="7">
        <v>8631520</v>
      </c>
      <c r="BI19" s="7">
        <v>8414620</v>
      </c>
      <c r="BJ19" s="7">
        <v>9022120</v>
      </c>
    </row>
    <row r="20" spans="1:63" x14ac:dyDescent="0.2">
      <c r="A20" t="s">
        <v>214</v>
      </c>
      <c r="D20" s="7">
        <v>50580</v>
      </c>
      <c r="E20" s="7">
        <v>59780</v>
      </c>
      <c r="F20" s="7">
        <v>65260</v>
      </c>
      <c r="G20" s="7">
        <v>72110</v>
      </c>
      <c r="H20" s="7">
        <v>78390</v>
      </c>
      <c r="I20" s="7">
        <v>87060</v>
      </c>
      <c r="J20" s="7">
        <v>98280</v>
      </c>
      <c r="K20" s="7">
        <v>107110</v>
      </c>
      <c r="L20" s="7">
        <v>113770</v>
      </c>
      <c r="M20" s="7">
        <v>123010</v>
      </c>
      <c r="N20" s="7">
        <v>128690</v>
      </c>
      <c r="O20" s="7">
        <v>131570</v>
      </c>
      <c r="P20" s="7">
        <v>137530</v>
      </c>
      <c r="Q20" s="7">
        <v>157430</v>
      </c>
      <c r="R20" s="7">
        <v>175510</v>
      </c>
      <c r="S20" s="7">
        <v>183880</v>
      </c>
      <c r="T20" s="7">
        <v>204850</v>
      </c>
      <c r="U20" s="7">
        <v>207370</v>
      </c>
      <c r="V20" s="7">
        <v>219290</v>
      </c>
      <c r="W20" s="7">
        <v>240080</v>
      </c>
      <c r="X20" s="7">
        <v>255890</v>
      </c>
      <c r="Y20" s="7">
        <v>273560</v>
      </c>
      <c r="Z20" s="7">
        <v>303210</v>
      </c>
      <c r="AA20" s="7">
        <v>327280</v>
      </c>
      <c r="AB20" s="7">
        <v>361040</v>
      </c>
      <c r="AC20" s="7">
        <v>389050</v>
      </c>
      <c r="AD20" s="7">
        <v>426780</v>
      </c>
      <c r="AE20" s="7">
        <v>468330</v>
      </c>
      <c r="AF20" s="7">
        <v>499650</v>
      </c>
      <c r="AG20" s="7">
        <v>548100</v>
      </c>
      <c r="AH20" s="7">
        <v>586120</v>
      </c>
      <c r="AI20" s="7">
        <v>630100</v>
      </c>
      <c r="AJ20" s="7">
        <v>689180</v>
      </c>
      <c r="AK20" s="7">
        <v>736020</v>
      </c>
      <c r="AL20" s="7">
        <v>776070</v>
      </c>
      <c r="AM20" s="7">
        <v>835980</v>
      </c>
      <c r="AN20" s="7">
        <v>894760</v>
      </c>
      <c r="AO20" s="7">
        <v>942760</v>
      </c>
      <c r="AP20" s="7">
        <v>963860</v>
      </c>
      <c r="AQ20" s="7">
        <v>981630</v>
      </c>
      <c r="AR20" s="7">
        <v>1028200</v>
      </c>
      <c r="AS20" s="7">
        <v>1075600</v>
      </c>
      <c r="AT20" s="7">
        <v>1161050</v>
      </c>
      <c r="AU20" s="7">
        <v>1234400</v>
      </c>
      <c r="AV20" s="7">
        <v>1333510</v>
      </c>
      <c r="AW20" s="7">
        <v>1445080</v>
      </c>
      <c r="AX20" s="7">
        <v>1515390</v>
      </c>
      <c r="AY20" s="7">
        <v>1605290</v>
      </c>
      <c r="AZ20" s="7">
        <v>1719470</v>
      </c>
      <c r="BA20" s="7">
        <v>1866680</v>
      </c>
      <c r="BB20" s="7">
        <v>1916350</v>
      </c>
      <c r="BC20" s="7">
        <v>1996010</v>
      </c>
      <c r="BD20" s="7">
        <v>2140470</v>
      </c>
      <c r="BE20" s="7">
        <v>2241580</v>
      </c>
      <c r="BF20" s="7">
        <v>2464960</v>
      </c>
      <c r="BG20" s="7">
        <v>2726500.2</v>
      </c>
      <c r="BH20" s="7">
        <v>2941470</v>
      </c>
      <c r="BI20" s="7">
        <v>3006749.2</v>
      </c>
      <c r="BJ20" s="7">
        <v>2897710</v>
      </c>
      <c r="BK20" s="7">
        <v>3115980</v>
      </c>
    </row>
    <row r="21" spans="1:63" x14ac:dyDescent="0.2">
      <c r="A21" t="s">
        <v>215</v>
      </c>
      <c r="D21" s="7">
        <v>39210</v>
      </c>
      <c r="E21" s="7">
        <v>47290</v>
      </c>
      <c r="F21" s="7">
        <v>52190</v>
      </c>
      <c r="G21" s="7">
        <v>57380</v>
      </c>
      <c r="H21" s="7">
        <v>62760</v>
      </c>
      <c r="I21" s="7">
        <v>70350</v>
      </c>
      <c r="J21" s="7">
        <v>80450</v>
      </c>
      <c r="K21" s="7">
        <v>88230</v>
      </c>
      <c r="L21" s="7">
        <v>93900</v>
      </c>
      <c r="M21" s="7">
        <v>101110</v>
      </c>
      <c r="N21" s="7">
        <v>105340</v>
      </c>
      <c r="O21" s="7">
        <v>107650</v>
      </c>
      <c r="P21" s="7">
        <v>112930</v>
      </c>
      <c r="Q21" s="7">
        <v>129370</v>
      </c>
      <c r="R21" s="7">
        <v>143210</v>
      </c>
      <c r="S21" s="7">
        <v>148880</v>
      </c>
      <c r="T21" s="7">
        <v>166270</v>
      </c>
      <c r="U21" s="7">
        <v>167910</v>
      </c>
      <c r="V21" s="7">
        <v>177330</v>
      </c>
      <c r="W21" s="7">
        <v>194150</v>
      </c>
      <c r="X21" s="7">
        <v>205730</v>
      </c>
      <c r="Y21" s="7">
        <v>220290</v>
      </c>
      <c r="Z21" s="7">
        <v>243960</v>
      </c>
      <c r="AA21" s="7">
        <v>262620</v>
      </c>
      <c r="AB21" s="7">
        <v>290380</v>
      </c>
      <c r="AC21" s="7">
        <v>311090</v>
      </c>
      <c r="AD21" s="7">
        <v>339850</v>
      </c>
      <c r="AE21" s="7">
        <v>369410</v>
      </c>
      <c r="AF21" s="7">
        <v>396710</v>
      </c>
      <c r="AG21" s="7">
        <v>433360</v>
      </c>
      <c r="AH21" s="7">
        <v>461530</v>
      </c>
      <c r="AI21" s="7">
        <v>494780</v>
      </c>
      <c r="AJ21" s="7">
        <v>544250</v>
      </c>
      <c r="AK21" s="7">
        <v>579050</v>
      </c>
      <c r="AL21" s="7">
        <v>607070</v>
      </c>
      <c r="AM21" s="7">
        <v>647780</v>
      </c>
      <c r="AN21" s="7">
        <v>683760</v>
      </c>
      <c r="AO21" s="7">
        <v>730450</v>
      </c>
      <c r="AP21" s="7">
        <v>735810</v>
      </c>
      <c r="AQ21" s="7">
        <v>742020</v>
      </c>
      <c r="AR21" s="7">
        <v>768210</v>
      </c>
      <c r="AS21" s="7">
        <v>807550</v>
      </c>
      <c r="AT21" s="7">
        <v>872560</v>
      </c>
      <c r="AU21" s="7">
        <v>930610</v>
      </c>
      <c r="AV21" s="7">
        <v>1021800</v>
      </c>
      <c r="AW21" s="7">
        <v>1116600</v>
      </c>
      <c r="AX21" s="7">
        <v>1161180</v>
      </c>
      <c r="AY21" s="7">
        <v>1231190</v>
      </c>
      <c r="AZ21" s="7">
        <v>1326060</v>
      </c>
      <c r="BA21" s="7">
        <v>1451940</v>
      </c>
      <c r="BB21" s="7">
        <v>1485170</v>
      </c>
      <c r="BC21" s="7">
        <v>1528730</v>
      </c>
      <c r="BD21" s="7">
        <v>1637220</v>
      </c>
      <c r="BE21" s="7">
        <v>1701390</v>
      </c>
      <c r="BF21" s="7">
        <v>1852810</v>
      </c>
      <c r="BG21" s="7">
        <v>2078820</v>
      </c>
      <c r="BH21" s="7">
        <v>2214460</v>
      </c>
      <c r="BI21" s="7">
        <v>2246460</v>
      </c>
      <c r="BJ21" s="7">
        <v>2129590</v>
      </c>
    </row>
    <row r="22" spans="1:63" x14ac:dyDescent="0.2">
      <c r="A22" t="s">
        <v>216</v>
      </c>
      <c r="D22">
        <v>680</v>
      </c>
      <c r="E22">
        <v>740</v>
      </c>
      <c r="F22">
        <v>810</v>
      </c>
      <c r="G22">
        <v>810</v>
      </c>
      <c r="H22">
        <v>810</v>
      </c>
      <c r="I22">
        <v>740</v>
      </c>
      <c r="J22">
        <v>810</v>
      </c>
      <c r="K22">
        <v>810</v>
      </c>
      <c r="L22">
        <v>880</v>
      </c>
      <c r="M22">
        <v>950</v>
      </c>
      <c r="N22" s="7">
        <v>1080</v>
      </c>
      <c r="O22" s="7">
        <v>1080</v>
      </c>
      <c r="P22" s="7">
        <v>1220</v>
      </c>
      <c r="Q22" s="7">
        <v>1550</v>
      </c>
      <c r="R22" s="7">
        <v>1820</v>
      </c>
      <c r="S22" s="7">
        <v>1970</v>
      </c>
      <c r="T22" s="7">
        <v>2160</v>
      </c>
      <c r="U22" s="7">
        <v>2230</v>
      </c>
      <c r="V22" s="7">
        <v>2160</v>
      </c>
      <c r="W22" s="7">
        <v>2300</v>
      </c>
      <c r="X22" s="7">
        <v>2630</v>
      </c>
      <c r="Y22" s="7">
        <v>3440</v>
      </c>
      <c r="Z22" s="7">
        <v>4800</v>
      </c>
      <c r="AA22" s="7">
        <v>6150</v>
      </c>
      <c r="AB22" s="7">
        <v>7290</v>
      </c>
      <c r="AC22" s="7">
        <v>7900</v>
      </c>
      <c r="AD22" s="7">
        <v>11350</v>
      </c>
      <c r="AE22" s="7">
        <v>17970</v>
      </c>
      <c r="AF22" s="7">
        <v>18030</v>
      </c>
      <c r="AG22" s="7">
        <v>25330</v>
      </c>
      <c r="AH22" s="7">
        <v>28980</v>
      </c>
      <c r="AI22" s="7">
        <v>33770</v>
      </c>
      <c r="AJ22" s="7">
        <v>35590</v>
      </c>
      <c r="AK22" s="7">
        <v>41140</v>
      </c>
      <c r="AL22" s="7">
        <v>45540</v>
      </c>
      <c r="AM22" s="7">
        <v>56270</v>
      </c>
      <c r="AN22" s="7">
        <v>70670</v>
      </c>
      <c r="AO22" s="7">
        <v>63920</v>
      </c>
      <c r="AP22" s="7">
        <v>76640</v>
      </c>
      <c r="AQ22" s="7">
        <v>83290</v>
      </c>
      <c r="AR22" s="7">
        <v>106030</v>
      </c>
      <c r="AS22" s="7">
        <v>110960</v>
      </c>
      <c r="AT22" s="7">
        <v>118860</v>
      </c>
      <c r="AU22" s="7">
        <v>117870</v>
      </c>
      <c r="AV22" s="7">
        <v>118080</v>
      </c>
      <c r="AW22" s="7">
        <v>121570</v>
      </c>
      <c r="AX22" s="7">
        <v>138130</v>
      </c>
      <c r="AY22" s="7">
        <v>141210</v>
      </c>
      <c r="AZ22" s="7">
        <v>143620</v>
      </c>
      <c r="BA22" s="7">
        <v>146660</v>
      </c>
      <c r="BB22" s="7">
        <v>142690</v>
      </c>
      <c r="BC22" s="7">
        <v>141310</v>
      </c>
      <c r="BD22" s="7">
        <v>128320</v>
      </c>
      <c r="BE22" s="7">
        <v>132130</v>
      </c>
      <c r="BF22" s="7">
        <v>141440</v>
      </c>
      <c r="BG22" s="7">
        <v>150290</v>
      </c>
      <c r="BH22" s="7">
        <v>168630</v>
      </c>
      <c r="BI22" s="7">
        <v>164590</v>
      </c>
      <c r="BJ22" s="7">
        <v>154000</v>
      </c>
    </row>
    <row r="23" spans="1:63" x14ac:dyDescent="0.2">
      <c r="A23" t="s">
        <v>217</v>
      </c>
      <c r="BA23" s="7">
        <v>147100</v>
      </c>
      <c r="BB23" s="7">
        <v>159340</v>
      </c>
      <c r="BC23" s="7">
        <v>183430</v>
      </c>
      <c r="BD23" s="7">
        <v>221590</v>
      </c>
      <c r="BE23" s="7">
        <v>240300</v>
      </c>
      <c r="BF23" s="7">
        <v>288110</v>
      </c>
      <c r="BG23" s="7">
        <v>289730</v>
      </c>
      <c r="BH23" s="7">
        <v>331840</v>
      </c>
      <c r="BI23" s="7">
        <v>353120</v>
      </c>
      <c r="BJ23" s="7">
        <v>371810</v>
      </c>
    </row>
    <row r="24" spans="1:63" x14ac:dyDescent="0.2">
      <c r="A24" t="s">
        <v>218</v>
      </c>
      <c r="BA24" s="7">
        <v>120980</v>
      </c>
      <c r="BB24" s="7">
        <v>129150</v>
      </c>
      <c r="BC24" s="7">
        <v>142530</v>
      </c>
      <c r="BD24" s="7">
        <v>153340</v>
      </c>
      <c r="BE24" s="7">
        <v>167760</v>
      </c>
      <c r="BF24" s="7">
        <v>182610</v>
      </c>
      <c r="BG24" s="7">
        <v>207650</v>
      </c>
      <c r="BH24" s="7">
        <v>226550</v>
      </c>
      <c r="BI24" s="7">
        <v>242580</v>
      </c>
      <c r="BJ24" s="7">
        <v>242310</v>
      </c>
    </row>
    <row r="25" spans="1:63" x14ac:dyDescent="0.2">
      <c r="A25" t="s">
        <v>219</v>
      </c>
      <c r="D25" s="7">
        <v>507800</v>
      </c>
      <c r="E25" s="7">
        <v>569790</v>
      </c>
      <c r="F25" s="7">
        <v>615570</v>
      </c>
      <c r="G25" s="7">
        <v>656650</v>
      </c>
      <c r="H25" s="7">
        <v>710630</v>
      </c>
      <c r="I25" s="7">
        <v>761740</v>
      </c>
      <c r="J25" s="7">
        <v>788390</v>
      </c>
      <c r="K25" s="7">
        <v>812900</v>
      </c>
      <c r="L25" s="7">
        <v>811100</v>
      </c>
      <c r="M25" s="7">
        <v>814640</v>
      </c>
      <c r="N25" s="7">
        <v>833770</v>
      </c>
      <c r="O25" s="7">
        <v>779610</v>
      </c>
      <c r="P25" s="7">
        <v>754800</v>
      </c>
      <c r="Q25" s="7">
        <v>862400</v>
      </c>
      <c r="R25" s="7">
        <v>946740</v>
      </c>
      <c r="S25" s="7">
        <v>1042560</v>
      </c>
      <c r="T25" s="7">
        <v>1019310</v>
      </c>
      <c r="U25" s="7">
        <v>965510</v>
      </c>
      <c r="V25" s="7">
        <v>1092780</v>
      </c>
      <c r="W25" s="7">
        <v>1152620</v>
      </c>
      <c r="X25" s="7">
        <v>1071680</v>
      </c>
      <c r="Y25" s="7">
        <v>1129550</v>
      </c>
      <c r="Z25" s="7">
        <v>1168660</v>
      </c>
      <c r="AA25" s="7">
        <v>1234820</v>
      </c>
      <c r="AB25" s="7">
        <v>1264340</v>
      </c>
      <c r="AC25" s="7">
        <v>1336820</v>
      </c>
      <c r="AD25" s="7">
        <v>1430800</v>
      </c>
      <c r="AE25" s="7">
        <v>1531450</v>
      </c>
      <c r="AF25" s="7">
        <v>1711980</v>
      </c>
      <c r="AG25" s="7">
        <v>1747230</v>
      </c>
      <c r="AH25" s="7">
        <v>1808060</v>
      </c>
      <c r="AI25" s="7">
        <v>1818370</v>
      </c>
      <c r="AJ25" s="7">
        <v>1916220</v>
      </c>
      <c r="AK25" s="7">
        <v>2030820</v>
      </c>
      <c r="AL25" s="7">
        <v>2068880</v>
      </c>
      <c r="AM25" s="7">
        <v>2285550</v>
      </c>
      <c r="AN25" s="7">
        <v>2428970</v>
      </c>
      <c r="AO25" s="7">
        <v>2632810</v>
      </c>
      <c r="AP25" s="7">
        <v>2794650</v>
      </c>
      <c r="AQ25" s="7">
        <v>2906070</v>
      </c>
      <c r="AR25" s="7">
        <v>3146830</v>
      </c>
      <c r="AS25" s="7">
        <v>3538010</v>
      </c>
      <c r="AT25" s="7">
        <v>4116200</v>
      </c>
      <c r="AU25" s="7">
        <v>4646050</v>
      </c>
      <c r="AV25" s="7">
        <v>5141810</v>
      </c>
      <c r="AW25" s="7">
        <v>5744510</v>
      </c>
      <c r="AX25" s="7">
        <v>6064380</v>
      </c>
      <c r="AY25" s="7">
        <v>6476390</v>
      </c>
      <c r="AZ25" s="7">
        <v>6870710</v>
      </c>
      <c r="BA25" s="7">
        <v>7773350</v>
      </c>
      <c r="BB25" s="7">
        <v>7800500</v>
      </c>
      <c r="BC25" s="7">
        <v>8007710</v>
      </c>
      <c r="BD25" s="7">
        <v>8352290</v>
      </c>
      <c r="BE25" s="7">
        <v>8653350</v>
      </c>
      <c r="BF25" s="7">
        <v>9164450</v>
      </c>
      <c r="BG25" s="7">
        <v>9643060</v>
      </c>
      <c r="BH25" s="7">
        <v>10267890</v>
      </c>
      <c r="BI25" s="7">
        <v>10386800</v>
      </c>
      <c r="BJ25" s="7">
        <v>9628350</v>
      </c>
      <c r="BK25" s="7">
        <v>10735950</v>
      </c>
    </row>
    <row r="26" spans="1:63" x14ac:dyDescent="0.2">
      <c r="A26" t="s">
        <v>220</v>
      </c>
      <c r="D26" s="7">
        <v>2120210</v>
      </c>
      <c r="E26" s="7">
        <v>2237160</v>
      </c>
      <c r="F26" s="7">
        <v>2356890</v>
      </c>
      <c r="G26" s="7">
        <v>2425010</v>
      </c>
      <c r="H26" s="7">
        <v>2501040</v>
      </c>
      <c r="I26" s="7">
        <v>2592940</v>
      </c>
      <c r="J26" s="7">
        <v>2707470</v>
      </c>
      <c r="K26" s="7">
        <v>2841790</v>
      </c>
      <c r="L26" s="7">
        <v>2976160</v>
      </c>
      <c r="M26" s="7">
        <v>3091550</v>
      </c>
      <c r="N26" s="7">
        <v>3186960</v>
      </c>
      <c r="O26" s="7">
        <v>3292150</v>
      </c>
      <c r="P26" s="7">
        <v>3416100</v>
      </c>
      <c r="Q26" s="7">
        <v>3624450</v>
      </c>
      <c r="R26" s="7">
        <v>3791240</v>
      </c>
      <c r="S26" s="7">
        <v>3967560</v>
      </c>
      <c r="T26" s="7">
        <v>4217360</v>
      </c>
      <c r="U26" s="7">
        <v>4326730</v>
      </c>
      <c r="V26" s="7">
        <v>4476000</v>
      </c>
      <c r="W26" s="7">
        <v>4730090</v>
      </c>
      <c r="X26" s="7">
        <v>5084620</v>
      </c>
      <c r="Y26" s="7">
        <v>5410680</v>
      </c>
      <c r="Z26" s="7">
        <v>5766500</v>
      </c>
      <c r="AA26" s="7">
        <v>6218130</v>
      </c>
      <c r="AB26" s="7">
        <v>6718700</v>
      </c>
      <c r="AC26" s="7">
        <v>7181010</v>
      </c>
      <c r="AD26" s="7">
        <v>7709740</v>
      </c>
      <c r="AE26" s="7">
        <v>8384030</v>
      </c>
      <c r="AF26" s="7">
        <v>8849310</v>
      </c>
      <c r="AG26" s="7">
        <v>9329630</v>
      </c>
      <c r="AH26" s="7">
        <v>9877800</v>
      </c>
      <c r="AI26" s="7">
        <v>10643240</v>
      </c>
      <c r="AJ26" s="7">
        <v>11180960</v>
      </c>
      <c r="AK26" s="7">
        <v>12206040</v>
      </c>
      <c r="AL26" s="7">
        <v>13030670</v>
      </c>
      <c r="AM26" s="7">
        <v>14202910</v>
      </c>
      <c r="AN26" s="7">
        <v>15369610</v>
      </c>
      <c r="AO26" s="7">
        <v>17290030</v>
      </c>
      <c r="AP26" s="7">
        <v>18172800</v>
      </c>
      <c r="AQ26" s="7">
        <v>19308260</v>
      </c>
      <c r="AR26" s="7">
        <v>20534040</v>
      </c>
      <c r="AS26" s="7">
        <v>22043540</v>
      </c>
      <c r="AT26" s="7">
        <v>23864160</v>
      </c>
      <c r="AU26" s="7">
        <v>26040010</v>
      </c>
      <c r="AV26" s="7">
        <v>27872790</v>
      </c>
      <c r="AW26" s="7">
        <v>30040750</v>
      </c>
      <c r="AX26" s="7">
        <v>31999380</v>
      </c>
      <c r="AY26" s="7">
        <v>34775790</v>
      </c>
      <c r="AZ26" s="7">
        <v>37500710</v>
      </c>
      <c r="BA26" s="7">
        <v>39699750</v>
      </c>
      <c r="BB26" s="7">
        <v>43008200</v>
      </c>
      <c r="BC26" s="7">
        <v>46302630</v>
      </c>
      <c r="BD26" s="7">
        <v>50845180</v>
      </c>
      <c r="BE26" s="7">
        <v>55644090</v>
      </c>
      <c r="BF26" s="7">
        <v>60353280</v>
      </c>
      <c r="BG26" s="7">
        <v>64181510</v>
      </c>
      <c r="BH26" s="7">
        <v>68784560</v>
      </c>
      <c r="BI26" s="7">
        <v>73147580</v>
      </c>
      <c r="BJ26" s="7">
        <v>67426700</v>
      </c>
      <c r="BK26" s="7">
        <v>73117790</v>
      </c>
    </row>
    <row r="27" spans="1:63" x14ac:dyDescent="0.2">
      <c r="A27" t="s">
        <v>221</v>
      </c>
      <c r="D27" s="7">
        <v>678240</v>
      </c>
      <c r="E27" s="7">
        <v>726170</v>
      </c>
      <c r="F27" s="7">
        <v>774950</v>
      </c>
      <c r="G27" s="7">
        <v>789500</v>
      </c>
      <c r="H27" s="7">
        <v>810300</v>
      </c>
      <c r="I27" s="7">
        <v>845430</v>
      </c>
      <c r="J27" s="7">
        <v>883910</v>
      </c>
      <c r="K27" s="7">
        <v>931780</v>
      </c>
      <c r="L27" s="7">
        <v>977020</v>
      </c>
      <c r="M27" s="7">
        <v>999510</v>
      </c>
      <c r="N27" s="7">
        <v>1022760</v>
      </c>
      <c r="O27" s="7">
        <v>1065670</v>
      </c>
      <c r="P27" s="7">
        <v>1130750</v>
      </c>
      <c r="Q27" s="7">
        <v>1232920</v>
      </c>
      <c r="R27" s="7">
        <v>1288860</v>
      </c>
      <c r="S27" s="7">
        <v>1373110</v>
      </c>
      <c r="T27" s="7">
        <v>1485190</v>
      </c>
      <c r="U27" s="7">
        <v>1476330</v>
      </c>
      <c r="V27" s="7">
        <v>1560200</v>
      </c>
      <c r="W27" s="7">
        <v>1655650</v>
      </c>
      <c r="X27" s="7">
        <v>1746360</v>
      </c>
      <c r="Y27" s="7">
        <v>1835280</v>
      </c>
      <c r="Z27" s="7">
        <v>1923140</v>
      </c>
      <c r="AA27" s="7">
        <v>2076170</v>
      </c>
      <c r="AB27" s="7">
        <v>2201190</v>
      </c>
      <c r="AC27" s="7">
        <v>2315450</v>
      </c>
      <c r="AD27" s="7">
        <v>2452080</v>
      </c>
      <c r="AE27" s="7">
        <v>2633790</v>
      </c>
      <c r="AF27" s="7">
        <v>2769490</v>
      </c>
      <c r="AG27" s="7">
        <v>2836740</v>
      </c>
      <c r="AH27" s="7">
        <v>2995920</v>
      </c>
      <c r="AI27" s="7">
        <v>3203100</v>
      </c>
      <c r="AJ27" s="7">
        <v>3520620</v>
      </c>
      <c r="AK27" s="7">
        <v>3989280</v>
      </c>
      <c r="AL27" s="7">
        <v>4311320</v>
      </c>
      <c r="AM27" s="7">
        <v>4635900</v>
      </c>
      <c r="AN27" s="7">
        <v>4990780</v>
      </c>
      <c r="AO27" s="7">
        <v>5578140</v>
      </c>
      <c r="AP27" s="7">
        <v>5942160</v>
      </c>
      <c r="AQ27" s="7">
        <v>6449740</v>
      </c>
      <c r="AR27" s="7">
        <v>6991680</v>
      </c>
      <c r="AS27" s="7">
        <v>7777980</v>
      </c>
      <c r="AT27" s="7">
        <v>8527040</v>
      </c>
      <c r="AU27" s="7">
        <v>9333820</v>
      </c>
      <c r="AV27" s="7">
        <v>10197690</v>
      </c>
      <c r="AW27" s="7">
        <v>10930270</v>
      </c>
      <c r="AX27" s="7">
        <v>11196300</v>
      </c>
      <c r="AY27" s="7">
        <v>11888470</v>
      </c>
      <c r="AZ27" s="7">
        <v>13286220</v>
      </c>
      <c r="BA27" s="7">
        <v>14131160</v>
      </c>
      <c r="BB27" s="7">
        <v>15511430</v>
      </c>
      <c r="BC27" s="7">
        <v>16520620</v>
      </c>
      <c r="BD27" s="7">
        <v>18076890</v>
      </c>
      <c r="BE27" s="7">
        <v>19928250</v>
      </c>
      <c r="BF27" s="7">
        <v>21463790</v>
      </c>
      <c r="BG27" s="7">
        <v>23684190</v>
      </c>
      <c r="BH27" s="7">
        <v>25387570</v>
      </c>
      <c r="BI27" s="7">
        <v>26897260</v>
      </c>
      <c r="BJ27" s="7">
        <v>21476790</v>
      </c>
      <c r="BK27" s="7">
        <v>23856050</v>
      </c>
    </row>
    <row r="28" spans="1:63" x14ac:dyDescent="0.2">
      <c r="A28" t="s">
        <v>222</v>
      </c>
      <c r="D28" s="7">
        <v>846200</v>
      </c>
      <c r="E28" s="7">
        <v>872010</v>
      </c>
      <c r="F28" s="7">
        <v>896520</v>
      </c>
      <c r="G28" s="7">
        <v>923470</v>
      </c>
      <c r="H28" s="7">
        <v>943860</v>
      </c>
      <c r="I28" s="7">
        <v>970710</v>
      </c>
      <c r="J28" s="7">
        <v>1009790</v>
      </c>
      <c r="K28" s="7">
        <v>1046780</v>
      </c>
      <c r="L28" s="7">
        <v>1083080</v>
      </c>
      <c r="M28" s="7">
        <v>1131920</v>
      </c>
      <c r="N28" s="7">
        <v>1171900</v>
      </c>
      <c r="O28" s="7">
        <v>1203960</v>
      </c>
      <c r="P28" s="7">
        <v>1216330</v>
      </c>
      <c r="Q28" s="7">
        <v>1282780</v>
      </c>
      <c r="R28" s="7">
        <v>1360790</v>
      </c>
      <c r="S28" s="7">
        <v>1419120</v>
      </c>
      <c r="T28" s="7">
        <v>1500310</v>
      </c>
      <c r="U28" s="7">
        <v>1529110</v>
      </c>
      <c r="V28" s="7">
        <v>1565490</v>
      </c>
      <c r="W28" s="7">
        <v>1695190</v>
      </c>
      <c r="X28" s="7">
        <v>1844100</v>
      </c>
      <c r="Y28" s="7">
        <v>2026400</v>
      </c>
      <c r="Z28" s="7">
        <v>2176850</v>
      </c>
      <c r="AA28" s="7">
        <v>2372760</v>
      </c>
      <c r="AB28" s="7">
        <v>2606730</v>
      </c>
      <c r="AC28" s="7">
        <v>2803720</v>
      </c>
      <c r="AD28" s="7">
        <v>3069170</v>
      </c>
      <c r="AE28" s="7">
        <v>3386270</v>
      </c>
      <c r="AF28" s="7">
        <v>3629850</v>
      </c>
      <c r="AG28" s="7">
        <v>3982670</v>
      </c>
      <c r="AH28" s="7">
        <v>4225240</v>
      </c>
      <c r="AI28" s="7">
        <v>4667680</v>
      </c>
      <c r="AJ28" s="7">
        <v>4840210</v>
      </c>
      <c r="AK28" s="7">
        <v>5193830</v>
      </c>
      <c r="AL28" s="7">
        <v>5486260</v>
      </c>
      <c r="AM28" s="7">
        <v>6031820</v>
      </c>
      <c r="AN28" s="7">
        <v>6480330</v>
      </c>
      <c r="AO28" s="7">
        <v>7340980</v>
      </c>
      <c r="AP28" s="7">
        <v>7680170</v>
      </c>
      <c r="AQ28" s="7">
        <v>8133320</v>
      </c>
      <c r="AR28" s="7">
        <v>8664840</v>
      </c>
      <c r="AS28" s="7">
        <v>9165380</v>
      </c>
      <c r="AT28" s="7">
        <v>9859700</v>
      </c>
      <c r="AU28" s="7">
        <v>10796560</v>
      </c>
      <c r="AV28" s="7">
        <v>11594630</v>
      </c>
      <c r="AW28" s="7">
        <v>12496840</v>
      </c>
      <c r="AX28" s="7">
        <v>13145300</v>
      </c>
      <c r="AY28" s="7">
        <v>13995290</v>
      </c>
      <c r="AZ28" s="7">
        <v>14650640</v>
      </c>
      <c r="BA28" s="7">
        <v>15308770</v>
      </c>
      <c r="BB28" s="7">
        <v>16800310</v>
      </c>
      <c r="BC28" s="7">
        <v>18674070</v>
      </c>
      <c r="BD28" s="7">
        <v>20737140</v>
      </c>
      <c r="BE28" s="7">
        <v>22947870</v>
      </c>
      <c r="BF28" s="7">
        <v>24929670</v>
      </c>
      <c r="BG28" s="7">
        <v>25371900</v>
      </c>
      <c r="BH28" s="7">
        <v>27142220</v>
      </c>
      <c r="BI28" s="7">
        <v>28973930</v>
      </c>
      <c r="BJ28" s="7">
        <v>29619100</v>
      </c>
      <c r="BK28" s="7">
        <v>30873600</v>
      </c>
    </row>
    <row r="29" spans="1:63" x14ac:dyDescent="0.2">
      <c r="A29" t="s">
        <v>223</v>
      </c>
      <c r="D29" s="7">
        <v>595780</v>
      </c>
      <c r="E29" s="7">
        <v>638980</v>
      </c>
      <c r="F29" s="7">
        <v>685420</v>
      </c>
      <c r="G29" s="7">
        <v>712050</v>
      </c>
      <c r="H29" s="7">
        <v>746880</v>
      </c>
      <c r="I29" s="7">
        <v>776790</v>
      </c>
      <c r="J29" s="7">
        <v>813770</v>
      </c>
      <c r="K29" s="7">
        <v>863230</v>
      </c>
      <c r="L29" s="7">
        <v>916060</v>
      </c>
      <c r="M29" s="7">
        <v>960120</v>
      </c>
      <c r="N29" s="7">
        <v>992300</v>
      </c>
      <c r="O29" s="7">
        <v>1022520</v>
      </c>
      <c r="P29" s="7">
        <v>1069020</v>
      </c>
      <c r="Q29" s="7">
        <v>1108750</v>
      </c>
      <c r="R29" s="7">
        <v>1141590</v>
      </c>
      <c r="S29" s="7">
        <v>1175320</v>
      </c>
      <c r="T29" s="7">
        <v>1231860</v>
      </c>
      <c r="U29" s="7">
        <v>1321290</v>
      </c>
      <c r="V29" s="7">
        <v>1350320</v>
      </c>
      <c r="W29" s="7">
        <v>1379240</v>
      </c>
      <c r="X29" s="7">
        <v>1494170</v>
      </c>
      <c r="Y29" s="7">
        <v>1549010</v>
      </c>
      <c r="Z29" s="7">
        <v>1666510</v>
      </c>
      <c r="AA29" s="7">
        <v>1769200</v>
      </c>
      <c r="AB29" s="7">
        <v>1910780</v>
      </c>
      <c r="AC29" s="7">
        <v>2061830</v>
      </c>
      <c r="AD29" s="7">
        <v>2188480</v>
      </c>
      <c r="AE29" s="7">
        <v>2363970</v>
      </c>
      <c r="AF29" s="7">
        <v>2449970</v>
      </c>
      <c r="AG29" s="7">
        <v>2510220</v>
      </c>
      <c r="AH29" s="7">
        <v>2656640</v>
      </c>
      <c r="AI29" s="7">
        <v>2772460</v>
      </c>
      <c r="AJ29" s="7">
        <v>2820130</v>
      </c>
      <c r="AK29" s="7">
        <v>3022940</v>
      </c>
      <c r="AL29" s="7">
        <v>3233090</v>
      </c>
      <c r="AM29" s="7">
        <v>3535200</v>
      </c>
      <c r="AN29" s="7">
        <v>3898490</v>
      </c>
      <c r="AO29" s="7">
        <v>4370920</v>
      </c>
      <c r="AP29" s="7">
        <v>4550470</v>
      </c>
      <c r="AQ29" s="7">
        <v>4725200</v>
      </c>
      <c r="AR29" s="7">
        <v>4877520</v>
      </c>
      <c r="AS29" s="7">
        <v>5100180</v>
      </c>
      <c r="AT29" s="7">
        <v>5477420</v>
      </c>
      <c r="AU29" s="7">
        <v>5909630</v>
      </c>
      <c r="AV29" s="7">
        <v>6080480</v>
      </c>
      <c r="AW29" s="7">
        <v>6613640</v>
      </c>
      <c r="AX29" s="7">
        <v>7657770</v>
      </c>
      <c r="AY29" s="7">
        <v>8892030</v>
      </c>
      <c r="AZ29" s="7">
        <v>9563850</v>
      </c>
      <c r="BA29" s="7">
        <v>10259820</v>
      </c>
      <c r="BB29" s="7">
        <v>10696460</v>
      </c>
      <c r="BC29" s="7">
        <v>11107940</v>
      </c>
      <c r="BD29" s="7">
        <v>12031150</v>
      </c>
      <c r="BE29" s="7">
        <v>12767970</v>
      </c>
      <c r="BF29" s="7">
        <v>13959820</v>
      </c>
      <c r="BG29" s="7">
        <v>15125420</v>
      </c>
      <c r="BH29" s="7">
        <v>16254770</v>
      </c>
      <c r="BI29" s="7">
        <v>17276390</v>
      </c>
      <c r="BJ29" s="7">
        <v>16330810</v>
      </c>
      <c r="BK29" s="7">
        <v>18388140</v>
      </c>
    </row>
  </sheetData>
  <autoFilter ref="BK1:BK29" xr:uid="{79A38EA8-7FC7-CF48-858B-D6EA52F63F1E}"/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1173-60D0-F943-920F-3BB6EB43C718}">
  <dimension ref="A1:R64"/>
  <sheetViews>
    <sheetView topLeftCell="N2" workbookViewId="0">
      <selection activeCell="T11" sqref="T11"/>
    </sheetView>
  </sheetViews>
  <sheetFormatPr baseColWidth="10" defaultRowHeight="16" x14ac:dyDescent="0.2"/>
  <cols>
    <col min="7" max="7" width="15.1640625" bestFit="1" customWidth="1"/>
  </cols>
  <sheetData>
    <row r="1" spans="1:18" x14ac:dyDescent="0.2">
      <c r="A1" t="s">
        <v>44</v>
      </c>
    </row>
    <row r="2" spans="1:18" x14ac:dyDescent="0.2">
      <c r="A2" t="s">
        <v>45</v>
      </c>
    </row>
    <row r="3" spans="1:18" x14ac:dyDescent="0.2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50</v>
      </c>
      <c r="I3" t="s">
        <v>51</v>
      </c>
      <c r="J3" t="s">
        <v>51</v>
      </c>
      <c r="K3" t="s">
        <v>51</v>
      </c>
      <c r="L3" t="s">
        <v>52</v>
      </c>
      <c r="M3" t="s">
        <v>52</v>
      </c>
      <c r="N3" t="s">
        <v>52</v>
      </c>
      <c r="O3" t="s">
        <v>53</v>
      </c>
      <c r="P3" t="s">
        <v>53</v>
      </c>
      <c r="Q3" t="s">
        <v>53</v>
      </c>
      <c r="R3" t="s">
        <v>54</v>
      </c>
    </row>
    <row r="4" spans="1:18" x14ac:dyDescent="0.2">
      <c r="A4" t="s">
        <v>55</v>
      </c>
      <c r="B4" t="s">
        <v>55</v>
      </c>
      <c r="C4" t="s">
        <v>55</v>
      </c>
      <c r="D4" t="s">
        <v>55</v>
      </c>
      <c r="E4" t="s">
        <v>47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47</v>
      </c>
      <c r="M4" t="s">
        <v>62</v>
      </c>
      <c r="N4" t="s">
        <v>63</v>
      </c>
      <c r="O4" t="s">
        <v>47</v>
      </c>
      <c r="P4" t="s">
        <v>64</v>
      </c>
      <c r="Q4" t="s">
        <v>65</v>
      </c>
      <c r="R4" t="s">
        <v>55</v>
      </c>
    </row>
    <row r="5" spans="1:18" x14ac:dyDescent="0.2">
      <c r="A5" t="s">
        <v>66</v>
      </c>
      <c r="B5" s="7">
        <v>200770</v>
      </c>
      <c r="C5" s="7">
        <v>169690</v>
      </c>
      <c r="D5" s="7">
        <v>15620</v>
      </c>
      <c r="E5" s="7">
        <v>36350</v>
      </c>
      <c r="F5" s="7">
        <v>32060</v>
      </c>
      <c r="G5" s="7">
        <v>4300</v>
      </c>
      <c r="H5">
        <v>0</v>
      </c>
      <c r="I5" s="7">
        <v>-3740</v>
      </c>
      <c r="L5" s="7">
        <v>8370</v>
      </c>
      <c r="O5" s="7">
        <v>12110</v>
      </c>
    </row>
    <row r="6" spans="1:18" x14ac:dyDescent="0.2">
      <c r="A6" t="s">
        <v>67</v>
      </c>
      <c r="B6" s="7">
        <v>230580</v>
      </c>
      <c r="C6" s="7">
        <v>188390</v>
      </c>
      <c r="D6" s="7">
        <v>20070</v>
      </c>
      <c r="E6" s="7">
        <v>43800</v>
      </c>
      <c r="F6" s="7">
        <v>37690</v>
      </c>
      <c r="G6" s="7">
        <v>6110</v>
      </c>
      <c r="H6">
        <v>0</v>
      </c>
      <c r="I6" s="7">
        <v>-3750</v>
      </c>
      <c r="L6" s="7">
        <v>9870</v>
      </c>
      <c r="O6" s="7">
        <v>13620</v>
      </c>
    </row>
    <row r="7" spans="1:18" x14ac:dyDescent="0.2">
      <c r="A7" t="s">
        <v>68</v>
      </c>
      <c r="B7" s="7">
        <v>268950</v>
      </c>
      <c r="C7" s="7">
        <v>221790</v>
      </c>
      <c r="D7" s="7">
        <v>21630</v>
      </c>
      <c r="E7" s="7">
        <v>52530</v>
      </c>
      <c r="F7" s="7">
        <v>43800</v>
      </c>
      <c r="G7" s="7">
        <v>8720</v>
      </c>
      <c r="H7">
        <v>0</v>
      </c>
      <c r="I7" s="7">
        <v>-5270</v>
      </c>
      <c r="L7" s="7">
        <v>10020</v>
      </c>
      <c r="O7" s="7">
        <v>15290</v>
      </c>
    </row>
    <row r="8" spans="1:18" x14ac:dyDescent="0.2">
      <c r="A8" t="s">
        <v>69</v>
      </c>
      <c r="B8" s="7">
        <v>283600</v>
      </c>
      <c r="C8" s="7">
        <v>234110</v>
      </c>
      <c r="D8" s="7">
        <v>24920</v>
      </c>
      <c r="E8" s="7">
        <v>56880</v>
      </c>
      <c r="F8" s="7">
        <v>48550</v>
      </c>
      <c r="G8" s="7">
        <v>8330</v>
      </c>
      <c r="H8">
        <v>0</v>
      </c>
      <c r="I8" s="7">
        <v>-5400</v>
      </c>
      <c r="L8" s="7">
        <v>9380</v>
      </c>
      <c r="O8" s="7">
        <v>14780</v>
      </c>
    </row>
    <row r="9" spans="1:18" x14ac:dyDescent="0.2">
      <c r="A9" t="s">
        <v>70</v>
      </c>
      <c r="B9" s="7">
        <v>321060</v>
      </c>
      <c r="C9" s="7">
        <v>272650</v>
      </c>
      <c r="D9" s="7">
        <v>27310</v>
      </c>
      <c r="E9" s="7">
        <v>58940</v>
      </c>
      <c r="F9" s="7">
        <v>53720</v>
      </c>
      <c r="G9" s="7">
        <v>5220</v>
      </c>
      <c r="H9">
        <v>0</v>
      </c>
      <c r="I9" s="7">
        <v>-8120</v>
      </c>
      <c r="L9" s="7">
        <v>13300</v>
      </c>
      <c r="O9" s="7">
        <v>21420</v>
      </c>
    </row>
    <row r="10" spans="1:18" x14ac:dyDescent="0.2">
      <c r="A10" t="s">
        <v>71</v>
      </c>
      <c r="B10" s="7">
        <v>376010</v>
      </c>
      <c r="C10" s="7">
        <v>324910</v>
      </c>
      <c r="D10" s="7">
        <v>30540</v>
      </c>
      <c r="E10" s="7">
        <v>68420</v>
      </c>
      <c r="F10" s="7">
        <v>60420</v>
      </c>
      <c r="G10" s="7">
        <v>8000</v>
      </c>
      <c r="H10">
        <v>0</v>
      </c>
      <c r="I10" s="7">
        <v>-7190</v>
      </c>
      <c r="L10" s="7">
        <v>15170</v>
      </c>
      <c r="O10" s="7">
        <v>22360</v>
      </c>
    </row>
    <row r="11" spans="1:18" x14ac:dyDescent="0.2">
      <c r="A11" t="s">
        <v>72</v>
      </c>
      <c r="B11" s="7">
        <v>398140</v>
      </c>
      <c r="C11" s="7">
        <v>325060</v>
      </c>
      <c r="D11" s="7">
        <v>33440</v>
      </c>
      <c r="E11" s="7">
        <v>70640</v>
      </c>
      <c r="F11" s="7">
        <v>64530</v>
      </c>
      <c r="G11" s="7">
        <v>6110</v>
      </c>
      <c r="H11">
        <v>0</v>
      </c>
      <c r="I11" s="7">
        <v>-3600</v>
      </c>
      <c r="L11" s="7">
        <v>16080</v>
      </c>
      <c r="O11" s="7">
        <v>19680</v>
      </c>
    </row>
    <row r="12" spans="1:18" x14ac:dyDescent="0.2">
      <c r="A12" t="s">
        <v>73</v>
      </c>
      <c r="B12" s="7">
        <v>438360</v>
      </c>
      <c r="C12" s="7">
        <v>351630</v>
      </c>
      <c r="D12" s="7">
        <v>37480</v>
      </c>
      <c r="E12" s="7">
        <v>77330</v>
      </c>
      <c r="F12" s="7">
        <v>70680</v>
      </c>
      <c r="G12" s="7">
        <v>6650</v>
      </c>
      <c r="H12">
        <v>0</v>
      </c>
      <c r="I12" s="7">
        <v>-1390</v>
      </c>
      <c r="L12" s="7">
        <v>16280</v>
      </c>
      <c r="O12" s="7">
        <v>17670</v>
      </c>
    </row>
    <row r="13" spans="1:18" x14ac:dyDescent="0.2">
      <c r="A13" t="s">
        <v>74</v>
      </c>
      <c r="B13" s="7">
        <v>468170</v>
      </c>
      <c r="C13" s="7">
        <v>373060</v>
      </c>
      <c r="D13" s="7">
        <v>41890</v>
      </c>
      <c r="E13" s="7">
        <v>85260</v>
      </c>
      <c r="F13" s="7">
        <v>72740</v>
      </c>
      <c r="G13" s="7">
        <v>12520</v>
      </c>
      <c r="H13">
        <v>0</v>
      </c>
      <c r="I13">
        <v>-450</v>
      </c>
      <c r="L13" s="7">
        <v>17710</v>
      </c>
      <c r="O13" s="7">
        <v>18160</v>
      </c>
    </row>
    <row r="14" spans="1:18" x14ac:dyDescent="0.2">
      <c r="A14" t="s">
        <v>75</v>
      </c>
      <c r="B14" s="7">
        <v>501200</v>
      </c>
      <c r="C14" s="7">
        <v>402360</v>
      </c>
      <c r="D14" s="7">
        <v>48480</v>
      </c>
      <c r="E14" s="7">
        <v>96250</v>
      </c>
      <c r="F14" s="7">
        <v>83130</v>
      </c>
      <c r="G14" s="7">
        <v>13120</v>
      </c>
      <c r="H14">
        <v>0</v>
      </c>
      <c r="I14" s="7">
        <v>-1680</v>
      </c>
      <c r="L14" s="7">
        <v>18380</v>
      </c>
      <c r="O14" s="7">
        <v>20060</v>
      </c>
    </row>
    <row r="15" spans="1:18" x14ac:dyDescent="0.2">
      <c r="A15" t="s">
        <v>76</v>
      </c>
      <c r="B15" s="7">
        <v>552450</v>
      </c>
      <c r="C15" s="7">
        <v>443470</v>
      </c>
      <c r="D15" s="7">
        <v>51570</v>
      </c>
      <c r="E15" s="7">
        <v>108000</v>
      </c>
      <c r="F15" s="7">
        <v>94210</v>
      </c>
      <c r="G15" s="7">
        <v>13790</v>
      </c>
      <c r="H15">
        <v>0</v>
      </c>
      <c r="I15" s="7">
        <v>1760</v>
      </c>
      <c r="L15" s="7">
        <v>22250</v>
      </c>
      <c r="O15" s="7">
        <v>20490</v>
      </c>
    </row>
    <row r="16" spans="1:18" x14ac:dyDescent="0.2">
      <c r="A16" t="s">
        <v>77</v>
      </c>
      <c r="B16" s="7">
        <v>672410</v>
      </c>
      <c r="C16" s="7">
        <v>534610</v>
      </c>
      <c r="D16" s="7">
        <v>56530</v>
      </c>
      <c r="E16" s="7">
        <v>125750</v>
      </c>
      <c r="F16" s="7">
        <v>106960</v>
      </c>
      <c r="G16" s="7">
        <v>18780</v>
      </c>
      <c r="H16">
        <v>0</v>
      </c>
      <c r="I16" s="7">
        <v>-3460</v>
      </c>
      <c r="L16" s="7">
        <v>28300</v>
      </c>
      <c r="O16" s="7">
        <v>31760</v>
      </c>
    </row>
    <row r="17" spans="1:15" x14ac:dyDescent="0.2">
      <c r="A17" t="s">
        <v>78</v>
      </c>
      <c r="B17" s="7">
        <v>793780</v>
      </c>
      <c r="C17" s="7">
        <v>647710</v>
      </c>
      <c r="D17" s="7">
        <v>68590</v>
      </c>
      <c r="E17" s="7">
        <v>178690</v>
      </c>
      <c r="F17" s="7">
        <v>131800</v>
      </c>
      <c r="G17" s="7">
        <v>46890</v>
      </c>
      <c r="H17">
        <v>0</v>
      </c>
      <c r="I17" s="7">
        <v>-9440</v>
      </c>
      <c r="L17" s="7">
        <v>38350</v>
      </c>
      <c r="O17" s="7">
        <v>47790</v>
      </c>
    </row>
    <row r="18" spans="1:15" x14ac:dyDescent="0.2">
      <c r="A18" t="s">
        <v>79</v>
      </c>
      <c r="B18" s="7">
        <v>852120</v>
      </c>
      <c r="C18" s="7">
        <v>662400</v>
      </c>
      <c r="D18" s="7">
        <v>80850</v>
      </c>
      <c r="E18" s="7">
        <v>166550</v>
      </c>
      <c r="F18" s="7">
        <v>150950</v>
      </c>
      <c r="G18" s="7">
        <v>15600</v>
      </c>
      <c r="H18">
        <v>0</v>
      </c>
      <c r="I18" s="7">
        <v>-8520</v>
      </c>
      <c r="L18" s="7">
        <v>48120</v>
      </c>
      <c r="O18" s="7">
        <v>56640</v>
      </c>
    </row>
    <row r="19" spans="1:15" x14ac:dyDescent="0.2">
      <c r="A19" t="s">
        <v>80</v>
      </c>
      <c r="B19" s="7">
        <v>918120</v>
      </c>
      <c r="C19" s="7">
        <v>688670</v>
      </c>
      <c r="D19" s="7">
        <v>89790</v>
      </c>
      <c r="E19" s="7">
        <v>178290</v>
      </c>
      <c r="F19" s="7">
        <v>169750</v>
      </c>
      <c r="G19" s="7">
        <v>8540</v>
      </c>
      <c r="H19">
        <v>0</v>
      </c>
      <c r="I19" s="7">
        <v>5250</v>
      </c>
      <c r="L19" s="7">
        <v>61390</v>
      </c>
      <c r="O19" s="7">
        <v>56140</v>
      </c>
    </row>
    <row r="20" spans="1:15" x14ac:dyDescent="0.2">
      <c r="A20" t="s">
        <v>81</v>
      </c>
      <c r="B20" s="7">
        <v>1040240</v>
      </c>
      <c r="C20" s="7">
        <v>793040</v>
      </c>
      <c r="D20" s="7">
        <v>95800</v>
      </c>
      <c r="E20" s="7">
        <v>219440</v>
      </c>
      <c r="F20" s="7">
        <v>195460</v>
      </c>
      <c r="G20" s="7">
        <v>23980</v>
      </c>
      <c r="H20">
        <v>0</v>
      </c>
      <c r="I20" s="7">
        <v>1230</v>
      </c>
      <c r="L20" s="7">
        <v>66400</v>
      </c>
      <c r="O20" s="7">
        <v>65170</v>
      </c>
    </row>
    <row r="21" spans="1:15" x14ac:dyDescent="0.2">
      <c r="A21" t="s">
        <v>82</v>
      </c>
      <c r="B21" s="7">
        <v>1126710</v>
      </c>
      <c r="C21" s="7">
        <v>862480</v>
      </c>
      <c r="D21" s="7">
        <v>106360</v>
      </c>
      <c r="E21" s="7">
        <v>255210</v>
      </c>
      <c r="F21" s="7">
        <v>218500</v>
      </c>
      <c r="G21" s="7">
        <v>36710</v>
      </c>
      <c r="H21">
        <v>0</v>
      </c>
      <c r="I21" s="7">
        <v>-3080</v>
      </c>
      <c r="L21" s="7">
        <v>71150</v>
      </c>
      <c r="O21" s="7">
        <v>74230</v>
      </c>
    </row>
    <row r="22" spans="1:15" x14ac:dyDescent="0.2">
      <c r="A22" t="s">
        <v>83</v>
      </c>
      <c r="B22" s="7">
        <v>1235620</v>
      </c>
      <c r="C22" s="7">
        <v>936560</v>
      </c>
      <c r="D22" s="7">
        <v>122260</v>
      </c>
      <c r="E22" s="7">
        <v>291550</v>
      </c>
      <c r="F22" s="7">
        <v>251500</v>
      </c>
      <c r="G22" s="7">
        <v>40050</v>
      </c>
      <c r="H22">
        <v>0</v>
      </c>
      <c r="I22" s="7">
        <v>-17540</v>
      </c>
      <c r="L22" s="7">
        <v>83400</v>
      </c>
      <c r="O22" s="7">
        <v>100940</v>
      </c>
    </row>
    <row r="23" spans="1:15" x14ac:dyDescent="0.2">
      <c r="A23" t="s">
        <v>84</v>
      </c>
      <c r="B23" s="7">
        <v>1470630</v>
      </c>
      <c r="C23" s="7">
        <v>1144830</v>
      </c>
      <c r="D23" s="7">
        <v>141940</v>
      </c>
      <c r="E23" s="7">
        <v>287580</v>
      </c>
      <c r="F23" s="7">
        <v>289360</v>
      </c>
      <c r="G23" s="7">
        <v>-1780</v>
      </c>
      <c r="H23">
        <v>0</v>
      </c>
      <c r="I23" s="7">
        <v>-45670</v>
      </c>
      <c r="L23" s="7">
        <v>90290</v>
      </c>
      <c r="O23" s="7">
        <v>135960</v>
      </c>
    </row>
    <row r="24" spans="1:15" x14ac:dyDescent="0.2">
      <c r="A24" t="s">
        <v>85</v>
      </c>
      <c r="B24" s="7">
        <v>1727760</v>
      </c>
      <c r="C24" s="7">
        <v>1315550</v>
      </c>
      <c r="D24" s="7">
        <v>166320</v>
      </c>
      <c r="E24" s="7">
        <v>441620</v>
      </c>
      <c r="F24" s="7">
        <v>343260</v>
      </c>
      <c r="G24" s="7">
        <v>98360</v>
      </c>
      <c r="H24">
        <v>0</v>
      </c>
      <c r="I24" s="7">
        <v>-45530</v>
      </c>
      <c r="L24" s="7">
        <v>102560</v>
      </c>
      <c r="O24" s="7">
        <v>148090</v>
      </c>
    </row>
    <row r="25" spans="1:15" x14ac:dyDescent="0.2">
      <c r="A25" t="s">
        <v>86</v>
      </c>
      <c r="B25" s="7">
        <v>1932550</v>
      </c>
      <c r="C25" s="7">
        <v>1452250</v>
      </c>
      <c r="D25" s="7">
        <v>196590</v>
      </c>
      <c r="E25" s="7">
        <v>485730</v>
      </c>
      <c r="F25" s="7">
        <v>406120</v>
      </c>
      <c r="G25" s="7">
        <v>79610</v>
      </c>
      <c r="H25">
        <v>0</v>
      </c>
      <c r="I25" s="7">
        <v>-41730</v>
      </c>
      <c r="L25" s="7">
        <v>115630</v>
      </c>
      <c r="O25" s="7">
        <v>157360</v>
      </c>
    </row>
    <row r="26" spans="1:15" x14ac:dyDescent="0.2">
      <c r="A26" t="s">
        <v>87</v>
      </c>
      <c r="B26" s="7">
        <v>2250740</v>
      </c>
      <c r="C26" s="7">
        <v>1700320</v>
      </c>
      <c r="D26" s="7">
        <v>227130</v>
      </c>
      <c r="E26" s="7">
        <v>473550</v>
      </c>
      <c r="F26" s="7">
        <v>462960</v>
      </c>
      <c r="G26" s="7">
        <v>10590</v>
      </c>
      <c r="H26">
        <v>0</v>
      </c>
      <c r="I26" s="7">
        <v>-45360</v>
      </c>
      <c r="L26" s="7">
        <v>131390</v>
      </c>
      <c r="O26" s="7">
        <v>176750</v>
      </c>
    </row>
    <row r="27" spans="1:15" x14ac:dyDescent="0.2">
      <c r="A27" t="s">
        <v>88</v>
      </c>
      <c r="B27" s="7">
        <v>2521880</v>
      </c>
      <c r="C27" s="7">
        <v>1881440</v>
      </c>
      <c r="D27" s="7">
        <v>261160</v>
      </c>
      <c r="E27" s="7">
        <v>587380</v>
      </c>
      <c r="F27" s="7">
        <v>525820</v>
      </c>
      <c r="G27" s="7">
        <v>61560</v>
      </c>
      <c r="H27">
        <v>0</v>
      </c>
      <c r="I27" s="7">
        <v>-36380</v>
      </c>
      <c r="L27" s="7">
        <v>158460</v>
      </c>
      <c r="O27" s="7">
        <v>194840</v>
      </c>
    </row>
    <row r="28" spans="1:15" x14ac:dyDescent="0.2">
      <c r="A28" t="s">
        <v>89</v>
      </c>
      <c r="B28" s="7">
        <v>2845340</v>
      </c>
      <c r="C28" s="7">
        <v>2076500</v>
      </c>
      <c r="D28" s="7">
        <v>311000</v>
      </c>
      <c r="E28" s="7">
        <v>752480</v>
      </c>
      <c r="F28" s="7">
        <v>620380</v>
      </c>
      <c r="G28" s="7">
        <v>132100</v>
      </c>
      <c r="H28">
        <v>0</v>
      </c>
      <c r="I28" s="7">
        <v>-68030</v>
      </c>
      <c r="L28" s="7">
        <v>149510</v>
      </c>
      <c r="O28" s="7">
        <v>217540</v>
      </c>
    </row>
    <row r="29" spans="1:15" x14ac:dyDescent="0.2">
      <c r="A29" t="s">
        <v>90</v>
      </c>
      <c r="B29" s="7">
        <v>3183660</v>
      </c>
      <c r="C29" s="7">
        <v>2329140</v>
      </c>
      <c r="D29" s="7">
        <v>367720</v>
      </c>
      <c r="E29" s="7">
        <v>829840</v>
      </c>
      <c r="F29" s="7">
        <v>729090</v>
      </c>
      <c r="G29" s="7">
        <v>100760</v>
      </c>
      <c r="H29">
        <v>0</v>
      </c>
      <c r="I29" s="7">
        <v>-58160</v>
      </c>
      <c r="L29" s="7">
        <v>165430</v>
      </c>
      <c r="O29" s="7">
        <v>223590</v>
      </c>
    </row>
    <row r="30" spans="1:15" x14ac:dyDescent="0.2">
      <c r="A30" t="s">
        <v>91</v>
      </c>
      <c r="B30" s="7">
        <v>3618650</v>
      </c>
      <c r="C30" s="7">
        <v>2585510</v>
      </c>
      <c r="D30" s="7">
        <v>431670</v>
      </c>
      <c r="E30" s="7">
        <v>934590</v>
      </c>
      <c r="F30" s="7">
        <v>884530</v>
      </c>
      <c r="G30" s="7">
        <v>50060</v>
      </c>
      <c r="H30">
        <v>0</v>
      </c>
      <c r="I30" s="7">
        <v>-49780</v>
      </c>
      <c r="L30" s="7">
        <v>202810</v>
      </c>
      <c r="O30" s="7">
        <v>252590</v>
      </c>
    </row>
    <row r="31" spans="1:15" x14ac:dyDescent="0.2">
      <c r="A31" t="s">
        <v>92</v>
      </c>
      <c r="B31" s="7">
        <v>4293630</v>
      </c>
      <c r="C31" s="7">
        <v>3010670</v>
      </c>
      <c r="D31" s="7">
        <v>498250</v>
      </c>
      <c r="E31" s="7">
        <v>1128480</v>
      </c>
      <c r="F31" s="7">
        <v>1012090</v>
      </c>
      <c r="G31" s="7">
        <v>116390</v>
      </c>
      <c r="H31">
        <v>0</v>
      </c>
      <c r="I31" s="7">
        <v>-60970</v>
      </c>
      <c r="L31" s="7">
        <v>259130</v>
      </c>
      <c r="O31" s="7">
        <v>320100</v>
      </c>
    </row>
    <row r="32" spans="1:15" x14ac:dyDescent="0.2">
      <c r="A32" t="s">
        <v>93</v>
      </c>
      <c r="B32" s="7">
        <v>4932780</v>
      </c>
      <c r="C32" s="7">
        <v>3362740</v>
      </c>
      <c r="D32" s="7">
        <v>570410</v>
      </c>
      <c r="E32" s="7">
        <v>1324990</v>
      </c>
      <c r="F32" s="7">
        <v>1212320</v>
      </c>
      <c r="G32" s="7">
        <v>112680</v>
      </c>
      <c r="H32">
        <v>0</v>
      </c>
      <c r="I32" s="7">
        <v>-56030</v>
      </c>
      <c r="L32" s="7">
        <v>346090</v>
      </c>
      <c r="O32" s="7">
        <v>402120</v>
      </c>
    </row>
    <row r="33" spans="1:18" x14ac:dyDescent="0.2">
      <c r="A33" t="s">
        <v>94</v>
      </c>
      <c r="B33" s="7">
        <v>5761090</v>
      </c>
      <c r="C33" s="7">
        <v>3864260</v>
      </c>
      <c r="D33" s="7">
        <v>650170</v>
      </c>
      <c r="E33" s="7">
        <v>1574860</v>
      </c>
      <c r="F33" s="7">
        <v>1502620</v>
      </c>
      <c r="G33" s="7">
        <v>72250</v>
      </c>
      <c r="H33">
        <v>0</v>
      </c>
      <c r="I33" s="7">
        <v>-80630</v>
      </c>
      <c r="L33" s="7">
        <v>406350</v>
      </c>
      <c r="O33" s="7">
        <v>486980</v>
      </c>
    </row>
    <row r="34" spans="1:18" x14ac:dyDescent="0.2">
      <c r="A34" t="s">
        <v>95</v>
      </c>
      <c r="B34" s="7">
        <v>6622600</v>
      </c>
      <c r="C34" s="7">
        <v>4438340</v>
      </c>
      <c r="D34" s="7">
        <v>733700</v>
      </c>
      <c r="E34" s="7">
        <v>1664960</v>
      </c>
      <c r="F34" s="7">
        <v>1628120</v>
      </c>
      <c r="G34" s="7">
        <v>36830</v>
      </c>
      <c r="H34">
        <v>0</v>
      </c>
      <c r="I34">
        <v>50</v>
      </c>
      <c r="L34" s="7">
        <v>562540</v>
      </c>
      <c r="O34" s="7">
        <v>562490</v>
      </c>
    </row>
    <row r="35" spans="1:18" x14ac:dyDescent="0.2">
      <c r="A35" t="s">
        <v>96</v>
      </c>
      <c r="B35" s="7">
        <v>7611960</v>
      </c>
      <c r="C35" s="7">
        <v>5004430</v>
      </c>
      <c r="D35" s="7">
        <v>830850</v>
      </c>
      <c r="E35" s="7">
        <v>2088740</v>
      </c>
      <c r="F35" s="7">
        <v>1909800</v>
      </c>
      <c r="G35" s="7">
        <v>178930</v>
      </c>
      <c r="H35">
        <v>0</v>
      </c>
      <c r="I35" s="7">
        <v>-56880</v>
      </c>
      <c r="L35" s="7">
        <v>673120</v>
      </c>
      <c r="O35" s="7">
        <v>730000</v>
      </c>
    </row>
    <row r="36" spans="1:18" x14ac:dyDescent="0.2">
      <c r="A36" t="s">
        <v>97</v>
      </c>
      <c r="B36" s="7">
        <v>8759920</v>
      </c>
      <c r="C36" s="7">
        <v>5733510</v>
      </c>
      <c r="D36" s="7">
        <v>963830</v>
      </c>
      <c r="E36" s="7">
        <v>1989940</v>
      </c>
      <c r="F36" s="7">
        <v>2073280</v>
      </c>
      <c r="G36" s="7">
        <v>-83340</v>
      </c>
      <c r="H36">
        <v>0</v>
      </c>
      <c r="I36" s="7">
        <v>1480</v>
      </c>
      <c r="L36" s="7">
        <v>861470</v>
      </c>
      <c r="O36" s="7">
        <v>859990</v>
      </c>
    </row>
    <row r="37" spans="1:18" x14ac:dyDescent="0.2">
      <c r="A37" t="s">
        <v>98</v>
      </c>
      <c r="B37" s="7">
        <v>10275700</v>
      </c>
      <c r="C37" s="7">
        <v>6662850</v>
      </c>
      <c r="D37" s="7">
        <v>1072350</v>
      </c>
      <c r="E37" s="7">
        <v>2703550</v>
      </c>
      <c r="F37" s="7">
        <v>2400290</v>
      </c>
      <c r="G37" s="7">
        <v>303260</v>
      </c>
      <c r="H37">
        <v>0</v>
      </c>
      <c r="I37" s="7">
        <v>-31030</v>
      </c>
      <c r="L37" s="7">
        <v>1016070</v>
      </c>
      <c r="O37" s="7">
        <v>1047100</v>
      </c>
    </row>
    <row r="38" spans="1:18" x14ac:dyDescent="0.2">
      <c r="A38" t="s">
        <v>99</v>
      </c>
      <c r="B38" s="7">
        <v>12055830</v>
      </c>
      <c r="C38" s="7">
        <v>7679620</v>
      </c>
      <c r="D38" s="7">
        <v>1270720</v>
      </c>
      <c r="E38" s="7">
        <v>3514560</v>
      </c>
      <c r="F38" s="7">
        <v>3030460</v>
      </c>
      <c r="G38" s="7">
        <v>484090</v>
      </c>
      <c r="H38">
        <v>0</v>
      </c>
      <c r="I38" s="7">
        <v>-142200</v>
      </c>
      <c r="L38" s="7">
        <v>1307330</v>
      </c>
      <c r="O38" s="7">
        <v>1449530</v>
      </c>
    </row>
    <row r="39" spans="1:18" x14ac:dyDescent="0.2">
      <c r="A39" t="s">
        <v>100</v>
      </c>
      <c r="B39" s="7">
        <v>13948160</v>
      </c>
      <c r="C39" s="7">
        <v>9004260</v>
      </c>
      <c r="D39" s="7">
        <v>1440970</v>
      </c>
      <c r="E39" s="7">
        <v>3174500</v>
      </c>
      <c r="F39" s="7">
        <v>3420760</v>
      </c>
      <c r="G39" s="7">
        <v>-246260</v>
      </c>
      <c r="H39">
        <v>0</v>
      </c>
      <c r="I39" s="7">
        <v>-161680</v>
      </c>
      <c r="L39" s="7">
        <v>1448540</v>
      </c>
      <c r="O39" s="7">
        <v>1610220</v>
      </c>
    </row>
    <row r="40" spans="1:18" x14ac:dyDescent="0.2">
      <c r="A40" t="s">
        <v>101</v>
      </c>
      <c r="B40" s="7">
        <v>15452940</v>
      </c>
      <c r="C40" s="7">
        <v>9876260</v>
      </c>
      <c r="D40" s="7">
        <v>1704260</v>
      </c>
      <c r="E40" s="7">
        <v>3970280</v>
      </c>
      <c r="F40" s="7">
        <v>3917330</v>
      </c>
      <c r="G40" s="7">
        <v>52950</v>
      </c>
      <c r="H40">
        <v>0</v>
      </c>
      <c r="I40" s="7">
        <v>-191300</v>
      </c>
      <c r="L40" s="7">
        <v>1652030</v>
      </c>
      <c r="O40" s="7">
        <v>1843330</v>
      </c>
    </row>
    <row r="41" spans="1:18" x14ac:dyDescent="0.2">
      <c r="A41" t="s">
        <v>102</v>
      </c>
      <c r="B41" s="7">
        <v>17722970</v>
      </c>
      <c r="C41" s="7">
        <v>11308800</v>
      </c>
      <c r="D41" s="7">
        <v>2110790</v>
      </c>
      <c r="E41" s="7">
        <v>4426380</v>
      </c>
      <c r="F41" s="7">
        <v>4512050</v>
      </c>
      <c r="G41" s="7">
        <v>-85670</v>
      </c>
      <c r="H41">
        <v>0</v>
      </c>
      <c r="I41" s="7">
        <v>-294650</v>
      </c>
      <c r="L41" s="7">
        <v>1952800</v>
      </c>
      <c r="O41" s="7">
        <v>2247450</v>
      </c>
    </row>
    <row r="42" spans="1:18" x14ac:dyDescent="0.2">
      <c r="A42" t="s">
        <v>103</v>
      </c>
      <c r="B42" s="7">
        <v>19882620</v>
      </c>
      <c r="C42" s="7">
        <v>12726760</v>
      </c>
      <c r="D42" s="7">
        <v>2420810</v>
      </c>
      <c r="E42" s="7">
        <v>6155280</v>
      </c>
      <c r="F42" s="7">
        <v>5474700</v>
      </c>
      <c r="G42" s="7">
        <v>521390</v>
      </c>
      <c r="H42" s="7">
        <v>159190</v>
      </c>
      <c r="I42" s="7">
        <v>-380050</v>
      </c>
      <c r="L42" s="7">
        <v>2276970</v>
      </c>
      <c r="O42" s="7">
        <v>2657020</v>
      </c>
    </row>
    <row r="43" spans="1:18" x14ac:dyDescent="0.2">
      <c r="A43" t="s">
        <v>104</v>
      </c>
      <c r="B43" s="7">
        <v>21398860</v>
      </c>
      <c r="C43" s="7">
        <v>13639410</v>
      </c>
      <c r="D43" s="7">
        <v>2556700</v>
      </c>
      <c r="E43" s="7">
        <v>5494650</v>
      </c>
      <c r="F43" s="7">
        <v>5568360</v>
      </c>
      <c r="G43" s="7">
        <v>-224750</v>
      </c>
      <c r="H43" s="7">
        <v>151040</v>
      </c>
      <c r="I43" s="7">
        <v>-193970</v>
      </c>
      <c r="L43" s="7">
        <v>2781260</v>
      </c>
      <c r="O43" s="7">
        <v>2975230</v>
      </c>
    </row>
    <row r="44" spans="1:18" x14ac:dyDescent="0.2">
      <c r="A44" t="s">
        <v>105</v>
      </c>
      <c r="B44" s="7">
        <v>23152430</v>
      </c>
      <c r="C44" s="7">
        <v>14851560</v>
      </c>
      <c r="D44" s="7">
        <v>2723060</v>
      </c>
      <c r="E44" s="7">
        <v>6924400</v>
      </c>
      <c r="F44" s="7">
        <v>6930060</v>
      </c>
      <c r="G44" s="7">
        <v>-151180</v>
      </c>
      <c r="H44" s="7">
        <v>145530</v>
      </c>
      <c r="I44" s="7">
        <v>-202930</v>
      </c>
      <c r="L44" s="7">
        <v>2907570</v>
      </c>
      <c r="O44" s="7">
        <v>3110500</v>
      </c>
    </row>
    <row r="45" spans="1:18" x14ac:dyDescent="0.2">
      <c r="A45" t="s">
        <v>106</v>
      </c>
      <c r="B45" s="7">
        <v>24926140</v>
      </c>
      <c r="C45" s="7">
        <v>15710860</v>
      </c>
      <c r="D45" s="7">
        <v>2820170</v>
      </c>
      <c r="E45" s="7">
        <v>7540480</v>
      </c>
      <c r="F45" s="7">
        <v>7062200</v>
      </c>
      <c r="G45" s="7">
        <v>335110</v>
      </c>
      <c r="H45" s="7">
        <v>143170</v>
      </c>
      <c r="I45" s="7">
        <v>-244250</v>
      </c>
      <c r="L45" s="7">
        <v>3555560</v>
      </c>
      <c r="O45" s="7">
        <v>3799810</v>
      </c>
    </row>
    <row r="46" spans="1:18" x14ac:dyDescent="0.2">
      <c r="A46" t="s">
        <v>107</v>
      </c>
      <c r="B46" s="7">
        <v>27925300</v>
      </c>
      <c r="C46" s="7">
        <v>17175110</v>
      </c>
      <c r="D46" s="7">
        <v>3037210</v>
      </c>
      <c r="E46" s="7">
        <v>8612080</v>
      </c>
      <c r="F46" s="7">
        <v>7912590</v>
      </c>
      <c r="G46" s="7">
        <v>447440</v>
      </c>
      <c r="H46" s="7">
        <v>252060</v>
      </c>
      <c r="I46" s="7">
        <v>-194530</v>
      </c>
      <c r="L46" s="7">
        <v>4174250</v>
      </c>
      <c r="O46" s="7">
        <v>4368780</v>
      </c>
    </row>
    <row r="47" spans="1:18" x14ac:dyDescent="0.2">
      <c r="A47" t="s">
        <v>108</v>
      </c>
      <c r="B47" s="7">
        <v>31863320</v>
      </c>
      <c r="C47" s="7">
        <v>18592740</v>
      </c>
      <c r="D47" s="7">
        <v>3315280</v>
      </c>
      <c r="E47" s="7">
        <v>11182910</v>
      </c>
      <c r="F47" s="7">
        <v>9784630</v>
      </c>
      <c r="G47" s="7">
        <v>977150</v>
      </c>
      <c r="H47" s="7">
        <v>421120</v>
      </c>
      <c r="I47" s="7">
        <v>-568940</v>
      </c>
      <c r="J47" s="7">
        <v>-1257250</v>
      </c>
      <c r="K47" s="7">
        <v>688310</v>
      </c>
      <c r="L47" s="7">
        <v>5690510</v>
      </c>
      <c r="M47" s="7">
        <v>3753400</v>
      </c>
      <c r="N47" s="7">
        <v>1937110</v>
      </c>
      <c r="O47" s="7">
        <v>6259450</v>
      </c>
      <c r="P47" s="7">
        <v>5010650</v>
      </c>
      <c r="Q47" s="7">
        <v>1248800</v>
      </c>
      <c r="R47" s="7">
        <v>-658670</v>
      </c>
    </row>
    <row r="48" spans="1:18" x14ac:dyDescent="0.2">
      <c r="A48" t="s">
        <v>109</v>
      </c>
      <c r="B48" s="7">
        <v>36321250</v>
      </c>
      <c r="C48" s="7">
        <v>20840670</v>
      </c>
      <c r="D48" s="7">
        <v>3765110</v>
      </c>
      <c r="E48" s="7">
        <v>13594410</v>
      </c>
      <c r="F48" s="7">
        <v>11897150</v>
      </c>
      <c r="G48" s="7">
        <v>1272670</v>
      </c>
      <c r="H48" s="7">
        <v>424590</v>
      </c>
      <c r="I48" s="7">
        <v>-1013790</v>
      </c>
      <c r="J48" s="7">
        <v>-2039910</v>
      </c>
      <c r="K48" s="7">
        <v>1026120</v>
      </c>
      <c r="L48" s="7">
        <v>7120870</v>
      </c>
      <c r="M48" s="7">
        <v>4564180</v>
      </c>
      <c r="N48" s="7">
        <v>2556690</v>
      </c>
      <c r="O48" s="7">
        <v>8134660</v>
      </c>
      <c r="P48" s="7">
        <v>6604090</v>
      </c>
      <c r="Q48" s="7">
        <v>1530570</v>
      </c>
      <c r="R48" s="7">
        <v>-865160</v>
      </c>
    </row>
    <row r="49" spans="1:18" x14ac:dyDescent="0.2">
      <c r="A49" t="s">
        <v>110</v>
      </c>
      <c r="B49" s="7">
        <v>42546290</v>
      </c>
      <c r="C49" s="7">
        <v>23872700</v>
      </c>
      <c r="D49" s="7">
        <v>4170590</v>
      </c>
      <c r="E49" s="7">
        <v>16592420</v>
      </c>
      <c r="F49" s="7">
        <v>14289130</v>
      </c>
      <c r="G49" s="7">
        <v>1793390</v>
      </c>
      <c r="H49" s="7">
        <v>509900</v>
      </c>
      <c r="I49" s="7">
        <v>-1356630</v>
      </c>
      <c r="J49" s="7">
        <v>-2687270</v>
      </c>
      <c r="K49" s="7">
        <v>1330640</v>
      </c>
      <c r="L49" s="7">
        <v>9048720</v>
      </c>
      <c r="M49" s="7">
        <v>5717790</v>
      </c>
      <c r="N49" s="7">
        <v>3330930</v>
      </c>
      <c r="O49" s="7">
        <v>10405350</v>
      </c>
      <c r="P49" s="7">
        <v>8405060</v>
      </c>
      <c r="Q49" s="7">
        <v>2000290</v>
      </c>
      <c r="R49" s="7">
        <v>-732790</v>
      </c>
    </row>
    <row r="50" spans="1:18" x14ac:dyDescent="0.2">
      <c r="A50" t="s">
        <v>111</v>
      </c>
      <c r="B50" s="7">
        <v>48986620</v>
      </c>
      <c r="C50" s="7">
        <v>27315190</v>
      </c>
      <c r="D50" s="7">
        <v>4831120</v>
      </c>
      <c r="E50" s="7">
        <v>20550280</v>
      </c>
      <c r="F50" s="7">
        <v>17543520</v>
      </c>
      <c r="G50" s="7">
        <v>2457030</v>
      </c>
      <c r="H50" s="7">
        <v>549730</v>
      </c>
      <c r="I50" s="7">
        <v>-2002020</v>
      </c>
      <c r="J50" s="7">
        <v>-3564480</v>
      </c>
      <c r="K50" s="7">
        <v>1562460</v>
      </c>
      <c r="L50" s="7">
        <v>10189070</v>
      </c>
      <c r="M50" s="7">
        <v>6558640</v>
      </c>
      <c r="N50" s="7">
        <v>3630430</v>
      </c>
      <c r="O50" s="7">
        <v>12191090</v>
      </c>
      <c r="P50" s="7">
        <v>10123120</v>
      </c>
      <c r="Q50" s="7">
        <v>2067970</v>
      </c>
      <c r="R50" s="7">
        <v>-1707950</v>
      </c>
    </row>
    <row r="51" spans="1:18" x14ac:dyDescent="0.2">
      <c r="A51" t="s">
        <v>112</v>
      </c>
      <c r="B51" s="7">
        <v>55141520</v>
      </c>
      <c r="C51" s="7">
        <v>31252460</v>
      </c>
      <c r="D51" s="7">
        <v>5811080</v>
      </c>
      <c r="E51" s="7">
        <v>21186710</v>
      </c>
      <c r="F51" s="7">
        <v>19144010</v>
      </c>
      <c r="G51" s="7">
        <v>1301950</v>
      </c>
      <c r="H51" s="7">
        <v>740750</v>
      </c>
      <c r="I51" s="7">
        <v>-2852750</v>
      </c>
      <c r="J51" s="7">
        <v>-5336810</v>
      </c>
      <c r="K51" s="7">
        <v>2484060</v>
      </c>
      <c r="L51" s="7">
        <v>13287650</v>
      </c>
      <c r="M51" s="7">
        <v>8407550</v>
      </c>
      <c r="N51" s="7">
        <v>4880100</v>
      </c>
      <c r="O51" s="7">
        <v>16140400</v>
      </c>
      <c r="P51" s="7">
        <v>13744360</v>
      </c>
      <c r="Q51" s="7">
        <v>2396040</v>
      </c>
      <c r="R51" s="7">
        <v>-255970</v>
      </c>
    </row>
    <row r="52" spans="1:18" x14ac:dyDescent="0.2">
      <c r="A52" t="s">
        <v>113</v>
      </c>
      <c r="B52" s="7">
        <v>63664070</v>
      </c>
      <c r="C52" s="7">
        <v>35626340</v>
      </c>
      <c r="D52" s="7">
        <v>7295690</v>
      </c>
      <c r="E52" s="7">
        <v>24992470</v>
      </c>
      <c r="F52" s="7">
        <v>21614990</v>
      </c>
      <c r="G52" s="7">
        <v>2184380</v>
      </c>
      <c r="H52" s="7">
        <v>1193110</v>
      </c>
      <c r="I52" s="7">
        <v>-3483590</v>
      </c>
      <c r="J52" s="7">
        <v>-5182020</v>
      </c>
      <c r="K52" s="7">
        <v>1698430</v>
      </c>
      <c r="L52" s="7">
        <v>12987800</v>
      </c>
      <c r="M52" s="7">
        <v>8455340</v>
      </c>
      <c r="N52" s="7">
        <v>4532460</v>
      </c>
      <c r="O52" s="7">
        <v>16471390</v>
      </c>
      <c r="P52" s="7">
        <v>13637360</v>
      </c>
      <c r="Q52" s="7">
        <v>2834030</v>
      </c>
      <c r="R52" s="7">
        <v>-766840</v>
      </c>
    </row>
    <row r="53" spans="1:18" x14ac:dyDescent="0.2">
      <c r="A53" t="s">
        <v>114</v>
      </c>
      <c r="B53" s="7">
        <v>76344720</v>
      </c>
      <c r="C53" s="7">
        <v>41779540</v>
      </c>
      <c r="D53" s="7">
        <v>8403730</v>
      </c>
      <c r="E53" s="7">
        <v>30374220</v>
      </c>
      <c r="F53" s="7">
        <v>25369360</v>
      </c>
      <c r="G53" s="7">
        <v>3334510</v>
      </c>
      <c r="H53" s="7">
        <v>1670350</v>
      </c>
      <c r="I53" s="7">
        <v>-3399890</v>
      </c>
      <c r="J53" s="7">
        <v>-5405500</v>
      </c>
      <c r="K53" s="7">
        <v>2005610</v>
      </c>
      <c r="L53" s="7">
        <v>17101930</v>
      </c>
      <c r="M53" s="7">
        <v>11429200</v>
      </c>
      <c r="N53" s="7">
        <v>5672730</v>
      </c>
      <c r="O53" s="7">
        <v>20501820</v>
      </c>
      <c r="P53" s="7">
        <v>16834700</v>
      </c>
      <c r="Q53" s="7">
        <v>3667120</v>
      </c>
      <c r="R53" s="7">
        <v>-812880</v>
      </c>
    </row>
    <row r="54" spans="1:18" x14ac:dyDescent="0.2">
      <c r="A54" t="s">
        <v>115</v>
      </c>
      <c r="B54" s="7">
        <v>87363287.099999994</v>
      </c>
      <c r="C54" s="7">
        <v>49104473.799999997</v>
      </c>
      <c r="D54" s="7">
        <v>9683750</v>
      </c>
      <c r="E54" s="7">
        <v>34587493.5</v>
      </c>
      <c r="F54" s="7">
        <v>29977328.300000001</v>
      </c>
      <c r="G54" s="7">
        <v>2079831.9</v>
      </c>
      <c r="H54" s="7">
        <v>2530333.2999999998</v>
      </c>
      <c r="I54" s="7">
        <v>-5716230</v>
      </c>
      <c r="J54" s="7">
        <v>-8792300</v>
      </c>
      <c r="K54" s="7">
        <v>3076070</v>
      </c>
      <c r="L54" s="7">
        <v>21439310</v>
      </c>
      <c r="M54" s="7">
        <v>14662330</v>
      </c>
      <c r="N54" s="7">
        <v>6776980</v>
      </c>
      <c r="O54" s="7">
        <v>27155540</v>
      </c>
      <c r="P54" s="7">
        <v>23454630</v>
      </c>
      <c r="Q54" s="7">
        <v>3700910</v>
      </c>
      <c r="R54" s="7">
        <v>-296200.2</v>
      </c>
    </row>
    <row r="55" spans="1:18" x14ac:dyDescent="0.2">
      <c r="A55" t="s">
        <v>116</v>
      </c>
      <c r="B55" s="7">
        <v>99440131</v>
      </c>
      <c r="C55" s="7">
        <v>56144846.399999999</v>
      </c>
      <c r="D55" s="7">
        <v>10624040</v>
      </c>
      <c r="E55" s="7">
        <v>38132720.299999997</v>
      </c>
      <c r="F55" s="7">
        <v>33249731.300000001</v>
      </c>
      <c r="G55" s="7">
        <v>2145243.7999999998</v>
      </c>
      <c r="H55" s="7">
        <v>2737745.2</v>
      </c>
      <c r="I55" s="7">
        <v>-6687210</v>
      </c>
      <c r="J55" s="7">
        <v>-10219390</v>
      </c>
      <c r="K55" s="7">
        <v>3532180</v>
      </c>
      <c r="L55" s="7">
        <v>24397070</v>
      </c>
      <c r="M55" s="7">
        <v>16472210</v>
      </c>
      <c r="N55" s="7">
        <v>7924860</v>
      </c>
      <c r="O55" s="7">
        <v>31084280</v>
      </c>
      <c r="P55" s="7">
        <v>26691600</v>
      </c>
      <c r="Q55" s="7">
        <v>4392680</v>
      </c>
      <c r="R55" s="7">
        <v>1225733.6000000001</v>
      </c>
    </row>
    <row r="56" spans="1:18" x14ac:dyDescent="0.2">
      <c r="A56" t="s">
        <v>117</v>
      </c>
      <c r="B56" s="7">
        <v>112335216.09999999</v>
      </c>
      <c r="C56" s="7">
        <v>64756495.899999999</v>
      </c>
      <c r="D56" s="7">
        <v>11565090</v>
      </c>
      <c r="E56" s="7">
        <v>38220037.600000001</v>
      </c>
      <c r="F56" s="7">
        <v>35156210.200000003</v>
      </c>
      <c r="G56" s="7">
        <v>1446213.1</v>
      </c>
      <c r="H56" s="7">
        <v>1617614.3</v>
      </c>
      <c r="I56" s="7">
        <v>-3350296</v>
      </c>
      <c r="J56" s="7">
        <v>-7778990</v>
      </c>
      <c r="K56" s="7">
        <v>4428690</v>
      </c>
      <c r="L56" s="7">
        <v>28567813</v>
      </c>
      <c r="M56" s="7">
        <v>19375310</v>
      </c>
      <c r="N56" s="7">
        <v>9192500</v>
      </c>
      <c r="O56" s="7">
        <v>31918109</v>
      </c>
      <c r="P56" s="7">
        <v>27154300</v>
      </c>
      <c r="Q56" s="7">
        <v>4763810</v>
      </c>
      <c r="R56" s="7">
        <v>1143888.2</v>
      </c>
    </row>
    <row r="57" spans="1:18" x14ac:dyDescent="0.2">
      <c r="A57" t="s">
        <v>118</v>
      </c>
      <c r="B57" s="7">
        <v>124679592.90000001</v>
      </c>
      <c r="C57" s="7">
        <v>72473401.099999994</v>
      </c>
      <c r="D57" s="7">
        <v>13017620</v>
      </c>
      <c r="E57" s="7">
        <v>42724960.600000001</v>
      </c>
      <c r="F57" s="7">
        <v>37503917.100000001</v>
      </c>
      <c r="G57" s="7">
        <v>3126976.7</v>
      </c>
      <c r="H57" s="7">
        <v>2094066.8</v>
      </c>
      <c r="I57" s="7">
        <v>-3723256.5</v>
      </c>
      <c r="J57" s="7">
        <v>-8406420</v>
      </c>
      <c r="K57" s="7">
        <v>4683160</v>
      </c>
      <c r="L57" s="7">
        <v>28636362.800000001</v>
      </c>
      <c r="M57" s="7">
        <v>18964450</v>
      </c>
      <c r="N57" s="7">
        <v>9671910</v>
      </c>
      <c r="O57" s="7">
        <v>32359619.300000001</v>
      </c>
      <c r="P57" s="7">
        <v>27370870</v>
      </c>
      <c r="Q57" s="7">
        <v>4988750</v>
      </c>
      <c r="R57" s="7">
        <v>186870</v>
      </c>
    </row>
    <row r="58" spans="1:18" x14ac:dyDescent="0.2">
      <c r="A58" t="s">
        <v>119</v>
      </c>
      <c r="B58" s="7">
        <v>137718738.80000001</v>
      </c>
      <c r="C58" s="7">
        <v>81264083.299999997</v>
      </c>
      <c r="D58" s="7">
        <v>14361710</v>
      </c>
      <c r="E58" s="7">
        <v>44230755.700000003</v>
      </c>
      <c r="F58" s="7">
        <v>39570923.700000003</v>
      </c>
      <c r="G58" s="7">
        <v>2624772.2999999998</v>
      </c>
      <c r="H58" s="7">
        <v>2035059.7</v>
      </c>
      <c r="I58" s="7">
        <v>-3162759.8</v>
      </c>
      <c r="J58" s="7">
        <v>-7721040</v>
      </c>
      <c r="K58" s="7">
        <v>4558290</v>
      </c>
      <c r="L58" s="7">
        <v>27286474.199999999</v>
      </c>
      <c r="M58" s="7">
        <v>17182020</v>
      </c>
      <c r="N58" s="7">
        <v>10104460</v>
      </c>
      <c r="O58" s="7">
        <v>30449234</v>
      </c>
      <c r="P58" s="7">
        <v>24903060</v>
      </c>
      <c r="Q58" s="7">
        <v>5546170</v>
      </c>
      <c r="R58" s="7">
        <v>1024949.2</v>
      </c>
    </row>
    <row r="59" spans="1:18" x14ac:dyDescent="0.2">
      <c r="A59" t="s">
        <v>120</v>
      </c>
      <c r="B59" s="7">
        <v>153916690.09999999</v>
      </c>
      <c r="C59" s="7">
        <v>91265334.299999997</v>
      </c>
      <c r="D59" s="7">
        <v>15866580</v>
      </c>
      <c r="E59" s="7">
        <v>46440808.399999999</v>
      </c>
      <c r="F59" s="7">
        <v>43386712.299999997</v>
      </c>
      <c r="G59" s="7">
        <v>1380832.9</v>
      </c>
      <c r="H59" s="7">
        <v>1673263.2</v>
      </c>
      <c r="I59" s="7">
        <v>-2718193.2</v>
      </c>
      <c r="J59" s="7">
        <v>-7302690</v>
      </c>
      <c r="K59" s="7">
        <v>4584500</v>
      </c>
      <c r="L59" s="7">
        <v>29487721.100000001</v>
      </c>
      <c r="M59" s="7">
        <v>18474060</v>
      </c>
      <c r="N59" s="7">
        <v>11013660</v>
      </c>
      <c r="O59" s="7">
        <v>32205914.300000001</v>
      </c>
      <c r="P59" s="7">
        <v>25776750</v>
      </c>
      <c r="Q59" s="7">
        <v>6429160</v>
      </c>
      <c r="R59" s="7">
        <v>3062164.7</v>
      </c>
    </row>
    <row r="60" spans="1:18" x14ac:dyDescent="0.2">
      <c r="A60" t="s">
        <v>121</v>
      </c>
      <c r="B60" s="7">
        <v>170900423.59999999</v>
      </c>
      <c r="C60" s="7">
        <v>100361529.59999999</v>
      </c>
      <c r="D60" s="7">
        <v>18401190</v>
      </c>
      <c r="E60" s="7">
        <v>52948669.600000001</v>
      </c>
      <c r="F60" s="7">
        <v>48156007.799999997</v>
      </c>
      <c r="G60" s="7">
        <v>2375808</v>
      </c>
      <c r="H60" s="7">
        <v>2416853.7999999998</v>
      </c>
      <c r="I60" s="7">
        <v>-5398688.5</v>
      </c>
      <c r="J60" s="7">
        <v>-10398370</v>
      </c>
      <c r="K60" s="7">
        <v>4999690</v>
      </c>
      <c r="L60" s="7">
        <v>32115205.699999999</v>
      </c>
      <c r="M60" s="7">
        <v>19540490</v>
      </c>
      <c r="N60" s="7">
        <v>12574720</v>
      </c>
      <c r="O60" s="7">
        <v>37513894.200000003</v>
      </c>
      <c r="P60" s="7">
        <v>29938860</v>
      </c>
      <c r="Q60" s="7">
        <v>7575030</v>
      </c>
      <c r="R60" s="7">
        <v>4587724.3</v>
      </c>
    </row>
    <row r="61" spans="1:18" x14ac:dyDescent="0.2">
      <c r="A61" t="s">
        <v>122</v>
      </c>
      <c r="B61" s="7">
        <v>188996684.40000001</v>
      </c>
      <c r="C61" s="7">
        <v>112052964.40000001</v>
      </c>
      <c r="D61" s="7">
        <v>20455520</v>
      </c>
      <c r="E61" s="7">
        <v>61127610</v>
      </c>
      <c r="F61" s="7">
        <v>55684221.899999999</v>
      </c>
      <c r="G61" s="7">
        <v>3182344.8</v>
      </c>
      <c r="H61" s="7">
        <v>2261043.2999999998</v>
      </c>
      <c r="I61" s="7">
        <v>-7108755.2999999998</v>
      </c>
      <c r="J61" s="7">
        <v>-12846590</v>
      </c>
      <c r="K61" s="7">
        <v>5737830</v>
      </c>
      <c r="L61" s="7">
        <v>37662935.299999997</v>
      </c>
      <c r="M61" s="7">
        <v>23100160</v>
      </c>
      <c r="N61" s="7">
        <v>14562770</v>
      </c>
      <c r="O61" s="7">
        <v>44771690.600000001</v>
      </c>
      <c r="P61" s="7">
        <v>35946750</v>
      </c>
      <c r="Q61" s="7">
        <v>8824940</v>
      </c>
      <c r="R61" s="7">
        <v>2469341.1</v>
      </c>
    </row>
    <row r="62" spans="1:18" x14ac:dyDescent="0.2">
      <c r="A62" t="s">
        <v>123</v>
      </c>
      <c r="B62" s="7">
        <v>200748557.90000001</v>
      </c>
      <c r="C62" s="7">
        <v>122371108.5</v>
      </c>
      <c r="D62" s="7">
        <v>22008710</v>
      </c>
      <c r="E62" s="7">
        <v>60668256.5</v>
      </c>
      <c r="F62" s="7">
        <v>57376450.600000001</v>
      </c>
      <c r="G62" s="7">
        <v>1344721.5</v>
      </c>
      <c r="H62" s="7">
        <v>1947084.4</v>
      </c>
      <c r="I62" s="7">
        <v>-5180442.0999999996</v>
      </c>
      <c r="J62" s="7">
        <v>-11204250</v>
      </c>
      <c r="K62" s="7">
        <v>6023810</v>
      </c>
      <c r="L62" s="7">
        <v>37521878.200000003</v>
      </c>
      <c r="M62" s="7">
        <v>22405290</v>
      </c>
      <c r="N62" s="7">
        <v>15116590</v>
      </c>
      <c r="O62" s="7">
        <v>42702320.299999997</v>
      </c>
      <c r="P62" s="7">
        <v>33609540</v>
      </c>
      <c r="Q62" s="7">
        <v>9092780</v>
      </c>
      <c r="R62" s="7">
        <v>880920.4</v>
      </c>
    </row>
    <row r="63" spans="1:18" x14ac:dyDescent="0.2">
      <c r="A63" t="s">
        <v>8</v>
      </c>
      <c r="B63" s="7">
        <v>198009138.19999999</v>
      </c>
      <c r="C63" s="7">
        <v>120327620</v>
      </c>
      <c r="D63" s="7">
        <v>23932900</v>
      </c>
      <c r="E63" s="7">
        <v>55237236.5</v>
      </c>
      <c r="F63" s="7">
        <v>52640733.700000003</v>
      </c>
      <c r="G63" s="7">
        <v>-117639.5</v>
      </c>
      <c r="H63" s="7">
        <v>2714142.3</v>
      </c>
      <c r="I63" s="7">
        <v>-767396.7</v>
      </c>
      <c r="J63" s="7">
        <v>-7336400</v>
      </c>
      <c r="K63" s="7">
        <v>6569000</v>
      </c>
      <c r="L63" s="7">
        <v>37045329.100000001</v>
      </c>
      <c r="M63" s="7">
        <v>21762970</v>
      </c>
      <c r="N63" s="7">
        <v>15282360</v>
      </c>
      <c r="O63" s="7">
        <v>37812725.799999997</v>
      </c>
      <c r="P63" s="7">
        <v>29099370</v>
      </c>
      <c r="Q63" s="7">
        <v>8713360</v>
      </c>
      <c r="R63" s="7">
        <v>-721225.1</v>
      </c>
    </row>
    <row r="64" spans="1:18" x14ac:dyDescent="0.2">
      <c r="A64" t="s">
        <v>9</v>
      </c>
      <c r="B64" s="7">
        <v>236646369.90000001</v>
      </c>
      <c r="C64" s="7">
        <v>140954050</v>
      </c>
      <c r="D64" s="7">
        <v>26338670</v>
      </c>
      <c r="E64" s="7">
        <v>73796460</v>
      </c>
      <c r="F64" s="7">
        <v>67597901.400000006</v>
      </c>
      <c r="G64" s="7">
        <v>2181695.9</v>
      </c>
      <c r="H64" s="7">
        <v>4016862.7</v>
      </c>
      <c r="I64" s="7">
        <v>-5900061</v>
      </c>
      <c r="L64" s="7">
        <v>50638854.399999999</v>
      </c>
      <c r="O64" s="7">
        <v>56538915.399999999</v>
      </c>
      <c r="R64" s="7">
        <v>1457252.8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8976-ADDD-F043-A5CC-06D7517E4D04}">
  <dimension ref="A1:E10"/>
  <sheetViews>
    <sheetView workbookViewId="0">
      <selection activeCell="H18" sqref="H18"/>
    </sheetView>
  </sheetViews>
  <sheetFormatPr baseColWidth="10" defaultRowHeight="16" x14ac:dyDescent="0.2"/>
  <cols>
    <col min="2" max="2" width="14.83203125" bestFit="1" customWidth="1"/>
    <col min="3" max="3" width="14.83203125" style="10" customWidth="1"/>
    <col min="4" max="4" width="15" bestFit="1" customWidth="1"/>
    <col min="5" max="5" width="14.1640625" bestFit="1" customWidth="1"/>
  </cols>
  <sheetData>
    <row r="1" spans="1:5" x14ac:dyDescent="0.2">
      <c r="A1" s="48" t="s">
        <v>136</v>
      </c>
      <c r="B1" s="8" t="s">
        <v>132</v>
      </c>
      <c r="C1" s="9">
        <f>E1</f>
        <v>120327620</v>
      </c>
      <c r="D1" s="8" t="s">
        <v>132</v>
      </c>
      <c r="E1" s="7">
        <v>120327620</v>
      </c>
    </row>
    <row r="2" spans="1:5" x14ac:dyDescent="0.2">
      <c r="A2" s="48"/>
      <c r="B2" s="8" t="s">
        <v>131</v>
      </c>
      <c r="C2" s="9">
        <f>E2</f>
        <v>23932900</v>
      </c>
      <c r="D2" s="8" t="s">
        <v>131</v>
      </c>
      <c r="E2" s="7">
        <v>23932900</v>
      </c>
    </row>
    <row r="3" spans="1:5" x14ac:dyDescent="0.2">
      <c r="A3" s="48"/>
      <c r="B3" s="47" t="s">
        <v>133</v>
      </c>
      <c r="C3" s="49">
        <f>SUM(E3:E5)</f>
        <v>55237236.5</v>
      </c>
      <c r="D3" s="8" t="s">
        <v>124</v>
      </c>
      <c r="E3" s="7">
        <v>52640733.700000003</v>
      </c>
    </row>
    <row r="4" spans="1:5" x14ac:dyDescent="0.2">
      <c r="A4" s="48"/>
      <c r="B4" s="47"/>
      <c r="C4" s="49"/>
      <c r="D4" s="8" t="s">
        <v>125</v>
      </c>
      <c r="E4" s="7">
        <v>-117639.5</v>
      </c>
    </row>
    <row r="5" spans="1:5" x14ac:dyDescent="0.2">
      <c r="A5" s="48"/>
      <c r="B5" s="47"/>
      <c r="C5" s="49"/>
      <c r="D5" s="8" t="s">
        <v>126</v>
      </c>
      <c r="E5" s="7">
        <v>2714142.3</v>
      </c>
    </row>
    <row r="6" spans="1:5" x14ac:dyDescent="0.2">
      <c r="A6" s="48"/>
      <c r="B6" s="47" t="s">
        <v>134</v>
      </c>
      <c r="C6" s="50">
        <f>SUM(E6:E9)</f>
        <v>-767400</v>
      </c>
      <c r="D6" s="8" t="s">
        <v>127</v>
      </c>
      <c r="E6" s="7">
        <v>21762970</v>
      </c>
    </row>
    <row r="7" spans="1:5" x14ac:dyDescent="0.2">
      <c r="A7" s="48"/>
      <c r="B7" s="47"/>
      <c r="C7" s="51"/>
      <c r="D7" s="8" t="s">
        <v>128</v>
      </c>
      <c r="E7" s="7">
        <v>15282360</v>
      </c>
    </row>
    <row r="8" spans="1:5" x14ac:dyDescent="0.2">
      <c r="A8" s="48"/>
      <c r="B8" s="47"/>
      <c r="C8" s="51"/>
      <c r="D8" s="8" t="s">
        <v>129</v>
      </c>
      <c r="E8" s="7">
        <v>-29099370</v>
      </c>
    </row>
    <row r="9" spans="1:5" x14ac:dyDescent="0.2">
      <c r="A9" s="48"/>
      <c r="B9" s="47"/>
      <c r="C9" s="52"/>
      <c r="D9" s="8" t="s">
        <v>130</v>
      </c>
      <c r="E9" s="7">
        <v>-8713360</v>
      </c>
    </row>
    <row r="10" spans="1:5" x14ac:dyDescent="0.2">
      <c r="A10" s="48"/>
      <c r="B10" t="s">
        <v>135</v>
      </c>
      <c r="C10" s="10">
        <f>E10</f>
        <v>-721225.1</v>
      </c>
      <c r="D10" t="s">
        <v>135</v>
      </c>
      <c r="E10" s="7">
        <v>-721225.1</v>
      </c>
    </row>
  </sheetData>
  <mergeCells count="5">
    <mergeCell ref="B3:B5"/>
    <mergeCell ref="B6:B9"/>
    <mergeCell ref="A1:A10"/>
    <mergeCell ref="C3:C5"/>
    <mergeCell ref="C6:C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7E1-C00F-924E-9AB3-06D2F7EFB87A}">
  <dimension ref="A1:H19"/>
  <sheetViews>
    <sheetView topLeftCell="A2" workbookViewId="0">
      <selection activeCell="R31" sqref="R31"/>
    </sheetView>
  </sheetViews>
  <sheetFormatPr baseColWidth="10" defaultRowHeight="16" x14ac:dyDescent="0.2"/>
  <cols>
    <col min="3" max="3" width="15.6640625" bestFit="1" customWidth="1"/>
    <col min="4" max="4" width="12.6640625" bestFit="1" customWidth="1"/>
    <col min="5" max="5" width="17.6640625" bestFit="1" customWidth="1"/>
  </cols>
  <sheetData>
    <row r="1" spans="1:8" x14ac:dyDescent="0.2">
      <c r="A1" s="53" t="s">
        <v>0</v>
      </c>
      <c r="B1" s="53"/>
      <c r="C1" s="53"/>
      <c r="D1" s="53"/>
      <c r="E1" s="53"/>
      <c r="F1" s="53"/>
      <c r="G1" s="53"/>
      <c r="H1" s="53"/>
    </row>
    <row r="2" spans="1:8" x14ac:dyDescent="0.2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10</v>
      </c>
      <c r="H2" s="4" t="s">
        <v>6</v>
      </c>
    </row>
    <row r="3" spans="1:8" x14ac:dyDescent="0.2">
      <c r="A3" s="4" t="s">
        <v>7</v>
      </c>
      <c r="B3" s="4">
        <v>100</v>
      </c>
      <c r="C3" s="4">
        <v>45.86</v>
      </c>
      <c r="D3" s="4">
        <v>2.38</v>
      </c>
      <c r="E3" s="4">
        <v>6.53</v>
      </c>
      <c r="F3" s="4">
        <v>10.07</v>
      </c>
      <c r="G3" s="4">
        <v>6.84</v>
      </c>
      <c r="H3" s="4">
        <v>28.32</v>
      </c>
    </row>
    <row r="4" spans="1:8" x14ac:dyDescent="0.2">
      <c r="A4" s="5">
        <v>44317</v>
      </c>
      <c r="B4" s="4">
        <v>6.3</v>
      </c>
      <c r="C4" s="4">
        <v>5.2</v>
      </c>
      <c r="D4" s="4">
        <v>10</v>
      </c>
      <c r="E4" s="4">
        <v>5.3</v>
      </c>
      <c r="F4" s="4">
        <v>3.9</v>
      </c>
      <c r="G4" s="4">
        <v>11.9</v>
      </c>
      <c r="H4" s="4">
        <v>7.3</v>
      </c>
    </row>
    <row r="5" spans="1:8" x14ac:dyDescent="0.2">
      <c r="A5" s="5">
        <v>44348</v>
      </c>
      <c r="B5" s="4">
        <v>6.3</v>
      </c>
      <c r="C5" s="4">
        <v>5.6</v>
      </c>
      <c r="D5" s="4">
        <v>4</v>
      </c>
      <c r="E5" s="4">
        <v>6.1</v>
      </c>
      <c r="F5" s="4">
        <v>3.8</v>
      </c>
      <c r="G5" s="4">
        <v>12.6</v>
      </c>
      <c r="H5" s="4">
        <v>7.2</v>
      </c>
    </row>
    <row r="6" spans="1:8" x14ac:dyDescent="0.2">
      <c r="A6" s="5">
        <v>44378</v>
      </c>
      <c r="B6" s="4">
        <v>5.6</v>
      </c>
      <c r="C6" s="4">
        <v>4.5</v>
      </c>
      <c r="D6" s="4">
        <v>4.7</v>
      </c>
      <c r="E6" s="4">
        <v>6.4</v>
      </c>
      <c r="F6" s="4">
        <v>3.9</v>
      </c>
      <c r="G6" s="4">
        <v>12.4</v>
      </c>
      <c r="H6" s="4">
        <v>6.7</v>
      </c>
    </row>
    <row r="7" spans="1:8" x14ac:dyDescent="0.2">
      <c r="A7" s="5">
        <v>44409</v>
      </c>
      <c r="B7" s="4">
        <v>5.3</v>
      </c>
      <c r="C7" s="4">
        <v>3.7</v>
      </c>
      <c r="D7" s="4">
        <v>4</v>
      </c>
      <c r="E7" s="4">
        <v>6.8</v>
      </c>
      <c r="F7" s="4">
        <v>3.9</v>
      </c>
      <c r="G7" s="4">
        <v>13</v>
      </c>
      <c r="H7" s="4">
        <v>6.4</v>
      </c>
    </row>
    <row r="8" spans="1:8" x14ac:dyDescent="0.2">
      <c r="A8" s="5">
        <v>44440</v>
      </c>
      <c r="B8" s="4">
        <v>4.4000000000000004</v>
      </c>
      <c r="C8" s="4">
        <v>1.6</v>
      </c>
      <c r="D8" s="4">
        <v>4.2</v>
      </c>
      <c r="E8" s="4">
        <v>7.2</v>
      </c>
      <c r="F8" s="4">
        <v>3.6</v>
      </c>
      <c r="G8" s="4">
        <v>13.6</v>
      </c>
      <c r="H8" s="4">
        <v>6.4</v>
      </c>
    </row>
    <row r="9" spans="1:8" x14ac:dyDescent="0.2">
      <c r="A9" s="5">
        <v>44470</v>
      </c>
      <c r="B9" s="4">
        <v>4.5</v>
      </c>
      <c r="C9" s="4">
        <v>1.8</v>
      </c>
      <c r="D9" s="4">
        <v>4.3</v>
      </c>
      <c r="E9" s="4">
        <v>7.5</v>
      </c>
      <c r="F9" s="4">
        <v>3.5</v>
      </c>
      <c r="G9" s="4">
        <v>14.4</v>
      </c>
      <c r="H9" s="4">
        <v>6.8</v>
      </c>
    </row>
    <row r="10" spans="1:8" x14ac:dyDescent="0.2">
      <c r="A10" s="5">
        <v>44501</v>
      </c>
      <c r="B10" s="4">
        <v>4.9000000000000004</v>
      </c>
      <c r="C10" s="4">
        <v>2.6</v>
      </c>
      <c r="D10" s="4">
        <v>4.0999999999999996</v>
      </c>
      <c r="E10" s="4">
        <v>7.9</v>
      </c>
      <c r="F10" s="4">
        <v>3.7</v>
      </c>
      <c r="G10" s="4">
        <v>13.4</v>
      </c>
      <c r="H10" s="4">
        <v>6.8</v>
      </c>
    </row>
    <row r="11" spans="1:8" x14ac:dyDescent="0.2">
      <c r="A11" s="5">
        <v>44531</v>
      </c>
      <c r="B11" s="4">
        <v>5.7</v>
      </c>
      <c r="C11" s="4">
        <v>4.5</v>
      </c>
      <c r="D11" s="4">
        <v>3.2</v>
      </c>
      <c r="E11" s="4">
        <v>8.3000000000000007</v>
      </c>
      <c r="F11" s="4">
        <v>3.6</v>
      </c>
      <c r="G11" s="4">
        <v>11</v>
      </c>
      <c r="H11" s="4">
        <v>6.7</v>
      </c>
    </row>
    <row r="12" spans="1:8" x14ac:dyDescent="0.2">
      <c r="A12" s="5">
        <v>44562</v>
      </c>
      <c r="B12" s="4">
        <v>6</v>
      </c>
      <c r="C12" s="4">
        <v>5.6</v>
      </c>
      <c r="D12" s="4">
        <v>2.5</v>
      </c>
      <c r="E12" s="4">
        <v>8.8000000000000007</v>
      </c>
      <c r="F12" s="4">
        <v>3.5</v>
      </c>
      <c r="G12" s="4">
        <v>9.3000000000000007</v>
      </c>
      <c r="H12" s="4">
        <v>6.6</v>
      </c>
    </row>
    <row r="13" spans="1:8" x14ac:dyDescent="0.2">
      <c r="A13" s="5">
        <v>44593</v>
      </c>
      <c r="B13" s="4">
        <v>6.1</v>
      </c>
      <c r="C13" s="4">
        <v>5.9</v>
      </c>
      <c r="D13" s="4">
        <v>2.4</v>
      </c>
      <c r="E13" s="4">
        <v>8.9</v>
      </c>
      <c r="F13" s="4">
        <v>3.6</v>
      </c>
      <c r="G13" s="4">
        <v>8.6999999999999993</v>
      </c>
      <c r="H13" s="4">
        <v>6.6</v>
      </c>
    </row>
    <row r="14" spans="1:8" x14ac:dyDescent="0.2">
      <c r="A14" s="5">
        <v>44621</v>
      </c>
      <c r="B14" s="4">
        <v>7</v>
      </c>
      <c r="C14" s="4">
        <v>7.5</v>
      </c>
      <c r="D14" s="4">
        <v>3</v>
      </c>
      <c r="E14" s="4">
        <v>9.4</v>
      </c>
      <c r="F14" s="4">
        <v>3.4</v>
      </c>
      <c r="G14" s="4">
        <v>7.5</v>
      </c>
      <c r="H14" s="4">
        <v>7</v>
      </c>
    </row>
    <row r="15" spans="1:8" x14ac:dyDescent="0.2">
      <c r="A15" s="5">
        <v>44652</v>
      </c>
      <c r="B15" s="4">
        <v>7.8</v>
      </c>
      <c r="C15" s="4">
        <v>8.1</v>
      </c>
      <c r="D15" s="4">
        <v>2.7</v>
      </c>
      <c r="E15" s="4">
        <v>9.9</v>
      </c>
      <c r="F15" s="4">
        <v>3.5</v>
      </c>
      <c r="G15" s="4">
        <v>10.7</v>
      </c>
      <c r="H15" s="4">
        <v>8</v>
      </c>
    </row>
    <row r="16" spans="1:8" x14ac:dyDescent="0.2">
      <c r="A16" s="5">
        <v>44682</v>
      </c>
      <c r="B16" s="4">
        <v>7</v>
      </c>
      <c r="C16" s="4">
        <v>7.8</v>
      </c>
      <c r="D16" s="4">
        <v>1.2</v>
      </c>
      <c r="E16" s="4">
        <v>8.9</v>
      </c>
      <c r="F16" s="4">
        <v>3.7</v>
      </c>
      <c r="G16" s="4">
        <v>9.5</v>
      </c>
      <c r="H16" s="4">
        <v>6.8</v>
      </c>
    </row>
    <row r="17" spans="1:8" x14ac:dyDescent="0.2">
      <c r="A17" s="4" t="s">
        <v>14</v>
      </c>
      <c r="B17" s="4"/>
      <c r="C17" s="4"/>
      <c r="D17" s="4"/>
      <c r="E17" s="4"/>
      <c r="F17" s="4"/>
      <c r="G17" s="4"/>
      <c r="H17" s="4"/>
    </row>
    <row r="18" spans="1:8" x14ac:dyDescent="0.2">
      <c r="A18" s="4" t="s">
        <v>12</v>
      </c>
      <c r="B18" s="4">
        <v>5.3</v>
      </c>
      <c r="C18" s="4">
        <v>3.9</v>
      </c>
      <c r="D18" s="4">
        <v>9.5</v>
      </c>
      <c r="E18" s="4">
        <v>4.4000000000000004</v>
      </c>
      <c r="F18" s="4">
        <v>3.8</v>
      </c>
      <c r="G18" s="4">
        <v>9.9</v>
      </c>
      <c r="H18" s="4">
        <v>6.7</v>
      </c>
    </row>
    <row r="19" spans="1:8" x14ac:dyDescent="0.2">
      <c r="A19" s="4" t="s">
        <v>13</v>
      </c>
      <c r="B19" s="4">
        <v>7.4</v>
      </c>
      <c r="C19" s="4">
        <v>8</v>
      </c>
      <c r="D19" s="4">
        <v>1.9</v>
      </c>
      <c r="E19" s="4">
        <v>9.4</v>
      </c>
      <c r="F19" s="4">
        <v>3.6</v>
      </c>
      <c r="G19" s="4">
        <v>10.1</v>
      </c>
      <c r="H19" s="4">
        <v>7.4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C434-AA1D-DB41-BF4E-D4F0C8545C82}">
  <dimension ref="A1:C29"/>
  <sheetViews>
    <sheetView topLeftCell="A3" workbookViewId="0">
      <selection activeCell="S16" sqref="S16"/>
    </sheetView>
  </sheetViews>
  <sheetFormatPr baseColWidth="10" defaultRowHeight="16" x14ac:dyDescent="0.2"/>
  <cols>
    <col min="1" max="1" width="29.83203125" bestFit="1" customWidth="1"/>
  </cols>
  <sheetData>
    <row r="1" spans="1:3" x14ac:dyDescent="0.2">
      <c r="A1" s="53" t="s">
        <v>15</v>
      </c>
      <c r="B1" s="53"/>
      <c r="C1" s="53"/>
    </row>
    <row r="2" spans="1:3" x14ac:dyDescent="0.2">
      <c r="A2" s="1" t="s">
        <v>16</v>
      </c>
      <c r="B2" s="1" t="s">
        <v>17</v>
      </c>
      <c r="C2" s="1" t="s">
        <v>11</v>
      </c>
    </row>
    <row r="3" spans="1:3" x14ac:dyDescent="0.2">
      <c r="A3" s="1"/>
      <c r="B3" s="1"/>
      <c r="C3" s="1" t="s">
        <v>18</v>
      </c>
    </row>
    <row r="4" spans="1:3" x14ac:dyDescent="0.2">
      <c r="A4" s="3" t="s">
        <v>19</v>
      </c>
      <c r="B4" s="2">
        <v>44652</v>
      </c>
      <c r="C4" s="3">
        <v>7.1</v>
      </c>
    </row>
    <row r="5" spans="1:3" x14ac:dyDescent="0.2">
      <c r="A5" s="3" t="s">
        <v>20</v>
      </c>
      <c r="B5" s="2">
        <v>44682</v>
      </c>
      <c r="C5" s="3">
        <v>8</v>
      </c>
    </row>
    <row r="6" spans="1:3" x14ac:dyDescent="0.2">
      <c r="A6" s="3" t="s">
        <v>21</v>
      </c>
      <c r="B6" s="2">
        <v>44713</v>
      </c>
      <c r="C6" s="3">
        <v>7.2</v>
      </c>
    </row>
    <row r="7" spans="1:3" x14ac:dyDescent="0.2">
      <c r="A7" s="3" t="s">
        <v>22</v>
      </c>
      <c r="B7" s="2">
        <v>44713</v>
      </c>
      <c r="C7" s="3">
        <v>7.2</v>
      </c>
    </row>
    <row r="8" spans="1:3" x14ac:dyDescent="0.2">
      <c r="A8" s="3" t="s">
        <v>23</v>
      </c>
      <c r="B8" s="2">
        <v>44682</v>
      </c>
      <c r="C8" s="3">
        <v>8</v>
      </c>
    </row>
    <row r="9" spans="1:3" x14ac:dyDescent="0.2">
      <c r="A9" s="3" t="s">
        <v>24</v>
      </c>
      <c r="B9" s="2">
        <v>44652</v>
      </c>
      <c r="C9" s="3">
        <v>8.1999999999999993</v>
      </c>
    </row>
    <row r="10" spans="1:3" x14ac:dyDescent="0.2">
      <c r="A10" s="3" t="s">
        <v>25</v>
      </c>
      <c r="B10" s="2">
        <v>44713</v>
      </c>
      <c r="C10" s="3">
        <v>7.5</v>
      </c>
    </row>
    <row r="11" spans="1:3" x14ac:dyDescent="0.2">
      <c r="A11" s="3" t="s">
        <v>26</v>
      </c>
      <c r="B11" s="2">
        <v>44682</v>
      </c>
      <c r="C11" s="3">
        <v>6.4</v>
      </c>
    </row>
    <row r="12" spans="1:3" x14ac:dyDescent="0.2">
      <c r="A12" s="3" t="s">
        <v>27</v>
      </c>
      <c r="B12" s="2">
        <v>44652</v>
      </c>
      <c r="C12" s="3">
        <v>7.5</v>
      </c>
    </row>
    <row r="13" spans="1:3" x14ac:dyDescent="0.2">
      <c r="A13" s="3" t="s">
        <v>28</v>
      </c>
      <c r="B13" s="2">
        <v>44713</v>
      </c>
      <c r="C13" s="3">
        <v>6.9</v>
      </c>
    </row>
    <row r="14" spans="1:3" x14ac:dyDescent="0.2">
      <c r="A14" s="3" t="s">
        <v>29</v>
      </c>
      <c r="B14" s="2">
        <v>44682</v>
      </c>
      <c r="C14" s="3">
        <v>7.3</v>
      </c>
    </row>
    <row r="15" spans="1:3" x14ac:dyDescent="0.2">
      <c r="A15" s="3" t="s">
        <v>30</v>
      </c>
      <c r="B15" s="2">
        <v>44713</v>
      </c>
      <c r="C15" s="3">
        <v>7.8</v>
      </c>
    </row>
    <row r="16" spans="1:3" x14ac:dyDescent="0.2">
      <c r="A16" s="3" t="s">
        <v>31</v>
      </c>
      <c r="B16" s="2">
        <v>44682</v>
      </c>
      <c r="C16" s="3">
        <v>8.8000000000000007</v>
      </c>
    </row>
    <row r="17" spans="1:3" x14ac:dyDescent="0.2">
      <c r="A17" s="3" t="s">
        <v>32</v>
      </c>
      <c r="B17" s="2">
        <v>44621</v>
      </c>
      <c r="C17" s="3">
        <v>7.2</v>
      </c>
    </row>
    <row r="18" spans="1:3" x14ac:dyDescent="0.2">
      <c r="A18" s="3" t="s">
        <v>33</v>
      </c>
      <c r="B18" s="2">
        <v>44621</v>
      </c>
      <c r="C18" s="3">
        <v>7.8</v>
      </c>
    </row>
    <row r="19" spans="1:3" x14ac:dyDescent="0.2">
      <c r="A19" s="3" t="s">
        <v>34</v>
      </c>
      <c r="B19" s="2">
        <v>44652</v>
      </c>
      <c r="C19" s="3">
        <v>8</v>
      </c>
    </row>
    <row r="20" spans="1:3" x14ac:dyDescent="0.2">
      <c r="A20" s="3" t="s">
        <v>35</v>
      </c>
      <c r="B20" s="2">
        <v>44621</v>
      </c>
      <c r="C20" s="3">
        <v>7.2</v>
      </c>
    </row>
    <row r="21" spans="1:3" x14ac:dyDescent="0.2">
      <c r="A21" s="3" t="s">
        <v>36</v>
      </c>
      <c r="B21" s="2">
        <v>44713</v>
      </c>
      <c r="C21" s="3">
        <v>7.5</v>
      </c>
    </row>
    <row r="22" spans="1:3" x14ac:dyDescent="0.2">
      <c r="A22" s="3" t="s">
        <v>37</v>
      </c>
      <c r="B22" s="2">
        <v>44682</v>
      </c>
      <c r="C22" s="3">
        <v>9.1999999999999993</v>
      </c>
    </row>
    <row r="23" spans="1:3" x14ac:dyDescent="0.2">
      <c r="A23" s="3" t="s">
        <v>38</v>
      </c>
      <c r="B23" s="2">
        <v>44621</v>
      </c>
      <c r="C23" s="3">
        <v>7.9</v>
      </c>
    </row>
    <row r="24" spans="1:3" x14ac:dyDescent="0.2">
      <c r="A24" s="3" t="s">
        <v>39</v>
      </c>
      <c r="B24" s="2">
        <v>44621</v>
      </c>
      <c r="C24" s="3">
        <v>7.5</v>
      </c>
    </row>
    <row r="25" spans="1:3" x14ac:dyDescent="0.2">
      <c r="A25" s="3" t="s">
        <v>40</v>
      </c>
      <c r="B25" s="2">
        <v>44713</v>
      </c>
      <c r="C25" s="3">
        <v>7.3</v>
      </c>
    </row>
    <row r="26" spans="1:3" x14ac:dyDescent="0.2">
      <c r="A26" s="3" t="s">
        <v>41</v>
      </c>
      <c r="B26" s="2">
        <v>44652</v>
      </c>
      <c r="C26" s="3">
        <v>7</v>
      </c>
    </row>
    <row r="27" spans="1:3" x14ac:dyDescent="0.2">
      <c r="A27" s="3" t="s">
        <v>42</v>
      </c>
      <c r="B27" s="2">
        <v>44682</v>
      </c>
      <c r="C27" s="3">
        <v>7.6</v>
      </c>
    </row>
    <row r="28" spans="1:3" x14ac:dyDescent="0.2">
      <c r="A28" s="3" t="s">
        <v>43</v>
      </c>
      <c r="B28" s="2">
        <v>44682</v>
      </c>
      <c r="C28" s="3">
        <v>8.1999999999999993</v>
      </c>
    </row>
    <row r="29" spans="1:3" ht="30" x14ac:dyDescent="0.3">
      <c r="A29" s="6"/>
      <c r="C29">
        <f>AVERAGE(C4:C28)</f>
        <v>7.6119999999999992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Savings-Rates-India</vt:lpstr>
      <vt:lpstr>Savings-Rates-Institutions</vt:lpstr>
      <vt:lpstr>GCF-Financing</vt:lpstr>
      <vt:lpstr>RBI-Rates</vt:lpstr>
      <vt:lpstr>WPI-Inflation</vt:lpstr>
      <vt:lpstr>CPI-Level</vt:lpstr>
      <vt:lpstr>CPI-Inflation</vt:lpstr>
      <vt:lpstr>REER-CPI</vt:lpstr>
      <vt:lpstr>Textile-Apparel-Imports</vt:lpstr>
      <vt:lpstr>Textile-Apparel-Exports</vt:lpstr>
      <vt:lpstr>Trade Balance</vt:lpstr>
      <vt:lpstr>WPI-Textiles</vt:lpstr>
      <vt:lpstr>Inflation-Clothing</vt:lpstr>
      <vt:lpstr>InstitutionalCredit-Industry</vt:lpstr>
      <vt:lpstr>GDP growth rate</vt:lpstr>
      <vt:lpstr>country-code</vt:lpstr>
      <vt:lpstr>GDP-Per Cap</vt:lpstr>
      <vt:lpstr>GDP-10-ConstUSD</vt:lpstr>
      <vt:lpstr>IIP</vt:lpstr>
      <vt:lpstr>ASI-Tex-Apparel</vt:lpstr>
      <vt:lpstr>IIP-Textiles-Apparel</vt:lpstr>
      <vt:lpstr>OBICUS-Order-Books</vt:lpstr>
      <vt:lpstr>OBICUS-Survey</vt:lpstr>
      <vt:lpstr>RCA - Textiles</vt:lpstr>
      <vt:lpstr>BOP-FinAcct</vt:lpstr>
      <vt:lpstr>Unemp-rate</vt:lpstr>
      <vt:lpstr>LFPR</vt:lpstr>
      <vt:lpstr>Corp-Gov-vs-Pvt</vt:lpstr>
      <vt:lpstr>Corporate-Pvt-Perf</vt:lpstr>
      <vt:lpstr>Corporate-Gov-Perf</vt:lpstr>
      <vt:lpstr>Corp-Fin-Perf</vt:lpstr>
      <vt:lpstr>CG-Tax-Rev</vt:lpstr>
      <vt:lpstr>CG-Deficit-Financing</vt:lpstr>
      <vt:lpstr>Power SourcesCoal
203,775
49.</vt:lpstr>
      <vt:lpstr>C-GOVT-FINANCES</vt:lpstr>
      <vt:lpstr>House-Price-Index</vt:lpstr>
      <vt:lpstr>WPI</vt:lpstr>
      <vt:lpstr>GCF-Public &amp; Private</vt:lpstr>
      <vt:lpstr>GVA</vt:lpstr>
      <vt:lpstr>GDP-Nominal</vt:lpstr>
      <vt:lpstr>GDp-Components</vt:lpstr>
      <vt:lpstr>CPI</vt:lpstr>
      <vt:lpstr>GDP 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Kalyan Kolukuluri</cp:lastModifiedBy>
  <dcterms:created xsi:type="dcterms:W3CDTF">2022-08-19T06:14:13Z</dcterms:created>
  <dcterms:modified xsi:type="dcterms:W3CDTF">2025-10-16T04:13:03Z</dcterms:modified>
</cp:coreProperties>
</file>