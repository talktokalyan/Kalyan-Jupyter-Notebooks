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Ex1.xml" ContentType="application/vnd.ms-office.chartex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0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172" documentId="8_{28FFCAC0-0054-E748-A16F-43803246E076}" xr6:coauthVersionLast="47" xr6:coauthVersionMax="47" xr10:uidLastSave="{57895DEC-720E-864A-BBE7-048464527A99}"/>
  <bookViews>
    <workbookView xWindow="0" yWindow="680" windowWidth="29400" windowHeight="16340" activeTab="3" xr2:uid="{76B7034E-9A87-8443-BB0E-07AC5642BFDE}"/>
  </bookViews>
  <sheets>
    <sheet name="Savings-PercentGDP" sheetId="51" r:id="rId1"/>
    <sheet name="Savings-Rates-India" sheetId="50" r:id="rId2"/>
    <sheet name="Savings-Rates-Institutions" sheetId="49" r:id="rId3"/>
    <sheet name="GCF-Financing" sheetId="8" r:id="rId4"/>
    <sheet name="RBI-Rates" sheetId="48" r:id="rId5"/>
    <sheet name="WPI-Inflation" sheetId="47" r:id="rId6"/>
    <sheet name="CPI-Level" sheetId="46" r:id="rId7"/>
    <sheet name="CPI-Inflation" sheetId="45" r:id="rId8"/>
    <sheet name="REER-CPI" sheetId="43" r:id="rId9"/>
    <sheet name="Textile-Apparel-Imports" sheetId="42" r:id="rId10"/>
    <sheet name="Textile-Apparel-Exports" sheetId="41" r:id="rId11"/>
    <sheet name="Trade Balance" sheetId="40" r:id="rId12"/>
    <sheet name="WPI-Textiles" sheetId="39" r:id="rId13"/>
    <sheet name="Inflation-Clothing" sheetId="38" r:id="rId14"/>
    <sheet name="InstitutionalCredit-Industry" sheetId="37" r:id="rId15"/>
    <sheet name="GDP growth rate" sheetId="28" r:id="rId16"/>
    <sheet name="country-code" sheetId="30" r:id="rId17"/>
    <sheet name="GDP-Per Cap" sheetId="29" r:id="rId18"/>
    <sheet name="GDP-10-ConstUSD" sheetId="27" r:id="rId19"/>
    <sheet name="IIP" sheetId="16" r:id="rId20"/>
    <sheet name="ASI-Tex-Apparel" sheetId="35" r:id="rId21"/>
    <sheet name="IIP-Textiles-Apparel" sheetId="32" r:id="rId22"/>
    <sheet name="OBICUS-Order-Books" sheetId="34" r:id="rId23"/>
    <sheet name="OBICUS-Survey" sheetId="17" r:id="rId24"/>
    <sheet name="RCA - Textiles" sheetId="36" r:id="rId25"/>
    <sheet name="BOP-FinAcct" sheetId="25" r:id="rId26"/>
    <sheet name="Unemp-rate" sheetId="24" r:id="rId27"/>
    <sheet name="LFPR" sheetId="23" r:id="rId28"/>
    <sheet name="Corp-Gov-vs-Pvt" sheetId="20" r:id="rId29"/>
    <sheet name="Corporate-Pvt-Perf" sheetId="21" r:id="rId30"/>
    <sheet name="Corporate-Gov-Perf" sheetId="19" r:id="rId31"/>
    <sheet name="Corp-Fin-Perf" sheetId="18" r:id="rId32"/>
    <sheet name="CG-Tax-Rev" sheetId="15" r:id="rId33"/>
    <sheet name="CG-Deficit-Financing" sheetId="14" r:id="rId34"/>
    <sheet name="Power SourcesCoal_x000a__x000a_203,775_x000a__x000a_49." sheetId="31" r:id="rId35"/>
    <sheet name="C-GOVT-FINANCES" sheetId="13" r:id="rId36"/>
    <sheet name="House-Price-Index" sheetId="11" r:id="rId37"/>
    <sheet name="WPI" sheetId="10" r:id="rId38"/>
    <sheet name="GCF-Public &amp; Private" sheetId="7" r:id="rId39"/>
    <sheet name="GVA" sheetId="6" r:id="rId40"/>
    <sheet name="GDP-Nominal" sheetId="4" r:id="rId41"/>
    <sheet name="GDp-Components" sheetId="5" r:id="rId42"/>
    <sheet name="CPI" sheetId="2" r:id="rId43"/>
    <sheet name="GDP Projection" sheetId="3" r:id="rId44"/>
  </sheets>
  <externalReferences>
    <externalReference r:id="rId45"/>
  </externalReferences>
  <definedNames>
    <definedName name="_xlnm._FilterDatabase" localSheetId="38" hidden="1">'GCF-Public &amp; Private'!$AC$1:$AC$34</definedName>
    <definedName name="_xlnm._FilterDatabase" localSheetId="39" hidden="1">GVA!$BK$1:$BK$29</definedName>
    <definedName name="_xlchart.v1.0" hidden="1">'GCF-Financing'!$A$12</definedName>
    <definedName name="_xlchart.v1.1" hidden="1">'GCF-Financing'!$A$17</definedName>
    <definedName name="_xlchart.v1.10" hidden="1">'GCF-Financing'!$B$7:$N$7</definedName>
    <definedName name="_xlchart.v1.100" hidden="1">'GDp-Components'!$E$1:$E$10</definedName>
    <definedName name="_xlchart.v1.11" hidden="1">'GCF-Financing'!$A$12</definedName>
    <definedName name="_xlchart.v1.12" hidden="1">'GCF-Financing'!$A$17</definedName>
    <definedName name="_xlchart.v1.13" hidden="1">'GCF-Financing'!$A$18</definedName>
    <definedName name="_xlchart.v1.14" hidden="1">'GCF-Financing'!$A$5</definedName>
    <definedName name="_xlchart.v1.15" hidden="1">'GCF-Financing'!$A$7</definedName>
    <definedName name="_xlchart.v1.16" hidden="1">'GCF-Financing'!$B$12:$N$12</definedName>
    <definedName name="_xlchart.v1.17" hidden="1">'GCF-Financing'!$B$17:$N$17</definedName>
    <definedName name="_xlchart.v1.18" hidden="1">'GCF-Financing'!$B$18:$N$18</definedName>
    <definedName name="_xlchart.v1.19" hidden="1">'GCF-Financing'!$B$3:$N$3</definedName>
    <definedName name="_xlchart.v1.2" hidden="1">'GCF-Financing'!$A$18</definedName>
    <definedName name="_xlchart.v1.20" hidden="1">'GCF-Financing'!$B$5:$N$5</definedName>
    <definedName name="_xlchart.v1.21" hidden="1">'GCF-Financing'!$B$7:$N$7</definedName>
    <definedName name="_xlchart.v1.22" hidden="1">'GCF-Financing'!$A$12</definedName>
    <definedName name="_xlchart.v1.23" hidden="1">'GCF-Financing'!$A$17</definedName>
    <definedName name="_xlchart.v1.24" hidden="1">'GCF-Financing'!$A$18</definedName>
    <definedName name="_xlchart.v1.25" hidden="1">'GCF-Financing'!$A$5</definedName>
    <definedName name="_xlchart.v1.26" hidden="1">'GCF-Financing'!$A$7</definedName>
    <definedName name="_xlchart.v1.27" hidden="1">'GCF-Financing'!$B$12:$N$12</definedName>
    <definedName name="_xlchart.v1.28" hidden="1">'GCF-Financing'!$B$17:$N$17</definedName>
    <definedName name="_xlchart.v1.29" hidden="1">'GCF-Financing'!$B$18:$N$18</definedName>
    <definedName name="_xlchart.v1.3" hidden="1">'GCF-Financing'!$A$5</definedName>
    <definedName name="_xlchart.v1.30" hidden="1">'GCF-Financing'!$B$3:$N$3</definedName>
    <definedName name="_xlchart.v1.31" hidden="1">'GCF-Financing'!$B$5:$N$5</definedName>
    <definedName name="_xlchart.v1.32" hidden="1">'GCF-Financing'!$B$7:$N$7</definedName>
    <definedName name="_xlchart.v1.33" hidden="1">'GCF-Financing'!$A$12</definedName>
    <definedName name="_xlchart.v1.34" hidden="1">'GCF-Financing'!$A$17</definedName>
    <definedName name="_xlchart.v1.35" hidden="1">'GCF-Financing'!$A$18</definedName>
    <definedName name="_xlchart.v1.36" hidden="1">'GCF-Financing'!$A$5</definedName>
    <definedName name="_xlchart.v1.37" hidden="1">'GCF-Financing'!$A$7</definedName>
    <definedName name="_xlchart.v1.38" hidden="1">'GCF-Financing'!$B$12:$N$12</definedName>
    <definedName name="_xlchart.v1.39" hidden="1">'GCF-Financing'!$B$17:$N$17</definedName>
    <definedName name="_xlchart.v1.4" hidden="1">'GCF-Financing'!$A$7</definedName>
    <definedName name="_xlchart.v1.40" hidden="1">'GCF-Financing'!$B$18:$N$18</definedName>
    <definedName name="_xlchart.v1.41" hidden="1">'GCF-Financing'!$B$3:$N$3</definedName>
    <definedName name="_xlchart.v1.42" hidden="1">'GCF-Financing'!$B$5:$N$5</definedName>
    <definedName name="_xlchart.v1.43" hidden="1">'GCF-Financing'!$B$7:$N$7</definedName>
    <definedName name="_xlchart.v1.44" hidden="1">'GCF-Financing'!$A$12</definedName>
    <definedName name="_xlchart.v1.45" hidden="1">'GCF-Financing'!$A$17</definedName>
    <definedName name="_xlchart.v1.46" hidden="1">'GCF-Financing'!$A$18</definedName>
    <definedName name="_xlchart.v1.47" hidden="1">'GCF-Financing'!$A$5</definedName>
    <definedName name="_xlchart.v1.48" hidden="1">'GCF-Financing'!$A$7</definedName>
    <definedName name="_xlchart.v1.49" hidden="1">'GCF-Financing'!$B$12:$N$12</definedName>
    <definedName name="_xlchart.v1.5" hidden="1">'GCF-Financing'!$B$12:$N$12</definedName>
    <definedName name="_xlchart.v1.50" hidden="1">'GCF-Financing'!$B$17:$N$17</definedName>
    <definedName name="_xlchart.v1.51" hidden="1">'GCF-Financing'!$B$18:$N$18</definedName>
    <definedName name="_xlchart.v1.52" hidden="1">'GCF-Financing'!$B$3:$N$3</definedName>
    <definedName name="_xlchart.v1.53" hidden="1">'GCF-Financing'!$B$5:$N$5</definedName>
    <definedName name="_xlchart.v1.54" hidden="1">'GCF-Financing'!$B$7:$N$7</definedName>
    <definedName name="_xlchart.v1.55" hidden="1">'GCF-Financing'!$A$12</definedName>
    <definedName name="_xlchart.v1.56" hidden="1">'GCF-Financing'!$A$17</definedName>
    <definedName name="_xlchart.v1.57" hidden="1">'GCF-Financing'!$A$18</definedName>
    <definedName name="_xlchart.v1.58" hidden="1">'GCF-Financing'!$A$5</definedName>
    <definedName name="_xlchart.v1.59" hidden="1">'GCF-Financing'!$A$7</definedName>
    <definedName name="_xlchart.v1.6" hidden="1">'GCF-Financing'!$B$17:$N$17</definedName>
    <definedName name="_xlchart.v1.60" hidden="1">'GCF-Financing'!$B$12:$N$12</definedName>
    <definedName name="_xlchart.v1.61" hidden="1">'GCF-Financing'!$B$17:$N$17</definedName>
    <definedName name="_xlchart.v1.62" hidden="1">'GCF-Financing'!$B$18:$N$18</definedName>
    <definedName name="_xlchart.v1.63" hidden="1">'GCF-Financing'!$B$3:$N$3</definedName>
    <definedName name="_xlchart.v1.64" hidden="1">'GCF-Financing'!$B$5:$N$5</definedName>
    <definedName name="_xlchart.v1.65" hidden="1">'GCF-Financing'!$B$7:$N$7</definedName>
    <definedName name="_xlchart.v1.66" hidden="1">'GCF-Financing'!$A$12</definedName>
    <definedName name="_xlchart.v1.67" hidden="1">'GCF-Financing'!$A$17</definedName>
    <definedName name="_xlchart.v1.68" hidden="1">'GCF-Financing'!$A$18</definedName>
    <definedName name="_xlchart.v1.69" hidden="1">'GCF-Financing'!$A$5</definedName>
    <definedName name="_xlchart.v1.7" hidden="1">'GCF-Financing'!$B$18:$N$18</definedName>
    <definedName name="_xlchart.v1.70" hidden="1">'GCF-Financing'!$A$7</definedName>
    <definedName name="_xlchart.v1.71" hidden="1">'GCF-Financing'!$B$12:$N$12</definedName>
    <definedName name="_xlchart.v1.72" hidden="1">'GCF-Financing'!$B$17:$N$17</definedName>
    <definedName name="_xlchart.v1.73" hidden="1">'GCF-Financing'!$B$18:$N$18</definedName>
    <definedName name="_xlchart.v1.74" hidden="1">'GCF-Financing'!$B$3:$N$3</definedName>
    <definedName name="_xlchart.v1.75" hidden="1">'GCF-Financing'!$B$5:$N$5</definedName>
    <definedName name="_xlchart.v1.76" hidden="1">'GCF-Financing'!$B$7:$N$7</definedName>
    <definedName name="_xlchart.v1.77" hidden="1">'GCF-Financing'!$A$12</definedName>
    <definedName name="_xlchart.v1.78" hidden="1">'GCF-Financing'!$A$17</definedName>
    <definedName name="_xlchart.v1.79" hidden="1">'GCF-Financing'!$A$18</definedName>
    <definedName name="_xlchart.v1.8" hidden="1">'GCF-Financing'!$B$3:$N$3</definedName>
    <definedName name="_xlchart.v1.80" hidden="1">'GCF-Financing'!$A$5</definedName>
    <definedName name="_xlchart.v1.81" hidden="1">'GCF-Financing'!$A$7</definedName>
    <definedName name="_xlchart.v1.82" hidden="1">'GCF-Financing'!$B$12:$N$12</definedName>
    <definedName name="_xlchart.v1.83" hidden="1">'GCF-Financing'!$B$17:$N$17</definedName>
    <definedName name="_xlchart.v1.84" hidden="1">'GCF-Financing'!$B$18:$N$18</definedName>
    <definedName name="_xlchart.v1.85" hidden="1">'GCF-Financing'!$B$3:$N$3</definedName>
    <definedName name="_xlchart.v1.86" hidden="1">'GCF-Financing'!$B$5:$N$5</definedName>
    <definedName name="_xlchart.v1.87" hidden="1">'GCF-Financing'!$B$7:$N$7</definedName>
    <definedName name="_xlchart.v1.88" hidden="1">'GCF-Financing'!$A$12</definedName>
    <definedName name="_xlchart.v1.89" hidden="1">'GCF-Financing'!$A$17</definedName>
    <definedName name="_xlchart.v1.9" hidden="1">'GCF-Financing'!$B$5:$N$5</definedName>
    <definedName name="_xlchart.v1.90" hidden="1">'GCF-Financing'!$A$18</definedName>
    <definedName name="_xlchart.v1.91" hidden="1">'GCF-Financing'!$A$5</definedName>
    <definedName name="_xlchart.v1.92" hidden="1">'GCF-Financing'!$A$7</definedName>
    <definedName name="_xlchart.v1.93" hidden="1">'GCF-Financing'!$B$12:$N$12</definedName>
    <definedName name="_xlchart.v1.94" hidden="1">'GCF-Financing'!$B$17:$N$17</definedName>
    <definedName name="_xlchart.v1.95" hidden="1">'GCF-Financing'!$B$18:$N$18</definedName>
    <definedName name="_xlchart.v1.96" hidden="1">'GCF-Financing'!$B$3:$N$3</definedName>
    <definedName name="_xlchart.v1.97" hidden="1">'GCF-Financing'!$B$5:$N$5</definedName>
    <definedName name="_xlchart.v1.98" hidden="1">'GCF-Financing'!$B$7:$N$7</definedName>
    <definedName name="_xlchart.v1.99" hidden="1">'GDp-Components'!$A$1:$D$10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" i="8" l="1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4" i="8"/>
  <c r="N25" i="8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<sst xmlns="http://schemas.openxmlformats.org/spreadsheetml/2006/main" count="4151" uniqueCount="1443">
  <si>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</si>
  <si>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</si>
  <si>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</si>
  <si>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</si>
  <si>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</si>
  <si>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</si>
  <si>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</si>
  <si>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</si>
  <si>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</si>
  <si>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</si>
  <si>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</si>
  <si>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</si>
  <si>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</si>
  <si>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</si>
  <si>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</si>
  <si>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</si>
  <si>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</si>
  <si>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</si>
  <si>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</si>
  <si>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</si>
  <si>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</si>
  <si>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</si>
  <si>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</si>
  <si>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</si>
  <si>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</si>
  <si>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</si>
  <si>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</si>
  <si>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</si>
  <si>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</si>
  <si>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</si>
  <si>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</si>
  <si>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</si>
  <si>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</si>
  <si>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</si>
  <si>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</si>
  <si>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</si>
  <si>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</si>
  <si>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</si>
  <si>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</si>
  <si>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</si>
  <si>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</si>
  <si>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</si>
  <si>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</si>
  <si>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</si>
  <si>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</si>
  <si>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</si>
  <si>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</si>
  <si>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</si>
  <si>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</si>
  <si>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</si>
  <si>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</si>
  <si>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</si>
  <si>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</si>
  <si>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</si>
  <si>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</si>
  <si>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</si>
  <si>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</si>
  <si>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</si>
  <si>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</si>
  <si>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</si>
  <si>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</si>
  <si>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</si>
  <si>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</si>
  <si>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</si>
  <si>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</si>
  <si>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</si>
  <si>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</si>
  <si>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</si>
  <si>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</si>
  <si>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</si>
  <si>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</si>
  <si>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</si>
  <si>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</si>
  <si>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</si>
  <si>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</si>
  <si>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</si>
  <si>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</si>
  <si>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</si>
  <si>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</si>
  <si>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</si>
  <si>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</si>
  <si>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</si>
  <si>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</si>
  <si>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</si>
  <si>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</si>
  <si>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</si>
  <si>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</si>
  <si>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</si>
  <si>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</si>
  <si>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</si>
  <si>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</si>
  <si>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</si>
  <si>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</si>
  <si>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</si>
  <si>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</si>
  <si>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</si>
  <si>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</si>
  <si>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</si>
  <si>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</si>
  <si>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</si>
  <si>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</si>
  <si>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</si>
  <si>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</si>
  <si>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</si>
  <si>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</si>
  <si>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</si>
  <si>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</si>
  <si>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</si>
  <si>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</si>
  <si>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</si>
  <si>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</si>
  <si>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</si>
  <si>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</si>
  <si>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</si>
  <si>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</si>
  <si>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</si>
  <si>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</si>
  <si>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</si>
  <si>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</si>
  <si>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</si>
  <si>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</si>
  <si>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</si>
  <si>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</si>
  <si>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</si>
  <si>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</si>
  <si>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</si>
  <si>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</si>
  <si>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</si>
  <si>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</si>
  <si>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</si>
  <si>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</si>
  <si>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</si>
  <si>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</si>
  <si>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</si>
  <si>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</si>
  <si>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</si>
  <si>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</si>
  <si>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</si>
  <si>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</si>
  <si>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</si>
  <si>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</si>
  <si>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</si>
  <si>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</si>
  <si>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</si>
  <si>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</si>
  <si>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</si>
  <si>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</si>
  <si>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</si>
  <si>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</si>
  <si>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</si>
  <si>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</si>
  <si>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</si>
  <si>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</si>
  <si>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</si>
  <si>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</si>
  <si>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</si>
  <si>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</si>
  <si>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</si>
  <si>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</si>
  <si>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</si>
  <si>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</si>
  <si>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</si>
  <si>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</si>
  <si>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</si>
  <si>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</si>
  <si>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</si>
  <si>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</si>
  <si>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</si>
  <si>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</si>
  <si>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</si>
  <si>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</si>
  <si>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</si>
  <si>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</si>
  <si>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</si>
  <si>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</si>
  <si>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</si>
  <si>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</si>
  <si>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</si>
  <si>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</si>
  <si>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</si>
  <si>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</si>
  <si>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</si>
  <si>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</si>
  <si>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</si>
  <si>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</si>
  <si>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</si>
  <si>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</si>
  <si>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</si>
  <si>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</si>
  <si>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</si>
  <si>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</si>
  <si>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</si>
  <si>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</si>
  <si>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</si>
  <si>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</si>
  <si>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</si>
  <si>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</si>
  <si>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</si>
  <si>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</si>
  <si>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</si>
  <si>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</si>
  <si>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</si>
  <si>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</si>
  <si>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</si>
  <si>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</si>
  <si>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</si>
  <si>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</si>
  <si>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</si>
  <si>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</si>
  <si>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</si>
  <si>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</si>
  <si>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</si>
  <si>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</si>
  <si>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</si>
  <si>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</si>
  <si>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</si>
  <si>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</si>
  <si>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</si>
  <si>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</si>
  <si>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</si>
  <si>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</si>
  <si>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</si>
  <si>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</si>
  <si>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</si>
  <si>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</si>
  <si>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</si>
  <si>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</si>
  <si>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</si>
  <si>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</si>
  <si>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</si>
  <si>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</si>
  <si>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</si>
  <si>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</si>
  <si>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</si>
  <si>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</si>
  <si>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</si>
  <si>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</si>
  <si>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</si>
  <si>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</si>
  <si>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</si>
  <si>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</si>
  <si>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</si>
  <si>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</si>
  <si>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</si>
  <si>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</si>
  <si>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</si>
  <si>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</si>
  <si>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</si>
  <si>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</si>
  <si>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</si>
  <si>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</si>
  <si>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</si>
  <si>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</si>
  <si>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</si>
  <si>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</si>
  <si>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</si>
  <si>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</si>
  <si>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</si>
  <si>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</si>
  <si>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</si>
  <si>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</si>
  <si>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</si>
  <si>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</si>
  <si>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</si>
  <si>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</si>
  <si>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</si>
  <si>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</si>
  <si>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</si>
  <si>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</si>
  <si>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</si>
  <si>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</si>
  <si>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</si>
  <si>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</si>
  <si>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</si>
  <si>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</si>
  <si>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</si>
  <si>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</si>
  <si>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</si>
  <si>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</si>
  <si>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</si>
  <si>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</si>
  <si>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</si>
  <si>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</si>
  <si>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</si>
  <si>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</si>
  <si>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</si>
  <si>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</si>
  <si>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</si>
  <si>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</si>
  <si>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</si>
  <si>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</si>
  <si>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</si>
  <si>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</si>
  <si>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</si>
  <si>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</si>
  <si>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</si>
  <si>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</si>
  <si>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</si>
  <si>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</si>
  <si>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</si>
  <si>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</si>
  <si>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</si>
  <si>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</si>
  <si>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</si>
  <si>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</si>
  <si>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</si>
  <si>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</si>
  <si>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</si>
  <si>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</si>
  <si>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</si>
  <si>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</si>
  <si>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</si>
  <si>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</si>
  <si>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</si>
  <si>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</si>
  <si>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</si>
  <si>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</si>
  <si>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</si>
  <si>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</si>
  <si>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</si>
  <si>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</si>
  <si>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</si>
  <si>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</si>
  <si>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</si>
  <si>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</si>
  <si>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</si>
  <si>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</si>
  <si>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</si>
  <si>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</si>
  <si>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</si>
  <si>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</si>
  <si>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</si>
  <si>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</si>
  <si>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</si>
  <si>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</si>
  <si>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</si>
  <si>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</si>
  <si>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</si>
  <si>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</si>
  <si>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</si>
  <si>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</si>
  <si>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</si>
  <si>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</si>
  <si>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</si>
  <si>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</si>
  <si>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</si>
  <si>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</si>
  <si>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</si>
  <si>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</si>
  <si>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</si>
  <si>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</si>
  <si>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</si>
  <si>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</si>
  <si>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</si>
  <si>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</si>
  <si>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</si>
  <si>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</si>
  <si>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</si>
  <si>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</si>
  <si>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</si>
  <si>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</si>
  <si>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</si>
  <si>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</si>
  <si>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</si>
  <si>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</si>
  <si>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</si>
  <si>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</si>
  <si>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</si>
  <si>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</si>
  <si>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</si>
  <si>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</si>
  <si>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</si>
  <si>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</si>
  <si>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</si>
  <si>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</si>
  <si>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</si>
  <si>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</si>
  <si>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</si>
  <si>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</si>
  <si>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</si>
  <si>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</si>
  <si>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</si>
  <si>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</si>
  <si>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</si>
  <si>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</si>
  <si>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</si>
  <si>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</si>
  <si>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</si>
  <si>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</si>
  <si>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</si>
  <si>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</si>
  <si>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</si>
  <si>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</si>
  <si>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</si>
  <si>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</si>
  <si>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</si>
  <si>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</si>
  <si>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</si>
  <si>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</si>
  <si>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</si>
  <si>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</si>
  <si>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</si>
  <si>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</si>
  <si>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</si>
  <si>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</si>
  <si>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</si>
  <si>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</si>
  <si>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</si>
  <si>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</si>
  <si>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</si>
  <si>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</si>
  <si>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</si>
  <si>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</si>
  <si>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</si>
  <si>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</si>
  <si>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</si>
  <si>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</si>
  <si>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</si>
  <si>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</si>
  <si>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</si>
  <si>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</si>
  <si>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</si>
  <si>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</si>
  <si>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</si>
  <si>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</si>
  <si>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</si>
  <si>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</si>
  <si>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</si>
  <si>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</si>
  <si>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</si>
  <si>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</si>
  <si>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</si>
  <si>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</si>
  <si>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</si>
  <si>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</si>
  <si>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</si>
  <si>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</si>
  <si>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</si>
  <si>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</si>
  <si>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</si>
  <si>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</si>
  <si>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</si>
  <si>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</si>
  <si>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</si>
  <si>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</si>
  <si>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</si>
  <si>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</si>
  <si>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</si>
  <si>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</si>
  <si>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</si>
  <si>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</si>
  <si>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</si>
  <si>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</si>
  <si>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</si>
  <si>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</si>
  <si>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</si>
  <si>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</si>
  <si>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</si>
  <si>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</si>
  <si>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</si>
  <si>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</si>
  <si>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</si>
  <si>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</si>
  <si>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</si>
  <si>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</si>
  <si>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</si>
  <si>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</si>
  <si>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</si>
  <si>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</si>
  <si>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</si>
  <si>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</si>
  <si>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</si>
  <si>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</si>
  <si>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</si>
  <si>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</si>
  <si>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</si>
  <si>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</si>
  <si>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</si>
  <si>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</si>
  <si>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</si>
  <si>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</si>
  <si>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</si>
  <si>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</si>
  <si>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</si>
  <si>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</si>
  <si>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</si>
  <si>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</si>
  <si>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</si>
  <si>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</si>
  <si>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</si>
  <si>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</si>
  <si>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</si>
  <si>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</si>
  <si>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</si>
  <si>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</si>
  <si>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</si>
  <si>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</si>
  <si>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</si>
  <si>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</si>
  <si>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</si>
  <si>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</si>
  <si>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</si>
  <si>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</si>
  <si>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</si>
  <si>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</si>
  <si>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</si>
  <si>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</si>
  <si>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</si>
  <si>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</si>
  <si>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</si>
  <si>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</si>
  <si>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</si>
  <si>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</si>
  <si>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</si>
  <si>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</si>
  <si>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</si>
  <si>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</si>
  <si>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</si>
  <si>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</si>
  <si>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</si>
  <si>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</si>
  <si>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</si>
  <si>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</si>
  <si>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</si>
  <si>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</si>
  <si>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</si>
  <si>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</si>
  <si>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</si>
  <si>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</si>
  <si>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</si>
  <si>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</si>
  <si>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</si>
  <si>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</si>
  <si>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</si>
  <si>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</si>
  <si>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</si>
  <si>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</si>
  <si>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</si>
  <si>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</si>
  <si>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</si>
  <si>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</si>
  <si>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</si>
  <si>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</si>
  <si>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</si>
  <si>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</si>
  <si>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</si>
  <si>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</si>
  <si>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</si>
  <si>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</si>
  <si>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</si>
  <si>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</si>
  <si>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</si>
  <si>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</si>
  <si>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</si>
  <si>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</si>
  <si>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</si>
  <si>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</si>
  <si>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</si>
  <si>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</si>
  <si>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</si>
  <si>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</si>
  <si>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</si>
  <si>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</si>
  <si>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</si>
  <si>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</si>
  <si>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</si>
  <si>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</si>
  <si>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</si>
  <si>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</si>
  <si>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</si>
  <si>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</si>
  <si>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</si>
  <si>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</si>
  <si>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</si>
  <si>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</si>
  <si>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</si>
  <si>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</si>
  <si>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</si>
  <si>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</si>
  <si>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</si>
  <si>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</si>
  <si>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</si>
  <si>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</si>
  <si>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</si>
  <si>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</si>
  <si>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</si>
  <si>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</si>
  <si>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</si>
  <si>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</si>
  <si>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</si>
  <si>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</si>
  <si>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</si>
  <si>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</si>
  <si>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</si>
  <si>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</si>
  <si>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</si>
  <si>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</si>
  <si>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</si>
  <si>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</si>
  <si>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</si>
  <si>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</si>
  <si>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</si>
  <si>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</si>
  <si>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</si>
  <si>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</si>
  <si>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</si>
  <si>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</si>
  <si>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</si>
  <si>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</si>
  <si>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</si>
  <si>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</si>
  <si>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</si>
  <si>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</si>
  <si>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</si>
  <si>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</si>
  <si>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</si>
  <si>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</si>
  <si>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</si>
  <si>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</si>
  <si>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</si>
  <si>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</si>
  <si>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</si>
  <si>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</si>
  <si>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</si>
  <si>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</si>
  <si>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</si>
  <si>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</si>
  <si>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</si>
  <si>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</si>
  <si>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</si>
  <si>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</si>
  <si>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</si>
  <si>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</si>
  <si>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</si>
  <si>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</si>
  <si>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</si>
  <si>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</si>
  <si>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</si>
  <si>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</si>
  <si>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</si>
  <si>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</si>
  <si>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</si>
  <si>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</si>
  <si>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</si>
  <si>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</si>
  <si>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</si>
  <si>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</si>
  <si>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</si>
  <si>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</si>
  <si>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</si>
  <si>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</si>
  <si>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</si>
  <si>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</si>
  <si>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</si>
  <si>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</si>
  <si>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</si>
  <si>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</si>
  <si>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</si>
  <si>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</si>
  <si>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</si>
  <si>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</si>
  <si>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</si>
  <si>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</si>
  <si>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</si>
  <si>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</si>
  <si>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</si>
  <si>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</si>
  <si>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</si>
  <si>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</si>
  <si>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</si>
  <si>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</si>
  <si>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</si>
  <si>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</si>
  <si>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</si>
  <si>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</si>
  <si>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</si>
  <si>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</si>
  <si>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</si>
  <si>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</si>
  <si>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</si>
  <si>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</si>
  <si>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</si>
  <si>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</si>
  <si>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</si>
  <si>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</si>
  <si>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</si>
  <si>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</si>
  <si>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</si>
  <si>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</si>
  <si>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</si>
  <si>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</si>
  <si>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</si>
  <si>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</si>
  <si>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</si>
  <si>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</si>
  <si>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</si>
  <si>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</si>
  <si>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</si>
  <si>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</si>
  <si>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</si>
  <si>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</si>
  <si>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</si>
  <si>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</si>
  <si>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</si>
  <si>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</si>
  <si>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</si>
  <si>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</si>
  <si>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</si>
  <si>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</si>
  <si>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</si>
  <si>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</si>
  <si>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</si>
  <si>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</si>
  <si>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</si>
  <si>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</si>
  <si>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</si>
  <si>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</si>
  <si>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</si>
  <si>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</si>
  <si>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</si>
  <si>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</si>
  <si>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</si>
  <si>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</si>
  <si>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</si>
  <si>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</si>
  <si>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</si>
  <si>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</si>
  <si>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</si>
  <si>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</si>
  <si>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</si>
  <si>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</si>
  <si>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</si>
  <si>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</si>
  <si>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</si>
  <si>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</si>
  <si>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</si>
  <si>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</si>
  <si>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</si>
  <si>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</si>
  <si>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</si>
  <si>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</si>
  <si>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</si>
  <si>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</si>
  <si>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</si>
  <si>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</si>
  <si>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</si>
  <si>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</si>
  <si>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</si>
  <si>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</si>
  <si>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</si>
  <si>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</si>
  <si>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</si>
  <si>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</si>
  <si>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</si>
  <si>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</si>
  <si>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</si>
  <si>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</si>
  <si>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</si>
  <si>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</si>
  <si>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</si>
  <si>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</si>
  <si>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</si>
  <si>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</si>
  <si>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</si>
  <si>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</si>
  <si>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</si>
  <si>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</si>
  <si>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</si>
  <si>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</si>
  <si>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</si>
  <si>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</si>
  <si>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</si>
  <si>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</si>
  <si>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</si>
  <si>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</si>
  <si>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</si>
  <si>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</si>
  <si>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</si>
  <si>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</si>
  <si>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</si>
  <si>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</si>
  <si>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</si>
  <si>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</si>
  <si>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</si>
  <si>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</si>
  <si>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</si>
  <si>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</si>
  <si>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</si>
  <si>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</si>
  <si>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</si>
  <si>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</si>
  <si>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</si>
  <si>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</si>
  <si>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</si>
  <si>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</si>
  <si>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</si>
  <si>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</si>
  <si>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</si>
  <si>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</si>
  <si>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</si>
  <si>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</si>
  <si>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</si>
  <si>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</si>
  <si>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</si>
  <si>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</si>
  <si>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</si>
  <si>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</si>
  <si>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</si>
  <si>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</si>
  <si>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</si>
  <si>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</si>
  <si>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</si>
  <si>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</si>
  <si>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</si>
  <si>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</si>
  <si>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</si>
  <si>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</si>
  <si>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</si>
  <si>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</si>
  <si>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</si>
  <si>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</si>
  <si>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</si>
  <si>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</si>
  <si>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</si>
  <si>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</si>
  <si>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</si>
  <si>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</si>
  <si>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</si>
  <si>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</si>
  <si>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</si>
  <si>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</si>
  <si>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</si>
  <si>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</si>
  <si>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</si>
  <si>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</si>
  <si>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</si>
  <si>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</si>
  <si>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</si>
  <si>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</si>
  <si>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</si>
  <si>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</si>
  <si>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</si>
  <si>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</si>
  <si>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</si>
  <si>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</si>
  <si>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</si>
  <si>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</si>
  <si>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</si>
  <si>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</si>
  <si>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</si>
  <si>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</si>
  <si>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</si>
  <si>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</si>
  <si>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</si>
  <si>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</si>
  <si>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</si>
  <si>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</si>
  <si>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</si>
  <si>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</si>
  <si>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</si>
  <si>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</si>
  <si>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</si>
  <si>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</si>
  <si>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</si>
  <si>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</si>
  <si>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</si>
  <si>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</si>
  <si>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</si>
  <si>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</si>
  <si>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</si>
  <si>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</si>
  <si>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</si>
  <si>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</si>
  <si>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</si>
  <si>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</si>
  <si>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</si>
  <si>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</si>
  <si>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</si>
  <si>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</si>
  <si>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</si>
  <si>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</si>
  <si>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</si>
  <si>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</si>
  <si>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</si>
  <si>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</si>
  <si>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</si>
  <si>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</si>
  <si>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</si>
  <si>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</si>
  <si>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</si>
  <si>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</si>
  <si>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</si>
  <si>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</si>
  <si>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</si>
  <si>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</si>
  <si>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</si>
  <si>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</si>
  <si>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</si>
  <si>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</si>
  <si>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</si>
  <si>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</si>
  <si>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</si>
  <si>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</si>
  <si>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</si>
  <si>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</si>
  <si>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</si>
  <si>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</si>
  <si>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</si>
  <si>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</si>
  <si>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</si>
  <si>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</si>
  <si>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</si>
  <si>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</si>
  <si>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</si>
  <si>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</si>
  <si>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</si>
  <si>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</si>
  <si>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</si>
  <si>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</si>
  <si>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</si>
  <si>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</si>
  <si>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</si>
  <si>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</si>
  <si>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</si>
  <si>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</si>
  <si>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</si>
  <si>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</si>
  <si>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</si>
  <si>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</si>
  <si>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</si>
  <si>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</si>
  <si>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</si>
  <si>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</si>
  <si>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</si>
  <si>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</si>
  <si>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</si>
  <si>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</si>
  <si>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</si>
  <si>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</si>
  <si>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</si>
  <si>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</si>
  <si>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</si>
  <si>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</si>
  <si>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</si>
  <si>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</si>
  <si>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</si>
  <si>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</si>
  <si>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</si>
  <si>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</si>
  <si>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</si>
  <si>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</si>
  <si>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</si>
  <si>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</si>
  <si>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</si>
  <si>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</si>
  <si>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</si>
  <si>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</si>
  <si>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</si>
  <si>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</si>
  <si>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</si>
  <si>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</si>
  <si>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</si>
  <si>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</si>
  <si>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</si>
  <si>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</si>
  <si>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</si>
  <si>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</si>
  <si>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</si>
  <si>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</si>
  <si>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</si>
  <si>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</si>
  <si>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</si>
  <si>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</si>
  <si>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</si>
  <si>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</si>
  <si>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</si>
  <si>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</si>
  <si>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</si>
  <si>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</si>
  <si>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</si>
  <si>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</si>
  <si>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</si>
  <si>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</si>
  <si>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</si>
  <si>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</si>
  <si>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</si>
  <si>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</si>
  <si>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</si>
  <si>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</si>
  <si>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</si>
  <si>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</si>
  <si>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</si>
  <si>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</si>
  <si>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</si>
  <si>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</si>
  <si>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</si>
  <si>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</si>
  <si>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</si>
  <si>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</si>
  <si>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</si>
  <si>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</si>
  <si>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</si>
  <si>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</si>
  <si>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</si>
  <si>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</si>
  <si>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</si>
  <si>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</si>
  <si>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</si>
  <si>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</si>
  <si>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</si>
  <si>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</si>
  <si>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</si>
  <si>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</si>
  <si>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</si>
  <si>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</si>
  <si>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</si>
  <si>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</si>
  <si>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</si>
  <si>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</si>
  <si>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</si>
  <si>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</si>
  <si>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</si>
  <si>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</si>
  <si>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</si>
  <si>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</si>
  <si>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</si>
  <si>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</si>
  <si>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</si>
  <si>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</si>
  <si>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</si>
  <si>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</si>
  <si>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</si>
  <si>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</si>
  <si>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</si>
  <si>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</si>
  <si>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</si>
  <si>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</si>
  <si>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</si>
  <si>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</si>
  <si>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</si>
  <si>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</si>
  <si>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</si>
  <si>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</si>
  <si>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</si>
  <si>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</si>
  <si>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</si>
  <si>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</si>
  <si>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</si>
  <si>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</si>
  <si>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</si>
  <si>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</si>
  <si>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</si>
  <si>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</si>
  <si>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</si>
  <si>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</si>
  <si>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</si>
  <si>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</si>
  <si>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</si>
  <si>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</si>
  <si>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</si>
  <si>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</si>
  <si>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</si>
  <si>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</si>
  <si>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</si>
  <si>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</si>
  <si>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</si>
  <si>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</si>
  <si>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</si>
  <si>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</si>
  <si>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</si>
  <si>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</si>
  <si>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</si>
  <si>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</si>
  <si>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</si>
  <si>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</si>
  <si>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</si>
  <si>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</si>
  <si>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</si>
  <si>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</si>
  <si>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</si>
  <si>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</si>
  <si>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</si>
  <si>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</si>
  <si>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</si>
  <si>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</si>
  <si>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</si>
  <si>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</si>
  <si>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</si>
  <si>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</si>
  <si>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</si>
  <si>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</si>
  <si>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</si>
  <si>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</si>
  <si>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</si>
  <si>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</si>
  <si>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</si>
  <si>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</si>
  <si>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</si>
  <si>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</si>
  <si>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</si>
  <si>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</si>
  <si>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</si>
  <si>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</si>
  <si>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</si>
  <si>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</si>
  <si>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</si>
  <si>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</si>
  <si>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</si>
  <si>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</si>
  <si>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</si>
  <si>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</si>
  <si>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</si>
  <si>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</si>
  <si>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</si>
  <si>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</si>
  <si>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</si>
  <si>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</si>
  <si>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</si>
  <si>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</si>
  <si>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</si>
  <si>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</si>
  <si>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</si>
  <si>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</si>
  <si>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</si>
  <si>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</si>
  <si>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</si>
  <si>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</si>
  <si>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</si>
  <si>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</si>
  <si>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</si>
  <si>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</si>
  <si>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</si>
  <si>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</si>
  <si>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</si>
  <si>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</si>
  <si>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</si>
  <si>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</si>
  <si>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</si>
  <si>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</si>
  <si>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</si>
  <si>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</si>
  <si>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</si>
  <si>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</si>
  <si>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</si>
  <si>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</si>
  <si>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</si>
  <si>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</si>
  <si>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</si>
  <si>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</si>
  <si>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</si>
  <si>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</si>
  <si>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</si>
  <si>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</si>
  <si>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</si>
  <si>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</si>
  <si>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</si>
  <si>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</si>
  <si>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</si>
  <si>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</si>
  <si>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</si>
  <si>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</si>
  <si>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</si>
  <si>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</si>
  <si>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</si>
  <si>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</si>
  <si>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</si>
  <si>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</si>
  <si>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</si>
  <si>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</si>
  <si>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</si>
  <si>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</si>
  <si>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</si>
  <si>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</si>
  <si>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</si>
  <si>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</si>
  <si>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</si>
  <si>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</si>
  <si>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</si>
  <si>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</si>
  <si>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</si>
  <si>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</si>
  <si>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</si>
  <si>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</si>
  <si>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</si>
  <si>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</si>
  <si>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</si>
  <si>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</si>
  <si>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</si>
  <si>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</si>
  <si>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</si>
  <si>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</si>
  <si>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</si>
  <si>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</si>
  <si>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</si>
  <si>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</si>
  <si>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</si>
  <si>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</si>
  <si>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</si>
  <si>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</si>
  <si>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</si>
  <si>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</si>
  <si>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</si>
  <si>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</si>
  <si>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</si>
  <si>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</si>
  <si>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</si>
  <si>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</si>
  <si>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</si>
  <si>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</si>
  <si>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</si>
  <si>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</si>
  <si>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</si>
  <si>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</si>
  <si>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</si>
  <si>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</si>
  <si>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</si>
  <si>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</si>
  <si>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</si>
  <si>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</si>
  <si>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</si>
  <si>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</si>
  <si>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</si>
  <si>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</si>
  <si>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</si>
  <si>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</si>
  <si>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</si>
  <si>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</si>
  <si>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</si>
  <si>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</si>
  <si>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</si>
  <si>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</si>
  <si>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</si>
  <si>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</si>
  <si>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</si>
  <si>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</si>
  <si>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</si>
  <si>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</si>
  <si>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</si>
  <si>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</si>
  <si>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</si>
  <si>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</si>
  <si>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</si>
  <si>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</si>
  <si>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</si>
  <si>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</si>
  <si>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</si>
  <si>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</si>
  <si>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</si>
  <si>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</si>
  <si>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</si>
  <si>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</si>
  <si>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</si>
  <si>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</si>
  <si>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</si>
  <si>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</si>
  <si>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</si>
  <si>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</si>
  <si>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</si>
  <si>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</si>
  <si>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</si>
  <si>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</si>
  <si>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</si>
  <si>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</si>
  <si>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</si>
  <si>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</si>
  <si>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</si>
  <si>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</si>
  <si>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</si>
  <si>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</si>
  <si>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</si>
  <si>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</si>
  <si>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</si>
  <si>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</si>
  <si>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</si>
  <si>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</si>
  <si>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</si>
  <si>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</si>
  <si>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</si>
  <si>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</si>
  <si>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</si>
  <si>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</si>
  <si>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</si>
  <si>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</si>
  <si>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</si>
  <si>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</si>
  <si>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</si>
  <si>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</si>
  <si>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</si>
  <si>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</si>
  <si>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</si>
  <si>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</si>
  <si>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</si>
  <si>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</si>
  <si>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</si>
  <si>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</si>
  <si>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</si>
  <si>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</si>
  <si>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</si>
  <si>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</si>
  <si>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</si>
  <si>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</si>
  <si>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</si>
  <si>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</si>
  <si>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</si>
  <si>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</si>
  <si>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</si>
  <si>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</si>
  <si>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</si>
  <si>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</si>
  <si>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</si>
  <si>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</si>
  <si>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</si>
  <si>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</si>
  <si>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</si>
  <si>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</si>
  <si>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</si>
  <si>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</si>
  <si>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</si>
  <si>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</si>
  <si>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</si>
  <si>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</si>
  <si>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</si>
  <si>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</si>
  <si>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</si>
  <si>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</si>
  <si>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</si>
  <si>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</si>
  <si>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</si>
  <si>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</si>
  <si>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</si>
  <si>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</si>
  <si>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</si>
  <si>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</si>
  <si>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</si>
  <si>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</si>
  <si>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</si>
  <si>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</si>
  <si>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</si>
  <si>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</si>
  <si>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</si>
  <si>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</si>
  <si>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</si>
  <si>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</si>
  <si>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</si>
  <si>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</si>
  <si>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</si>
  <si>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</si>
  <si>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</si>
  <si>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</si>
  <si>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</si>
  <si>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</si>
  <si>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</si>
  <si>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</si>
  <si>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</si>
  <si>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</si>
  <si>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</si>
  <si>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</si>
  <si>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</si>
  <si>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</si>
  <si>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</si>
  <si>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</si>
  <si>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</si>
  <si>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</si>
  <si>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</si>
  <si>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</si>
  <si>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</si>
  <si>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</si>
  <si>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</si>
  <si>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</si>
  <si>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</si>
  <si>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</si>
  <si>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</si>
  <si>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</si>
  <si>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</si>
  <si>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</si>
  <si>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</si>
  <si>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</si>
  <si>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</si>
  <si>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</si>
  <si>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</si>
  <si>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</si>
  <si>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</si>
  <si>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</si>
  <si>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</si>
  <si>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</si>
  <si>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</si>
  <si>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</si>
  <si>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</si>
  <si>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</si>
  <si>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</si>
  <si>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</si>
  <si>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</si>
  <si>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</si>
  <si>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</si>
  <si>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</si>
  <si>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</si>
  <si>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</si>
  <si>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</si>
  <si>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</si>
  <si>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</si>
  <si>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</si>
  <si>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</si>
  <si>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</si>
  <si>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</si>
  <si>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</si>
  <si>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</si>
  <si>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</si>
  <si>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</si>
  <si>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</si>
  <si>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</si>
  <si>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</si>
  <si>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</si>
  <si>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</si>
  <si>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</si>
  <si>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</si>
  <si>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</si>
  <si>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</si>
  <si>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</si>
  <si>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</si>
  <si>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</si>
  <si>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</si>
  <si>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</si>
  <si>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</si>
  <si>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</si>
  <si>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</si>
  <si>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</si>
  <si>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</si>
  <si>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</si>
  <si>
    <t xml:space="preserve">        Household sector, of which</t>
  </si>
  <si>
    <t xml:space="preserve">        General Government</t>
  </si>
  <si>
    <t xml:space="preserve">            Private financial corporations</t>
  </si>
  <si>
    <t xml:space="preserve">            Public financial corporations</t>
  </si>
  <si>
    <t xml:space="preserve">        Financial corporations</t>
  </si>
  <si>
    <t xml:space="preserve">            Private non-financial corporations</t>
  </si>
  <si>
    <t xml:space="preserve">            Public non-financial corporations</t>
  </si>
  <si>
    <t xml:space="preserve">        Non financial corporations</t>
  </si>
  <si>
    <t>% share in Gross Savings : 2000-01 to 2023-24</t>
  </si>
  <si>
    <t>Gross Savings and Its Components at Current Prices: Base Year 2011-12</t>
  </si>
  <si>
    <t xml:space="preserve">            Net financial saving HH</t>
  </si>
  <si>
    <t xml:space="preserve">            Gross financial saving HH</t>
  </si>
  <si>
    <t xml:space="preserve">            Financial liabilities HH </t>
  </si>
  <si>
    <t xml:space="preserve">            Saving in physical assets HH</t>
  </si>
  <si>
    <t xml:space="preserve">            Saving in the form of gold &amp; silver ornaments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</si>
</sst>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1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  <xf numFmtId="4" fontId="0" fillId="2" borderId="0" xfId="0" applyNumberFormat="1" applyFill="1"/>
    <xf numFmtId="10" fontId="0" fillId="0" borderId="0" xfId="2" applyNumberFormat="1" applyFont="1"/>
  </cellXfs>
  <cellStyles count="3">
    <cellStyle name="Normal" xfId="0" builtinId="0"/>
    <cellStyle name="Normal 2" xfId="1" xr:uid="{6A1598B3-D303-4F43-B777-ECC8772EE586}"/>
    <cellStyle name="Per 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Share of Indian Savings (% of Total Savings)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'Savings-PercentGDP'!$A$6</c:f>
              <c:strCache>
                <c:ptCount val="1"/>
                <c:pt idx="0">
                  <c:v>            Public non-financial corporations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'Savings-PercentGDP'!$B$6:$Y$6</c:f>
              <c:numCache>
                <c:formatCode>General</c:formatCode>
                <c:ptCount val="24"/>
                <c:pt idx="11">
                  <c:v>4.09</c:v>
                </c:pt>
                <c:pt idx="12">
                  <c:v>3.68</c:v>
                </c:pt>
                <c:pt idx="13">
                  <c:v>3.5</c:v>
                </c:pt>
                <c:pt idx="14">
                  <c:v>3.21</c:v>
                </c:pt>
                <c:pt idx="15">
                  <c:v>3.6</c:v>
                </c:pt>
                <c:pt idx="16">
                  <c:v>3.57</c:v>
                </c:pt>
                <c:pt idx="17">
                  <c:v>4.33</c:v>
                </c:pt>
                <c:pt idx="18">
                  <c:v>4.18</c:v>
                </c:pt>
                <c:pt idx="19">
                  <c:v>4.92</c:v>
                </c:pt>
                <c:pt idx="20">
                  <c:v>4.04</c:v>
                </c:pt>
                <c:pt idx="21">
                  <c:v>4.24</c:v>
                </c:pt>
                <c:pt idx="22">
                  <c:v>4.03</c:v>
                </c:pt>
                <c:pt idx="23">
                  <c:v>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7-9443-8299-5696EB280628}"/>
            </c:ext>
          </c:extLst>
        </c:ser>
        <c:ser>
          <c:idx val="1"/>
          <c:order val="1"/>
          <c:tx>
            <c:strRef>
              <c:f>'Savings-PercentGDP'!$A$7</c:f>
              <c:strCache>
                <c:ptCount val="1"/>
                <c:pt idx="0">
                  <c:v>            Private non-financial corporations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'Savings-PercentGDP'!$B$7:$Y$7</c:f>
              <c:numCache>
                <c:formatCode>General</c:formatCode>
                <c:ptCount val="24"/>
                <c:pt idx="0">
                  <c:v>15.64</c:v>
                </c:pt>
                <c:pt idx="1">
                  <c:v>12.28</c:v>
                </c:pt>
                <c:pt idx="2">
                  <c:v>13.66</c:v>
                </c:pt>
                <c:pt idx="3">
                  <c:v>13.79</c:v>
                </c:pt>
                <c:pt idx="4">
                  <c:v>20.39</c:v>
                </c:pt>
                <c:pt idx="5">
                  <c:v>22.38</c:v>
                </c:pt>
                <c:pt idx="6">
                  <c:v>24.93</c:v>
                </c:pt>
                <c:pt idx="7">
                  <c:v>27.43</c:v>
                </c:pt>
                <c:pt idx="8">
                  <c:v>23.06</c:v>
                </c:pt>
                <c:pt idx="9">
                  <c:v>26.08</c:v>
                </c:pt>
                <c:pt idx="10">
                  <c:v>24.18</c:v>
                </c:pt>
                <c:pt idx="11">
                  <c:v>23.9</c:v>
                </c:pt>
                <c:pt idx="12">
                  <c:v>25.77</c:v>
                </c:pt>
                <c:pt idx="13">
                  <c:v>29.86</c:v>
                </c:pt>
                <c:pt idx="14">
                  <c:v>32.04</c:v>
                </c:pt>
                <c:pt idx="15">
                  <c:v>35.57</c:v>
                </c:pt>
                <c:pt idx="16">
                  <c:v>33.96</c:v>
                </c:pt>
                <c:pt idx="17">
                  <c:v>32.26</c:v>
                </c:pt>
                <c:pt idx="18">
                  <c:v>30.17</c:v>
                </c:pt>
                <c:pt idx="19">
                  <c:v>30.95</c:v>
                </c:pt>
                <c:pt idx="20">
                  <c:v>32.06</c:v>
                </c:pt>
                <c:pt idx="21">
                  <c:v>32.880000000000003</c:v>
                </c:pt>
                <c:pt idx="22">
                  <c:v>32.08</c:v>
                </c:pt>
                <c:pt idx="23">
                  <c:v>31.05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7-9443-8299-5696EB280628}"/>
            </c:ext>
          </c:extLst>
        </c:ser>
        <c:ser>
          <c:idx val="2"/>
          <c:order val="2"/>
          <c:tx>
            <c:strRef>
              <c:f>'Savings-PercentGDP'!$A$9</c:f>
              <c:strCache>
                <c:ptCount val="1"/>
                <c:pt idx="0">
                  <c:v>            Public financial corporations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'Savings-PercentGDP'!$B$9:$Y$9</c:f>
              <c:numCache>
                <c:formatCode>General</c:formatCode>
                <c:ptCount val="24"/>
                <c:pt idx="11">
                  <c:v>5.58</c:v>
                </c:pt>
                <c:pt idx="12">
                  <c:v>5.19</c:v>
                </c:pt>
                <c:pt idx="13">
                  <c:v>4.5199999999999996</c:v>
                </c:pt>
                <c:pt idx="14">
                  <c:v>4.2300000000000004</c:v>
                </c:pt>
                <c:pt idx="15">
                  <c:v>4.12</c:v>
                </c:pt>
                <c:pt idx="16">
                  <c:v>4.46</c:v>
                </c:pt>
                <c:pt idx="17">
                  <c:v>4.33</c:v>
                </c:pt>
                <c:pt idx="18">
                  <c:v>2.97</c:v>
                </c:pt>
                <c:pt idx="19">
                  <c:v>5.26</c:v>
                </c:pt>
                <c:pt idx="20">
                  <c:v>4.84</c:v>
                </c:pt>
                <c:pt idx="21">
                  <c:v>4.88</c:v>
                </c:pt>
                <c:pt idx="22">
                  <c:v>5.63</c:v>
                </c:pt>
                <c:pt idx="23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7-9443-8299-5696EB280628}"/>
            </c:ext>
          </c:extLst>
        </c:ser>
        <c:ser>
          <c:idx val="3"/>
          <c:order val="3"/>
          <c:tx>
            <c:strRef>
              <c:f>'Savings-PercentGDP'!$A$10</c:f>
              <c:strCache>
                <c:ptCount val="1"/>
                <c:pt idx="0">
                  <c:v>            Private financial corporations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'Savings-PercentGDP'!$B$10:$Y$10</c:f>
              <c:numCache>
                <c:formatCode>General</c:formatCode>
                <c:ptCount val="24"/>
                <c:pt idx="0">
                  <c:v>-0.06</c:v>
                </c:pt>
                <c:pt idx="1">
                  <c:v>0.62</c:v>
                </c:pt>
                <c:pt idx="2">
                  <c:v>0.66</c:v>
                </c:pt>
                <c:pt idx="3">
                  <c:v>0.74</c:v>
                </c:pt>
                <c:pt idx="4">
                  <c:v>4.55</c:v>
                </c:pt>
                <c:pt idx="5">
                  <c:v>6.67</c:v>
                </c:pt>
                <c:pt idx="6">
                  <c:v>3.82</c:v>
                </c:pt>
                <c:pt idx="7">
                  <c:v>4.84</c:v>
                </c:pt>
                <c:pt idx="8">
                  <c:v>3.36</c:v>
                </c:pt>
                <c:pt idx="9">
                  <c:v>3.36</c:v>
                </c:pt>
                <c:pt idx="10">
                  <c:v>3.47</c:v>
                </c:pt>
                <c:pt idx="11">
                  <c:v>3.42</c:v>
                </c:pt>
                <c:pt idx="12">
                  <c:v>3.73</c:v>
                </c:pt>
                <c:pt idx="13">
                  <c:v>3.6</c:v>
                </c:pt>
                <c:pt idx="14">
                  <c:v>4.21</c:v>
                </c:pt>
                <c:pt idx="15">
                  <c:v>2.69</c:v>
                </c:pt>
                <c:pt idx="16">
                  <c:v>2.76</c:v>
                </c:pt>
                <c:pt idx="17">
                  <c:v>2.74</c:v>
                </c:pt>
                <c:pt idx="18">
                  <c:v>2.93</c:v>
                </c:pt>
                <c:pt idx="19">
                  <c:v>3.57</c:v>
                </c:pt>
                <c:pt idx="20">
                  <c:v>4.04</c:v>
                </c:pt>
                <c:pt idx="21">
                  <c:v>3.14</c:v>
                </c:pt>
                <c:pt idx="22">
                  <c:v>3.71</c:v>
                </c:pt>
                <c:pt idx="2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07-9443-8299-5696EB280628}"/>
            </c:ext>
          </c:extLst>
        </c:ser>
        <c:ser>
          <c:idx val="5"/>
          <c:order val="4"/>
          <c:tx>
            <c:strRef>
              <c:f>'Savings-PercentGDP'!$A$13</c:f>
              <c:strCache>
                <c:ptCount val="1"/>
                <c:pt idx="0">
                  <c:v>            Net financial saving HH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'Savings-PercentGDP'!$B$13:$Y$13</c:f>
              <c:numCache>
                <c:formatCode>General</c:formatCode>
                <c:ptCount val="24"/>
                <c:pt idx="0">
                  <c:v>40.49</c:v>
                </c:pt>
                <c:pt idx="1">
                  <c:v>41.03</c:v>
                </c:pt>
                <c:pt idx="2">
                  <c:v>37.89</c:v>
                </c:pt>
                <c:pt idx="3">
                  <c:v>37.92</c:v>
                </c:pt>
                <c:pt idx="4">
                  <c:v>28.79</c:v>
                </c:pt>
                <c:pt idx="5">
                  <c:v>29.44</c:v>
                </c:pt>
                <c:pt idx="6">
                  <c:v>27.43</c:v>
                </c:pt>
                <c:pt idx="7">
                  <c:v>24.3</c:v>
                </c:pt>
                <c:pt idx="8">
                  <c:v>30.16</c:v>
                </c:pt>
                <c:pt idx="9">
                  <c:v>30.14</c:v>
                </c:pt>
                <c:pt idx="10">
                  <c:v>28.31</c:v>
                </c:pt>
                <c:pt idx="11">
                  <c:v>21.23</c:v>
                </c:pt>
                <c:pt idx="12">
                  <c:v>21.77</c:v>
                </c:pt>
                <c:pt idx="13">
                  <c:v>23.06</c:v>
                </c:pt>
                <c:pt idx="14">
                  <c:v>21.9</c:v>
                </c:pt>
                <c:pt idx="15">
                  <c:v>25.94</c:v>
                </c:pt>
                <c:pt idx="16">
                  <c:v>23.75</c:v>
                </c:pt>
                <c:pt idx="17">
                  <c:v>23.82</c:v>
                </c:pt>
                <c:pt idx="18">
                  <c:v>24.87</c:v>
                </c:pt>
                <c:pt idx="19">
                  <c:v>26.09</c:v>
                </c:pt>
                <c:pt idx="20">
                  <c:v>40.26</c:v>
                </c:pt>
                <c:pt idx="21">
                  <c:v>23.26</c:v>
                </c:pt>
                <c:pt idx="22">
                  <c:v>16.149999999999999</c:v>
                </c:pt>
                <c:pt idx="23">
                  <c:v>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07-9443-8299-5696EB280628}"/>
            </c:ext>
          </c:extLst>
        </c:ser>
        <c:ser>
          <c:idx val="6"/>
          <c:order val="5"/>
          <c:tx>
            <c:strRef>
              <c:f>'Savings-PercentGDP'!$A$16</c:f>
              <c:strCache>
                <c:ptCount val="1"/>
                <c:pt idx="0">
                  <c:v>            Saving in physical assets HH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'Savings-PercentGDP'!$B$16:$Y$16</c:f>
              <c:numCache>
                <c:formatCode>General</c:formatCode>
                <c:ptCount val="24"/>
                <c:pt idx="11">
                  <c:v>45.9</c:v>
                </c:pt>
                <c:pt idx="12">
                  <c:v>43.48</c:v>
                </c:pt>
                <c:pt idx="13">
                  <c:v>39.26</c:v>
                </c:pt>
                <c:pt idx="14">
                  <c:v>37.64</c:v>
                </c:pt>
                <c:pt idx="15">
                  <c:v>30.77</c:v>
                </c:pt>
                <c:pt idx="16">
                  <c:v>33.049999999999997</c:v>
                </c:pt>
                <c:pt idx="17">
                  <c:v>35.47</c:v>
                </c:pt>
                <c:pt idx="18">
                  <c:v>38.49</c:v>
                </c:pt>
                <c:pt idx="19">
                  <c:v>37.909999999999997</c:v>
                </c:pt>
                <c:pt idx="20">
                  <c:v>36.9</c:v>
                </c:pt>
                <c:pt idx="21">
                  <c:v>40.31</c:v>
                </c:pt>
                <c:pt idx="22">
                  <c:v>43.85</c:v>
                </c:pt>
                <c:pt idx="23">
                  <c:v>41.52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07-9443-8299-5696EB280628}"/>
            </c:ext>
          </c:extLst>
        </c:ser>
        <c:ser>
          <c:idx val="7"/>
          <c:order val="6"/>
          <c:tx>
            <c:strRef>
              <c:f>'Savings-PercentGDP'!$A$17</c:f>
              <c:strCache>
                <c:ptCount val="1"/>
                <c:pt idx="0">
                  <c:v>            Saving in the form of gold &amp; silver ornaments HH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'Savings-PercentGDP'!$B$17:$Y$17</c:f>
              <c:numCache>
                <c:formatCode>General</c:formatCode>
                <c:ptCount val="24"/>
                <c:pt idx="11">
                  <c:v>1.1100000000000001</c:v>
                </c:pt>
                <c:pt idx="12">
                  <c:v>1.0900000000000001</c:v>
                </c:pt>
                <c:pt idx="13">
                  <c:v>1.02</c:v>
                </c:pt>
                <c:pt idx="14">
                  <c:v>1.1299999999999999</c:v>
                </c:pt>
                <c:pt idx="15">
                  <c:v>1.0900000000000001</c:v>
                </c:pt>
                <c:pt idx="16">
                  <c:v>0.96</c:v>
                </c:pt>
                <c:pt idx="17">
                  <c:v>0.85</c:v>
                </c:pt>
                <c:pt idx="18">
                  <c:v>0.71</c:v>
                </c:pt>
                <c:pt idx="19">
                  <c:v>0.73</c:v>
                </c:pt>
                <c:pt idx="20">
                  <c:v>0.7</c:v>
                </c:pt>
                <c:pt idx="21">
                  <c:v>0.83</c:v>
                </c:pt>
                <c:pt idx="22">
                  <c:v>0.78</c:v>
                </c:pt>
                <c:pt idx="2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07-9443-8299-5696EB280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388479"/>
        <c:axId val="1575555455"/>
      </c:areaChart>
      <c:catAx>
        <c:axId val="15753884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55455"/>
        <c:crosses val="autoZero"/>
        <c:auto val="1"/>
        <c:lblAlgn val="ctr"/>
        <c:lblOffset val="100"/>
        <c:noMultiLvlLbl val="0"/>
      </c:catAx>
      <c:valAx>
        <c:axId val="157555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38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1-4140-89E3-1F1AE9E633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5081279"/>
        <c:axId val="1585082175"/>
      </c:barChart>
      <c:catAx>
        <c:axId val="158508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2175"/>
        <c:crosses val="autoZero"/>
        <c:auto val="1"/>
        <c:lblAlgn val="ctr"/>
        <c:lblOffset val="100"/>
        <c:noMultiLvlLbl val="0"/>
      </c:catAx>
      <c:valAx>
        <c:axId val="1585082175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1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of Indian Households (2023-24)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('GCF-Financing'!$A$19,'GCF-Financing'!$A$22,'GCF-Financing'!$A$23)</c:f>
              <c:strCache>
                <c:ptCount val="3"/>
                <c:pt idx="0">
                  <c:v>                Net financial saving (household)</c:v>
                </c:pt>
                <c:pt idx="1">
                  <c:v>                Saving in physical assets</c:v>
                </c:pt>
                <c:pt idx="2">
                  <c:v>                Saving in the form of gold &amp; silver ornaments</c:v>
                </c:pt>
              </c:strCache>
            </c:strRef>
          </c:cat>
          <c:val>
            <c:numRef>
              <c:f>('GCF-Financing'!$N$19,'GCF-Financing'!$N$22,'GCF-Financing'!$N$23)</c:f>
              <c:numCache>
                <c:formatCode>#,##0.00</c:formatCode>
                <c:ptCount val="3"/>
                <c:pt idx="0">
                  <c:v>15516410</c:v>
                </c:pt>
                <c:pt idx="1">
                  <c:v>38445150</c:v>
                </c:pt>
                <c:pt idx="2">
                  <c:v>651040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6-5E44-ADD1-E90F2C866E6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380360512787137"/>
          <c:y val="0.22770843536902385"/>
          <c:w val="0.35718061726130967"/>
          <c:h val="0.3698820781373620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India Sources of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'GCF-Financing'!$B$7:$N$7</c:f>
              <c:numCache>
                <c:formatCode>#,##0.00</c:formatCode>
                <c:ptCount val="13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  <c:pt idx="10">
                  <c:v>27331260.100000001</c:v>
                </c:pt>
                <c:pt idx="11">
                  <c:v>29763748.5</c:v>
                </c:pt>
                <c:pt idx="12">
                  <c:v>33289470.100000001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7-484B-8806-68CDC1984B42}"/>
            </c:ext>
          </c:extLst>
        </c:ser>
        <c:ser>
          <c:idx val="1"/>
          <c:order val="1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gradFill>
              <a:gsLst>
                <a:gs pos="100000">
                  <a:schemeClr val="accent2"/>
                </a:gs>
                <a:gs pos="0">
                  <a:schemeClr val="accent2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'GCF-Financing'!$B$12:$N$12</c:f>
              <c:numCache>
                <c:formatCode>#,##0.00</c:formatCode>
                <c:ptCount val="13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  <c:pt idx="10">
                  <c:v>5910022.2000000002</c:v>
                </c:pt>
                <c:pt idx="11">
                  <c:v>7698213.4000000004</c:v>
                </c:pt>
                <c:pt idx="12">
                  <c:v>7549132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7-484B-8806-68CDC1984B42}"/>
            </c:ext>
          </c:extLst>
        </c:ser>
        <c:ser>
          <c:idx val="2"/>
          <c:order val="2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'GCF-Financing'!$B$17:$N$17</c:f>
              <c:numCache>
                <c:formatCode>#,##0.00</c:formatCode>
                <c:ptCount val="13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  <c:pt idx="10">
                  <c:v>-7033589.9000000004</c:v>
                </c:pt>
                <c:pt idx="11">
                  <c:v>-5126224.2</c:v>
                </c:pt>
                <c:pt idx="12">
                  <c:v>-2859337.9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7-484B-8806-68CDC1984B42}"/>
            </c:ext>
          </c:extLst>
        </c:ser>
        <c:ser>
          <c:idx val="3"/>
          <c:order val="3"/>
          <c:tx>
            <c:strRef>
              <c:f>'GCF-Financing'!$A$18</c:f>
              <c:strCache>
                <c:ptCount val="1"/>
                <c:pt idx="0">
                  <c:v>            Household sector</c:v>
                </c:pt>
              </c:strCache>
            </c:strRef>
          </c:tx>
          <c:spPr>
            <a:gradFill>
              <a:gsLst>
                <a:gs pos="100000">
                  <a:schemeClr val="accent4"/>
                </a:gs>
                <a:gs pos="0">
                  <a:schemeClr val="accent4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'GCF-Financing'!$B$18:$N$18</c:f>
              <c:numCache>
                <c:formatCode>#,##0.00</c:formatCode>
                <c:ptCount val="13"/>
                <c:pt idx="0">
                  <c:v>20655660</c:v>
                </c:pt>
                <c:pt idx="1">
                  <c:v>22352800</c:v>
                </c:pt>
                <c:pt idx="2">
                  <c:v>22853010</c:v>
                </c:pt>
                <c:pt idx="3">
                  <c:v>24391040</c:v>
                </c:pt>
                <c:pt idx="4">
                  <c:v>24749130</c:v>
                </c:pt>
                <c:pt idx="5">
                  <c:v>27871340</c:v>
                </c:pt>
                <c:pt idx="6">
                  <c:v>32965960</c:v>
                </c:pt>
                <c:pt idx="7">
                  <c:v>38445820</c:v>
                </c:pt>
                <c:pt idx="8">
                  <c:v>39291480</c:v>
                </c:pt>
                <c:pt idx="9">
                  <c:v>43905840</c:v>
                </c:pt>
                <c:pt idx="10">
                  <c:v>47423332.700000003</c:v>
                </c:pt>
                <c:pt idx="11">
                  <c:v>50104750</c:v>
                </c:pt>
                <c:pt idx="12">
                  <c:v>54612590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7-484B-8806-68CDC1984B42}"/>
            </c:ext>
          </c:extLst>
        </c:ser>
        <c:ser>
          <c:idx val="4"/>
          <c:order val="4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gradFill>
              <a:gsLst>
                <a:gs pos="100000">
                  <a:schemeClr val="accent5"/>
                </a:gs>
                <a:gs pos="0">
                  <a:schemeClr val="accent5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B7-484B-8806-68CDC198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727103"/>
        <c:axId val="1572900799"/>
      </c:areaChart>
      <c:catAx>
        <c:axId val="187272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900799"/>
        <c:crosses val="autoZero"/>
        <c:auto val="1"/>
        <c:lblAlgn val="ctr"/>
        <c:lblOffset val="100"/>
        <c:noMultiLvlLbl val="0"/>
      </c:catAx>
      <c:valAx>
        <c:axId val="157290079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727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_xlchart.v1.99</cx:f>
      </cx:strDim>
      <cx:numDim type="size">
        <cx:f>_xlchart.v1.100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microsoft.com/office/2014/relationships/chartEx" Target="../charts/chartEx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19</xdr:row>
      <xdr:rowOff>127000</xdr:rowOff>
    </xdr:from>
    <xdr:to>
      <xdr:col>13</xdr:col>
      <xdr:colOff>292100</xdr:colOff>
      <xdr:row>42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C0BCD6-9C93-2D31-E00A-E5AD3DAFA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25</xdr:row>
      <xdr:rowOff>127000</xdr:rowOff>
    </xdr:from>
    <xdr:to>
      <xdr:col>13</xdr:col>
      <xdr:colOff>546100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47C1B0-2C1A-FAE4-CDE3-E0AE54223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1936750</xdr:colOff>
      <xdr:row>27</xdr:row>
      <xdr:rowOff>152400</xdr:rowOff>
    </xdr:from>
    <xdr:to>
      <xdr:col>20</xdr:col>
      <xdr:colOff>25400</xdr:colOff>
      <xdr:row>53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E62AC7-0D6E-495F-A826-ADEC8985A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349250</xdr:colOff>
      <xdr:row>30</xdr:row>
      <xdr:rowOff>69850</xdr:rowOff>
    </xdr:from>
    <xdr:to>
      <xdr:col>6</xdr:col>
      <xdr:colOff>609600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2A64D2-4BC8-B24B-3A27-B119A608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kalyan/Downloads/Rate%20of%20Savings.xlsx" TargetMode="External"/><Relationship Id="rId1" Type="http://schemas.openxmlformats.org/officeDocument/2006/relationships/externalLinkPath" Target="/Users/kalyan/Downloads/Rate%20of%20Sav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vings-Rates-Institutions"/>
    </sheetNames>
    <sheetDataSet>
      <sheetData sheetId="0">
        <row r="1">
          <cell r="B1" t="str">
            <v xml:space="preserve">Total </v>
          </cell>
          <cell r="C1" t="str">
            <v xml:space="preserve">Public non-financial 
corp. </v>
          </cell>
          <cell r="D1" t="str">
            <v xml:space="preserve">Private non- financial  
corp. </v>
          </cell>
          <cell r="E1" t="str">
            <v>Public financial  
corp.</v>
          </cell>
          <cell r="F1" t="str">
            <v xml:space="preserve">Private financial
 corp </v>
          </cell>
          <cell r="G1" t="str">
            <v xml:space="preserve">General Government </v>
          </cell>
          <cell r="H1" t="str">
            <v xml:space="preserve">Households including  NPISH </v>
          </cell>
        </row>
        <row r="2">
          <cell r="B2">
            <v>30.74</v>
          </cell>
          <cell r="C2">
            <v>1.51</v>
          </cell>
          <cell r="D2">
            <v>9.5399999999999991</v>
          </cell>
          <cell r="E2">
            <v>1.39</v>
          </cell>
          <cell r="F2">
            <v>1.1100000000000001</v>
          </cell>
          <cell r="G2">
            <v>-0.95</v>
          </cell>
          <cell r="H2">
            <v>18.13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8EF0-A591-814D-928E-A1C07F3B9244}">
  <dimension ref="A1:Y17"/>
  <sheetViews>
    <sheetView topLeftCell="A26" workbookViewId="0">
      <selection activeCell="A3" sqref="A3"/>
    </sheetView>
  </sheetViews>
  <sheetFormatPr baseColWidth="10" defaultRowHeight="16" x14ac:dyDescent="0.2"/>
  <cols>
    <col min="1" max="1" width="61" bestFit="1" customWidth="1"/>
  </cols>
  <sheetData>
    <row r="1" spans="1:25" x14ac:dyDescent="0.2">
      <c r="A1" t="s">
        <v>1437</v>
      </c>
    </row>
    <row r="2" spans="1:25" x14ac:dyDescent="0.2">
      <c r="A2" t="s">
        <v>1436</v>
      </c>
    </row>
    <row r="3" spans="1:25" x14ac:dyDescent="0.2"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  <c r="H3" t="s">
        <v>182</v>
      </c>
      <c r="I3" t="s">
        <v>183</v>
      </c>
      <c r="J3" t="s">
        <v>184</v>
      </c>
      <c r="K3" t="s">
        <v>185</v>
      </c>
      <c r="L3" t="s">
        <v>186</v>
      </c>
      <c r="M3" t="s">
        <v>187</v>
      </c>
      <c r="N3" t="s">
        <v>188</v>
      </c>
      <c r="O3" t="s">
        <v>189</v>
      </c>
      <c r="P3" t="s">
        <v>190</v>
      </c>
      <c r="Q3" t="s">
        <v>191</v>
      </c>
      <c r="R3" t="s">
        <v>192</v>
      </c>
      <c r="S3" t="s">
        <v>193</v>
      </c>
      <c r="T3" t="s">
        <v>194</v>
      </c>
      <c r="U3" t="s">
        <v>195</v>
      </c>
      <c r="V3" t="s">
        <v>196</v>
      </c>
      <c r="W3" t="s">
        <v>197</v>
      </c>
      <c r="X3" t="s">
        <v>1204</v>
      </c>
      <c r="Y3" t="s">
        <v>1426</v>
      </c>
    </row>
    <row r="4" spans="1:25" x14ac:dyDescent="0.2">
      <c r="A4" t="s">
        <v>198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</row>
    <row r="5" spans="1:25" x14ac:dyDescent="0.2">
      <c r="A5" t="s">
        <v>1435</v>
      </c>
      <c r="M5">
        <v>27.99</v>
      </c>
      <c r="N5">
        <v>29.45</v>
      </c>
      <c r="O5">
        <v>33.36</v>
      </c>
      <c r="P5">
        <v>35.25</v>
      </c>
      <c r="Q5">
        <v>39.17</v>
      </c>
      <c r="R5">
        <v>37.53</v>
      </c>
      <c r="S5">
        <v>36.590000000000003</v>
      </c>
      <c r="T5">
        <v>34.35</v>
      </c>
      <c r="U5">
        <v>35.880000000000003</v>
      </c>
      <c r="V5">
        <v>36.1</v>
      </c>
      <c r="W5">
        <v>37.119999999999997</v>
      </c>
      <c r="X5">
        <v>36.1</v>
      </c>
      <c r="Y5">
        <v>35.950000000000003</v>
      </c>
    </row>
    <row r="6" spans="1:25" x14ac:dyDescent="0.2">
      <c r="A6" t="s">
        <v>1434</v>
      </c>
      <c r="M6">
        <v>4.09</v>
      </c>
      <c r="N6">
        <v>3.68</v>
      </c>
      <c r="O6">
        <v>3.5</v>
      </c>
      <c r="P6">
        <v>3.21</v>
      </c>
      <c r="Q6">
        <v>3.6</v>
      </c>
      <c r="R6">
        <v>3.57</v>
      </c>
      <c r="S6">
        <v>4.33</v>
      </c>
      <c r="T6">
        <v>4.18</v>
      </c>
      <c r="U6">
        <v>4.92</v>
      </c>
      <c r="V6">
        <v>4.04</v>
      </c>
      <c r="W6">
        <v>4.24</v>
      </c>
      <c r="X6">
        <v>4.03</v>
      </c>
      <c r="Y6">
        <v>4.9000000000000004</v>
      </c>
    </row>
    <row r="7" spans="1:25" x14ac:dyDescent="0.2">
      <c r="A7" t="s">
        <v>1433</v>
      </c>
      <c r="B7">
        <v>15.64</v>
      </c>
      <c r="C7">
        <v>12.28</v>
      </c>
      <c r="D7">
        <v>13.66</v>
      </c>
      <c r="E7">
        <v>13.79</v>
      </c>
      <c r="F7">
        <v>20.39</v>
      </c>
      <c r="G7">
        <v>22.38</v>
      </c>
      <c r="H7">
        <v>24.93</v>
      </c>
      <c r="I7">
        <v>27.43</v>
      </c>
      <c r="J7">
        <v>23.06</v>
      </c>
      <c r="K7">
        <v>26.08</v>
      </c>
      <c r="L7">
        <v>24.18</v>
      </c>
      <c r="M7">
        <v>23.9</v>
      </c>
      <c r="N7">
        <v>25.77</v>
      </c>
      <c r="O7">
        <v>29.86</v>
      </c>
      <c r="P7">
        <v>32.04</v>
      </c>
      <c r="Q7">
        <v>35.57</v>
      </c>
      <c r="R7">
        <v>33.96</v>
      </c>
      <c r="S7">
        <v>32.26</v>
      </c>
      <c r="T7">
        <v>30.17</v>
      </c>
      <c r="U7">
        <v>30.95</v>
      </c>
      <c r="V7">
        <v>32.06</v>
      </c>
      <c r="W7">
        <v>32.880000000000003</v>
      </c>
      <c r="X7">
        <v>32.08</v>
      </c>
      <c r="Y7">
        <v>31.05</v>
      </c>
    </row>
    <row r="8" spans="1:25" x14ac:dyDescent="0.2">
      <c r="A8" t="s">
        <v>1432</v>
      </c>
      <c r="M8">
        <v>9</v>
      </c>
      <c r="N8">
        <v>8.92</v>
      </c>
      <c r="O8">
        <v>8.1199999999999992</v>
      </c>
      <c r="P8">
        <v>8.43</v>
      </c>
      <c r="Q8">
        <v>6.81</v>
      </c>
      <c r="R8">
        <v>7.22</v>
      </c>
      <c r="S8">
        <v>7.06</v>
      </c>
      <c r="T8">
        <v>5.89</v>
      </c>
      <c r="U8">
        <v>8.83</v>
      </c>
      <c r="V8">
        <v>8.8800000000000008</v>
      </c>
      <c r="W8">
        <v>8.0299999999999994</v>
      </c>
      <c r="X8">
        <v>9.34</v>
      </c>
      <c r="Y8">
        <v>8.15</v>
      </c>
    </row>
    <row r="9" spans="1:25" x14ac:dyDescent="0.2">
      <c r="A9" t="s">
        <v>1431</v>
      </c>
      <c r="M9">
        <v>5.58</v>
      </c>
      <c r="N9">
        <v>5.19</v>
      </c>
      <c r="O9">
        <v>4.5199999999999996</v>
      </c>
      <c r="P9">
        <v>4.2300000000000004</v>
      </c>
      <c r="Q9">
        <v>4.12</v>
      </c>
      <c r="R9">
        <v>4.46</v>
      </c>
      <c r="S9">
        <v>4.33</v>
      </c>
      <c r="T9">
        <v>2.97</v>
      </c>
      <c r="U9">
        <v>5.26</v>
      </c>
      <c r="V9">
        <v>4.84</v>
      </c>
      <c r="W9">
        <v>4.88</v>
      </c>
      <c r="X9">
        <v>5.63</v>
      </c>
      <c r="Y9">
        <v>4.53</v>
      </c>
    </row>
    <row r="10" spans="1:25" x14ac:dyDescent="0.2">
      <c r="A10" t="s">
        <v>1430</v>
      </c>
      <c r="B10">
        <v>-0.06</v>
      </c>
      <c r="C10">
        <v>0.62</v>
      </c>
      <c r="D10">
        <v>0.66</v>
      </c>
      <c r="E10">
        <v>0.74</v>
      </c>
      <c r="F10">
        <v>4.55</v>
      </c>
      <c r="G10">
        <v>6.67</v>
      </c>
      <c r="H10">
        <v>3.82</v>
      </c>
      <c r="I10">
        <v>4.84</v>
      </c>
      <c r="J10">
        <v>3.36</v>
      </c>
      <c r="K10">
        <v>3.36</v>
      </c>
      <c r="L10">
        <v>3.47</v>
      </c>
      <c r="M10">
        <v>3.42</v>
      </c>
      <c r="N10">
        <v>3.73</v>
      </c>
      <c r="O10">
        <v>3.6</v>
      </c>
      <c r="P10">
        <v>4.21</v>
      </c>
      <c r="Q10">
        <v>2.69</v>
      </c>
      <c r="R10">
        <v>2.76</v>
      </c>
      <c r="S10">
        <v>2.74</v>
      </c>
      <c r="T10">
        <v>2.93</v>
      </c>
      <c r="U10">
        <v>3.57</v>
      </c>
      <c r="V10">
        <v>4.04</v>
      </c>
      <c r="W10">
        <v>3.14</v>
      </c>
      <c r="X10">
        <v>3.71</v>
      </c>
      <c r="Y10">
        <v>3.62</v>
      </c>
    </row>
    <row r="11" spans="1:25" x14ac:dyDescent="0.2">
      <c r="A11" t="s">
        <v>1429</v>
      </c>
      <c r="B11">
        <v>-17.54</v>
      </c>
      <c r="C11">
        <v>-18.46</v>
      </c>
      <c r="D11">
        <v>-15.53</v>
      </c>
      <c r="E11">
        <v>-9.77</v>
      </c>
      <c r="F11">
        <v>-5.89</v>
      </c>
      <c r="G11">
        <v>-5.22</v>
      </c>
      <c r="H11">
        <v>-2.6</v>
      </c>
      <c r="I11">
        <v>1.2</v>
      </c>
      <c r="J11">
        <v>-6.83</v>
      </c>
      <c r="K11">
        <v>-7.53</v>
      </c>
      <c r="L11">
        <v>-1.27</v>
      </c>
      <c r="M11">
        <v>-5.23</v>
      </c>
      <c r="N11">
        <v>-4.72</v>
      </c>
      <c r="O11">
        <v>-4.8099999999999996</v>
      </c>
      <c r="P11">
        <v>-4.3600000000000003</v>
      </c>
      <c r="Q11">
        <v>-3.77</v>
      </c>
      <c r="R11">
        <v>-2.52</v>
      </c>
      <c r="S11">
        <v>-3.8</v>
      </c>
      <c r="T11">
        <v>-4.32</v>
      </c>
      <c r="U11">
        <v>-9.43</v>
      </c>
      <c r="V11">
        <v>-22.83</v>
      </c>
      <c r="W11">
        <v>-9.5500000000000007</v>
      </c>
      <c r="X11">
        <v>-6.22</v>
      </c>
      <c r="Y11">
        <v>-3.09</v>
      </c>
    </row>
    <row r="12" spans="1:25" x14ac:dyDescent="0.2">
      <c r="A12" t="s">
        <v>1428</v>
      </c>
      <c r="B12">
        <v>87.26</v>
      </c>
      <c r="C12">
        <v>90.43</v>
      </c>
      <c r="D12">
        <v>84.43</v>
      </c>
      <c r="E12">
        <v>79.62</v>
      </c>
      <c r="F12">
        <v>67.48</v>
      </c>
      <c r="G12">
        <v>63.23</v>
      </c>
      <c r="H12">
        <v>60.61</v>
      </c>
      <c r="I12">
        <v>54.51</v>
      </c>
      <c r="J12">
        <v>69.83</v>
      </c>
      <c r="K12">
        <v>68.98</v>
      </c>
      <c r="L12">
        <v>65.040000000000006</v>
      </c>
      <c r="M12">
        <v>68.239999999999995</v>
      </c>
      <c r="N12">
        <v>66.34</v>
      </c>
      <c r="O12">
        <v>63.34</v>
      </c>
      <c r="P12">
        <v>60.67</v>
      </c>
      <c r="Q12">
        <v>57.79</v>
      </c>
      <c r="R12">
        <v>57.76</v>
      </c>
      <c r="S12">
        <v>60.15</v>
      </c>
      <c r="T12">
        <v>64.069999999999993</v>
      </c>
      <c r="U12">
        <v>64.72</v>
      </c>
      <c r="V12">
        <v>77.86</v>
      </c>
      <c r="W12">
        <v>64.41</v>
      </c>
      <c r="X12">
        <v>60.78</v>
      </c>
      <c r="Y12">
        <v>58.98</v>
      </c>
    </row>
    <row r="13" spans="1:25" x14ac:dyDescent="0.2">
      <c r="A13" t="s">
        <v>1438</v>
      </c>
      <c r="B13">
        <v>40.49</v>
      </c>
      <c r="C13">
        <v>41.03</v>
      </c>
      <c r="D13">
        <v>37.89</v>
      </c>
      <c r="E13">
        <v>37.92</v>
      </c>
      <c r="F13">
        <v>28.79</v>
      </c>
      <c r="G13">
        <v>29.44</v>
      </c>
      <c r="H13">
        <v>27.43</v>
      </c>
      <c r="I13">
        <v>24.3</v>
      </c>
      <c r="J13">
        <v>30.16</v>
      </c>
      <c r="K13">
        <v>30.14</v>
      </c>
      <c r="L13">
        <v>28.31</v>
      </c>
      <c r="M13">
        <v>21.23</v>
      </c>
      <c r="N13">
        <v>21.77</v>
      </c>
      <c r="O13">
        <v>23.06</v>
      </c>
      <c r="P13">
        <v>21.9</v>
      </c>
      <c r="Q13">
        <v>25.94</v>
      </c>
      <c r="R13">
        <v>23.75</v>
      </c>
      <c r="S13">
        <v>23.82</v>
      </c>
      <c r="T13">
        <v>24.87</v>
      </c>
      <c r="U13">
        <v>26.09</v>
      </c>
      <c r="V13">
        <v>40.26</v>
      </c>
      <c r="W13">
        <v>23.26</v>
      </c>
      <c r="X13">
        <v>16.149999999999999</v>
      </c>
      <c r="Y13">
        <v>16.760000000000002</v>
      </c>
    </row>
    <row r="14" spans="1:25" x14ac:dyDescent="0.2">
      <c r="A14" t="s">
        <v>1439</v>
      </c>
      <c r="M14">
        <v>30.82</v>
      </c>
      <c r="N14">
        <v>31.58</v>
      </c>
      <c r="O14">
        <v>33</v>
      </c>
      <c r="P14">
        <v>31.28</v>
      </c>
      <c r="Q14">
        <v>34.94</v>
      </c>
      <c r="R14">
        <v>33.46</v>
      </c>
      <c r="S14">
        <v>37.520000000000003</v>
      </c>
      <c r="T14">
        <v>37.729999999999997</v>
      </c>
      <c r="U14">
        <v>39.130000000000003</v>
      </c>
      <c r="V14">
        <v>53</v>
      </c>
      <c r="W14">
        <v>35.47</v>
      </c>
      <c r="X14">
        <v>35.51</v>
      </c>
      <c r="Y14">
        <v>37.049999999999997</v>
      </c>
    </row>
    <row r="15" spans="1:25" x14ac:dyDescent="0.2">
      <c r="A15" t="s">
        <v>1440</v>
      </c>
      <c r="M15">
        <v>9.58</v>
      </c>
      <c r="N15">
        <v>9.81</v>
      </c>
      <c r="O15">
        <v>9.94</v>
      </c>
      <c r="P15">
        <v>9.3699999999999992</v>
      </c>
      <c r="Q15">
        <v>9</v>
      </c>
      <c r="R15">
        <v>9.7100000000000009</v>
      </c>
      <c r="S15">
        <v>13.7</v>
      </c>
      <c r="T15">
        <v>12.85</v>
      </c>
      <c r="U15">
        <v>13.04</v>
      </c>
      <c r="V15">
        <v>12.74</v>
      </c>
      <c r="W15">
        <v>12.21</v>
      </c>
      <c r="X15">
        <v>19.37</v>
      </c>
      <c r="Y15">
        <v>20.29</v>
      </c>
    </row>
    <row r="16" spans="1:25" x14ac:dyDescent="0.2">
      <c r="A16" t="s">
        <v>1441</v>
      </c>
      <c r="M16">
        <v>45.9</v>
      </c>
      <c r="N16">
        <v>43.48</v>
      </c>
      <c r="O16">
        <v>39.26</v>
      </c>
      <c r="P16">
        <v>37.64</v>
      </c>
      <c r="Q16">
        <v>30.77</v>
      </c>
      <c r="R16">
        <v>33.049999999999997</v>
      </c>
      <c r="S16">
        <v>35.47</v>
      </c>
      <c r="T16">
        <v>38.49</v>
      </c>
      <c r="U16">
        <v>37.909999999999997</v>
      </c>
      <c r="V16">
        <v>36.9</v>
      </c>
      <c r="W16">
        <v>40.31</v>
      </c>
      <c r="X16">
        <v>43.85</v>
      </c>
      <c r="Y16">
        <v>41.52</v>
      </c>
    </row>
    <row r="17" spans="1:25" x14ac:dyDescent="0.2">
      <c r="A17" t="s">
        <v>1442</v>
      </c>
      <c r="M17">
        <v>1.1100000000000001</v>
      </c>
      <c r="N17">
        <v>1.0900000000000001</v>
      </c>
      <c r="O17">
        <v>1.02</v>
      </c>
      <c r="P17">
        <v>1.1299999999999999</v>
      </c>
      <c r="Q17">
        <v>1.0900000000000001</v>
      </c>
      <c r="R17">
        <v>0.96</v>
      </c>
      <c r="S17">
        <v>0.85</v>
      </c>
      <c r="T17">
        <v>0.71</v>
      </c>
      <c r="U17">
        <v>0.73</v>
      </c>
      <c r="V17">
        <v>0.7</v>
      </c>
      <c r="W17">
        <v>0.83</v>
      </c>
      <c r="X17">
        <v>0.78</v>
      </c>
      <c r="Y17">
        <v>0.7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P25"/>
  <sheetViews>
    <sheetView tabSelected="1" workbookViewId="0">
      <pane xSplit="5" ySplit="18" topLeftCell="K33" activePane="bottomRight" state="frozen"/>
      <selection pane="topRight" activeCell="F1" sqref="F1"/>
      <selection pane="bottomLeft" activeCell="A19" sqref="A19"/>
      <selection pane="bottomRight" activeCell="A3" sqref="A3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9" width="13.1640625" bestFit="1" customWidth="1"/>
    <col min="10" max="10" width="16.6640625" customWidth="1"/>
    <col min="11" max="11" width="26.83203125" customWidth="1"/>
    <col min="12" max="15" width="13.1640625" bestFit="1" customWidth="1"/>
    <col min="16" max="16" width="13.1640625" style="55" bestFit="1" customWidth="1"/>
  </cols>
  <sheetData>
    <row r="1" spans="1:16" x14ac:dyDescent="0.2">
      <c r="A1" t="s">
        <v>248</v>
      </c>
      <c r="H1" t="s">
        <v>1427</v>
      </c>
      <c r="I1">
        <f>300*10^6</f>
        <v>300000000</v>
      </c>
    </row>
    <row r="2" spans="1:16" x14ac:dyDescent="0.2">
      <c r="A2" t="s">
        <v>225</v>
      </c>
    </row>
    <row r="3" spans="1:16" x14ac:dyDescent="0.2"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6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  <c r="P4" s="55">
        <f>N4/$I$1</f>
        <v>0.31560384633333333</v>
      </c>
    </row>
    <row r="5" spans="1:16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  <c r="P5" s="55">
        <f t="shared" ref="P5:P23" si="0">N5/$I$1</f>
        <v>6.9643159999999999E-3</v>
      </c>
    </row>
    <row r="6" spans="1:16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  <c r="P6" s="55">
        <f t="shared" si="0"/>
        <v>0.30863953</v>
      </c>
    </row>
    <row r="7" spans="1:16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  <c r="P7" s="55">
        <f t="shared" si="0"/>
        <v>0.11096490033333334</v>
      </c>
    </row>
    <row r="8" spans="1:16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  <c r="P8" s="55">
        <f t="shared" si="0"/>
        <v>1.5133780666666668E-2</v>
      </c>
    </row>
    <row r="9" spans="1:16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  <c r="P9" s="55">
        <f t="shared" si="0"/>
        <v>2.5851846666666667E-3</v>
      </c>
    </row>
    <row r="10" spans="1:16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  <c r="P10" s="55">
        <f t="shared" si="0"/>
        <v>1.2548595999999999E-2</v>
      </c>
    </row>
    <row r="11" spans="1:16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  <c r="P11" s="55">
        <f t="shared" si="0"/>
        <v>9.5831120000000006E-2</v>
      </c>
    </row>
    <row r="12" spans="1:16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  <c r="P12" s="55">
        <f t="shared" si="0"/>
        <v>2.5163773333333334E-2</v>
      </c>
    </row>
    <row r="13" spans="1:16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  <c r="P13" s="55">
        <f t="shared" si="0"/>
        <v>1.3979921333333332E-2</v>
      </c>
    </row>
    <row r="14" spans="1:16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  <c r="P14" s="55">
        <f t="shared" si="0"/>
        <v>2.3580066666666665E-4</v>
      </c>
    </row>
    <row r="15" spans="1:16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  <c r="P15" s="55">
        <f t="shared" si="0"/>
        <v>1.3744120666666667E-2</v>
      </c>
    </row>
    <row r="16" spans="1:16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  <c r="P16" s="55">
        <f t="shared" si="0"/>
        <v>1.1183852000000001E-2</v>
      </c>
    </row>
    <row r="17" spans="1:16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  <c r="P17" s="55">
        <f t="shared" si="0"/>
        <v>-9.5311263333333323E-3</v>
      </c>
    </row>
    <row r="18" spans="1:16" x14ac:dyDescent="0.2">
      <c r="A18" s="21" t="s">
        <v>257</v>
      </c>
      <c r="B18" s="54">
        <v>20655660</v>
      </c>
      <c r="C18" s="54">
        <v>22352800</v>
      </c>
      <c r="D18" s="54">
        <v>22853010</v>
      </c>
      <c r="E18" s="54">
        <v>24391040</v>
      </c>
      <c r="F18" s="54">
        <v>24749130</v>
      </c>
      <c r="G18" s="54">
        <v>27871340</v>
      </c>
      <c r="H18" s="54">
        <v>32965960</v>
      </c>
      <c r="I18" s="54">
        <v>38445820</v>
      </c>
      <c r="J18" s="54">
        <v>39291480</v>
      </c>
      <c r="K18" s="54">
        <v>43905840</v>
      </c>
      <c r="L18" s="54">
        <v>47423332.700000003</v>
      </c>
      <c r="M18" s="54">
        <v>50104750</v>
      </c>
      <c r="N18" s="54">
        <v>54612590</v>
      </c>
      <c r="P18" s="55">
        <f t="shared" si="0"/>
        <v>0.18204196666666667</v>
      </c>
    </row>
    <row r="19" spans="1:16" x14ac:dyDescent="0.2">
      <c r="A19" s="21" t="s">
        <v>266</v>
      </c>
      <c r="B19" s="54">
        <v>6426090</v>
      </c>
      <c r="C19" s="54">
        <v>7336160</v>
      </c>
      <c r="D19" s="54">
        <v>8320910</v>
      </c>
      <c r="E19" s="54">
        <v>8804160</v>
      </c>
      <c r="F19" s="54">
        <v>11108450</v>
      </c>
      <c r="G19" s="54">
        <v>11460290</v>
      </c>
      <c r="H19" s="54">
        <v>13057050</v>
      </c>
      <c r="I19" s="54">
        <v>14924450</v>
      </c>
      <c r="J19" s="54">
        <v>16124680</v>
      </c>
      <c r="K19" s="54">
        <v>23037080</v>
      </c>
      <c r="L19" s="54">
        <v>17127035.699999999</v>
      </c>
      <c r="M19" s="54">
        <v>13311200</v>
      </c>
      <c r="N19" s="54">
        <v>15516410</v>
      </c>
      <c r="P19" s="55">
        <f t="shared" si="0"/>
        <v>5.1721366666666664E-2</v>
      </c>
    </row>
    <row r="20" spans="1:16" x14ac:dyDescent="0.2">
      <c r="A20" s="21" t="s">
        <v>258</v>
      </c>
      <c r="B20" s="54">
        <v>9327290</v>
      </c>
      <c r="C20" s="54">
        <v>10640410</v>
      </c>
      <c r="D20" s="54">
        <v>11907700</v>
      </c>
      <c r="E20" s="54">
        <v>12572470</v>
      </c>
      <c r="F20" s="54">
        <v>14962320</v>
      </c>
      <c r="G20" s="54">
        <v>16146770</v>
      </c>
      <c r="H20" s="54">
        <v>20564050</v>
      </c>
      <c r="I20" s="54">
        <v>22636900</v>
      </c>
      <c r="J20" s="54">
        <v>23990870</v>
      </c>
      <c r="K20" s="54">
        <v>31089970</v>
      </c>
      <c r="L20" s="54">
        <v>26119738.100000001</v>
      </c>
      <c r="M20" s="54">
        <v>29276040</v>
      </c>
      <c r="N20" s="54">
        <v>34306400</v>
      </c>
      <c r="P20" s="55">
        <f t="shared" si="0"/>
        <v>0.11435466666666666</v>
      </c>
    </row>
    <row r="21" spans="1:16" x14ac:dyDescent="0.2">
      <c r="A21" s="21" t="s">
        <v>259</v>
      </c>
      <c r="B21" s="54">
        <v>2901200</v>
      </c>
      <c r="C21" s="54">
        <v>3304250</v>
      </c>
      <c r="D21" s="54">
        <v>3586790</v>
      </c>
      <c r="E21" s="54">
        <v>3768320</v>
      </c>
      <c r="F21" s="54">
        <v>3853880</v>
      </c>
      <c r="G21" s="54">
        <v>4686480</v>
      </c>
      <c r="H21" s="54">
        <v>7507000</v>
      </c>
      <c r="I21" s="54">
        <v>7712450</v>
      </c>
      <c r="J21" s="54">
        <v>7866190</v>
      </c>
      <c r="K21" s="54">
        <v>8052890</v>
      </c>
      <c r="L21" s="54">
        <v>8992702.4000000004</v>
      </c>
      <c r="M21" s="54">
        <v>15964850</v>
      </c>
      <c r="N21" s="54">
        <v>18789990</v>
      </c>
      <c r="P21" s="55">
        <f t="shared" si="0"/>
        <v>6.2633300000000003E-2</v>
      </c>
    </row>
    <row r="22" spans="1:16" x14ac:dyDescent="0.2">
      <c r="A22" s="21" t="s">
        <v>260</v>
      </c>
      <c r="B22" s="54">
        <v>13893220</v>
      </c>
      <c r="C22" s="54">
        <v>14650130</v>
      </c>
      <c r="D22" s="54">
        <v>14164280</v>
      </c>
      <c r="E22" s="54">
        <v>15131270</v>
      </c>
      <c r="F22" s="54">
        <v>13175990</v>
      </c>
      <c r="G22" s="54">
        <v>15945730</v>
      </c>
      <c r="H22" s="54">
        <v>19442260</v>
      </c>
      <c r="I22" s="54">
        <v>23094630</v>
      </c>
      <c r="J22" s="54">
        <v>22735440</v>
      </c>
      <c r="K22" s="54">
        <v>20484320</v>
      </c>
      <c r="L22" s="54">
        <v>29683023.899999999</v>
      </c>
      <c r="M22" s="54">
        <v>36148510</v>
      </c>
      <c r="N22" s="54">
        <v>38445150</v>
      </c>
      <c r="P22" s="55">
        <f t="shared" si="0"/>
        <v>0.1281505</v>
      </c>
    </row>
    <row r="23" spans="1:16" x14ac:dyDescent="0.2">
      <c r="A23" s="21" t="s">
        <v>261</v>
      </c>
      <c r="B23" s="54">
        <v>336350</v>
      </c>
      <c r="C23" s="54">
        <v>366500</v>
      </c>
      <c r="D23" s="54">
        <v>367820</v>
      </c>
      <c r="E23" s="54">
        <v>455620</v>
      </c>
      <c r="F23" s="54">
        <v>464690</v>
      </c>
      <c r="G23" s="54">
        <v>465320</v>
      </c>
      <c r="H23" s="54">
        <v>466650</v>
      </c>
      <c r="I23" s="54">
        <v>426730</v>
      </c>
      <c r="J23" s="54">
        <v>431360</v>
      </c>
      <c r="K23" s="54">
        <v>384440</v>
      </c>
      <c r="L23" s="54">
        <v>613273.1</v>
      </c>
      <c r="M23" s="54">
        <v>645040</v>
      </c>
      <c r="N23" s="54">
        <v>651040</v>
      </c>
      <c r="P23" s="55">
        <f t="shared" si="0"/>
        <v>2.1701333333333335E-3</v>
      </c>
    </row>
    <row r="25" spans="1:16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Savings-PercentGDP</vt:lpstr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2025-10-20T10:43:24Z</dcterms:modified>
</cp:coreProperties>
</file>