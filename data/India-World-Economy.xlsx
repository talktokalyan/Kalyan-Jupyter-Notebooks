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Ex1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90" documentId="8_{28FFCAC0-0054-E748-A16F-43803246E076}" xr6:coauthVersionLast="47" xr6:coauthVersionMax="47" xr10:uidLastSave="{6D62FE1F-03C0-944F-8358-01A6BA6B2307}"/>
  <bookViews>
    <workbookView xWindow="0" yWindow="680" windowWidth="29400" windowHeight="16220" firstSheet="12" activeTab="17" xr2:uid="{76B7034E-9A87-8443-BB0E-07AC5642BFDE}"/>
  </bookViews>
  <sheets>
    <sheet name="Savings-PercentGDP" sheetId="51" r:id="rId1"/>
    <sheet name="Savings-Rates-India" sheetId="50" r:id="rId2"/>
    <sheet name="Savings-Rates-Institutions" sheetId="49" r:id="rId3"/>
    <sheet name="GCF-Financing" sheetId="8" r:id="rId4"/>
    <sheet name="RBI-Rates" sheetId="48" r:id="rId5"/>
    <sheet name="WPI-Inflation" sheetId="47" r:id="rId6"/>
    <sheet name="CPI-Level" sheetId="46" r:id="rId7"/>
    <sheet name="CPI-Inflation" sheetId="45" r:id="rId8"/>
    <sheet name="REER-CPI" sheetId="43" r:id="rId9"/>
    <sheet name="Textile-Apparel-Imports" sheetId="42" r:id="rId10"/>
    <sheet name="Textile-Apparel-Exports" sheetId="41" r:id="rId11"/>
    <sheet name="Trade Balance" sheetId="40" r:id="rId12"/>
    <sheet name="WPI-Textiles" sheetId="39" r:id="rId13"/>
    <sheet name="Inflation-Clothing" sheetId="38" r:id="rId14"/>
    <sheet name="InstitutionalCredit-Industry" sheetId="37" r:id="rId15"/>
    <sheet name="GDP growth rate" sheetId="28" r:id="rId16"/>
    <sheet name="country-code" sheetId="30" r:id="rId17"/>
    <sheet name="GDP-Per Cap" sheetId="29" r:id="rId18"/>
    <sheet name="GDP-10-ConstUSD" sheetId="27" r:id="rId19"/>
    <sheet name="IIP" sheetId="16" r:id="rId20"/>
    <sheet name="ASI-Tex-Apparel" sheetId="35" r:id="rId21"/>
    <sheet name="IIP-Textiles-Apparel" sheetId="32" r:id="rId22"/>
    <sheet name="OBICUS-Order-Books" sheetId="34" r:id="rId23"/>
    <sheet name="OBICUS-Survey" sheetId="17" r:id="rId24"/>
    <sheet name="RCA - Textiles" sheetId="36" r:id="rId25"/>
    <sheet name="BOP-FinAcct" sheetId="25" r:id="rId26"/>
    <sheet name="Unemp-rate" sheetId="24" r:id="rId27"/>
    <sheet name="LFPR" sheetId="23" r:id="rId28"/>
    <sheet name="Corp-Gov-vs-Pvt" sheetId="20" r:id="rId29"/>
    <sheet name="Corporate-Pvt-Perf" sheetId="21" r:id="rId30"/>
    <sheet name="Corporate-Gov-Perf" sheetId="19" r:id="rId31"/>
    <sheet name="Corp-Fin-Perf" sheetId="18" r:id="rId32"/>
    <sheet name="CG-Tax-Rev" sheetId="15" r:id="rId33"/>
    <sheet name="CG-Deficit-Financing" sheetId="14" r:id="rId34"/>
    <sheet name="Power SourcesCoal_x000a__x000a_203,775_x000a__x000a_49." sheetId="31" r:id="rId35"/>
    <sheet name="C-GOVT-FINANCES" sheetId="13" r:id="rId36"/>
    <sheet name="House-Price-Index" sheetId="11" r:id="rId37"/>
    <sheet name="WPI" sheetId="10" r:id="rId38"/>
    <sheet name="GCF-Public &amp; Private" sheetId="7" r:id="rId39"/>
    <sheet name="GVA" sheetId="6" r:id="rId40"/>
    <sheet name="GDP-Nominal" sheetId="4" r:id="rId41"/>
    <sheet name="GDp-Components" sheetId="5" r:id="rId42"/>
    <sheet name="CPI" sheetId="2" r:id="rId43"/>
    <sheet name="GDP Projection" sheetId="3" r:id="rId44"/>
  </sheets>
  <definedNames>
    <definedName name="_xlnm._FilterDatabase" localSheetId="38" hidden="1">'GCF-Public &amp; Private'!$AC$1:$AC$34</definedName>
    <definedName name="_xlnm._FilterDatabase" localSheetId="39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<sst xmlns="http://schemas.openxmlformats.org/spreadsheetml/2006/main" count="4151" uniqueCount="1443">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</sst>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4" fontId="0" fillId="2" borderId="0" xfId="0" applyNumberFormat="1" applyFill="1"/>
    <xf numFmtId="10" fontId="0" fillId="0" borderId="0" xfId="2" applyNumberFormat="1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F9-3F47-B308-95F53BF963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F9-3F47-B308-95F53BF963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F9-3F47-B308-95F53BF9631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7.0274252391080816E-2"/>
          <c:y val="9.2322195680596103E-2"/>
          <c:w val="0.87972570065593325"/>
          <c:h val="9.9551151611666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microsoft.com/office/2014/relationships/chartEx" Target="../charts/chartEx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730250</xdr:colOff>
      <xdr:row>29</xdr:row>
      <xdr:rowOff>165100</xdr:rowOff>
    </xdr:from>
    <xdr:to>
      <xdr:col>22</xdr:col>
      <xdr:colOff>114300</xdr:colOff>
      <xdr:row>55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3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opLeftCell="A4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opLeftCell="A16" workbookViewId="0">
      <selection activeCell="C8" sqref="C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10" width="13.1640625" bestFit="1" customWidth="1"/>
    <col min="11" max="11" width="13.83203125" bestFit="1" customWidth="1"/>
    <col min="12" max="15" width="13.1640625" bestFit="1" customWidth="1"/>
    <col min="16" max="16" width="13.1640625" style="48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115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48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48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48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48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48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48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48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48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48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48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48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48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48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48">
        <f t="shared" si="0"/>
        <v>-9.5311263333333323E-3</v>
      </c>
    </row>
    <row r="18" spans="1:16" x14ac:dyDescent="0.2">
      <c r="A18" s="21" t="s">
        <v>257</v>
      </c>
      <c r="B18" s="47">
        <v>20655660</v>
      </c>
      <c r="C18" s="47">
        <v>22352800</v>
      </c>
      <c r="D18" s="47">
        <v>22853010</v>
      </c>
      <c r="E18" s="47">
        <v>24391040</v>
      </c>
      <c r="F18" s="47">
        <v>24749130</v>
      </c>
      <c r="G18" s="47">
        <v>27871340</v>
      </c>
      <c r="H18" s="47">
        <v>32965960</v>
      </c>
      <c r="I18" s="47">
        <v>38445820</v>
      </c>
      <c r="J18" s="47">
        <v>39291480</v>
      </c>
      <c r="K18" s="47">
        <v>43905840</v>
      </c>
      <c r="L18" s="47">
        <v>47423332.700000003</v>
      </c>
      <c r="M18" s="47">
        <v>50104750</v>
      </c>
      <c r="N18" s="47">
        <v>54612590</v>
      </c>
      <c r="P18" s="48">
        <f t="shared" si="0"/>
        <v>0.18204196666666667</v>
      </c>
    </row>
    <row r="19" spans="1:16" x14ac:dyDescent="0.2">
      <c r="A19" s="21" t="s">
        <v>266</v>
      </c>
      <c r="B19" s="47">
        <v>6426090</v>
      </c>
      <c r="C19" s="47">
        <v>7336160</v>
      </c>
      <c r="D19" s="47">
        <v>8320910</v>
      </c>
      <c r="E19" s="47">
        <v>8804160</v>
      </c>
      <c r="F19" s="47">
        <v>11108450</v>
      </c>
      <c r="G19" s="47">
        <v>11460290</v>
      </c>
      <c r="H19" s="47">
        <v>13057050</v>
      </c>
      <c r="I19" s="47">
        <v>14924450</v>
      </c>
      <c r="J19" s="47">
        <v>16124680</v>
      </c>
      <c r="K19" s="47">
        <v>23037080</v>
      </c>
      <c r="L19" s="47">
        <v>17127035.699999999</v>
      </c>
      <c r="M19" s="47">
        <v>13311200</v>
      </c>
      <c r="N19" s="47">
        <v>15516410</v>
      </c>
      <c r="P19" s="48">
        <f t="shared" si="0"/>
        <v>5.1721366666666664E-2</v>
      </c>
    </row>
    <row r="20" spans="1:16" x14ac:dyDescent="0.2">
      <c r="A20" s="21" t="s">
        <v>258</v>
      </c>
      <c r="B20" s="47">
        <v>9327290</v>
      </c>
      <c r="C20" s="47">
        <v>10640410</v>
      </c>
      <c r="D20" s="47">
        <v>11907700</v>
      </c>
      <c r="E20" s="47">
        <v>12572470</v>
      </c>
      <c r="F20" s="47">
        <v>14962320</v>
      </c>
      <c r="G20" s="47">
        <v>16146770</v>
      </c>
      <c r="H20" s="47">
        <v>20564050</v>
      </c>
      <c r="I20" s="47">
        <v>22636900</v>
      </c>
      <c r="J20" s="47">
        <v>23990870</v>
      </c>
      <c r="K20" s="47">
        <v>31089970</v>
      </c>
      <c r="L20" s="47">
        <v>26119738.100000001</v>
      </c>
      <c r="M20" s="47">
        <v>29276040</v>
      </c>
      <c r="N20" s="47">
        <v>34306400</v>
      </c>
      <c r="P20" s="48">
        <f t="shared" si="0"/>
        <v>0.11435466666666666</v>
      </c>
    </row>
    <row r="21" spans="1:16" x14ac:dyDescent="0.2">
      <c r="A21" s="21" t="s">
        <v>259</v>
      </c>
      <c r="B21" s="47">
        <v>2901200</v>
      </c>
      <c r="C21" s="47">
        <v>3304250</v>
      </c>
      <c r="D21" s="47">
        <v>3586790</v>
      </c>
      <c r="E21" s="47">
        <v>3768320</v>
      </c>
      <c r="F21" s="47">
        <v>3853880</v>
      </c>
      <c r="G21" s="47">
        <v>4686480</v>
      </c>
      <c r="H21" s="47">
        <v>7507000</v>
      </c>
      <c r="I21" s="47">
        <v>7712450</v>
      </c>
      <c r="J21" s="47">
        <v>7866190</v>
      </c>
      <c r="K21" s="47">
        <v>8052890</v>
      </c>
      <c r="L21" s="47">
        <v>8992702.4000000004</v>
      </c>
      <c r="M21" s="47">
        <v>15964850</v>
      </c>
      <c r="N21" s="47">
        <v>18789990</v>
      </c>
      <c r="P21" s="48">
        <f t="shared" si="0"/>
        <v>6.2633300000000003E-2</v>
      </c>
    </row>
    <row r="22" spans="1:16" x14ac:dyDescent="0.2">
      <c r="A22" s="21" t="s">
        <v>260</v>
      </c>
      <c r="B22" s="47">
        <v>13893220</v>
      </c>
      <c r="C22" s="47">
        <v>14650130</v>
      </c>
      <c r="D22" s="47">
        <v>14164280</v>
      </c>
      <c r="E22" s="47">
        <v>15131270</v>
      </c>
      <c r="F22" s="47">
        <v>13175990</v>
      </c>
      <c r="G22" s="47">
        <v>15945730</v>
      </c>
      <c r="H22" s="47">
        <v>19442260</v>
      </c>
      <c r="I22" s="47">
        <v>23094630</v>
      </c>
      <c r="J22" s="47">
        <v>22735440</v>
      </c>
      <c r="K22" s="47">
        <v>20484320</v>
      </c>
      <c r="L22" s="47">
        <v>29683023.899999999</v>
      </c>
      <c r="M22" s="47">
        <v>36148510</v>
      </c>
      <c r="N22" s="47">
        <v>38445150</v>
      </c>
      <c r="P22" s="48">
        <f t="shared" si="0"/>
        <v>0.1281505</v>
      </c>
    </row>
    <row r="23" spans="1:16" x14ac:dyDescent="0.2">
      <c r="A23" s="21" t="s">
        <v>261</v>
      </c>
      <c r="B23" s="47">
        <v>336350</v>
      </c>
      <c r="C23" s="47">
        <v>366500</v>
      </c>
      <c r="D23" s="47">
        <v>367820</v>
      </c>
      <c r="E23" s="47">
        <v>455620</v>
      </c>
      <c r="F23" s="47">
        <v>464690</v>
      </c>
      <c r="G23" s="47">
        <v>465320</v>
      </c>
      <c r="H23" s="47">
        <v>466650</v>
      </c>
      <c r="I23" s="47">
        <v>426730</v>
      </c>
      <c r="J23" s="47">
        <v>431360</v>
      </c>
      <c r="K23" s="47">
        <v>384440</v>
      </c>
      <c r="L23" s="47">
        <v>613273.1</v>
      </c>
      <c r="M23" s="47">
        <v>645040</v>
      </c>
      <c r="N23" s="47">
        <v>651040</v>
      </c>
      <c r="P23" s="48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abSelected="1" topLeftCell="A148" workbookViewId="0">
      <selection activeCell="C1" sqref="C1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G1" sqref="G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50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50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50"/>
      <c r="B3" s="49" t="s">
        <v>133</v>
      </c>
      <c r="C3" s="51">
        <f>SUM(E3:E5)</f>
        <v>55237236.5</v>
      </c>
      <c r="D3" s="8" t="s">
        <v>124</v>
      </c>
      <c r="E3" s="7">
        <v>52640733.700000003</v>
      </c>
    </row>
    <row r="4" spans="1:5" x14ac:dyDescent="0.2">
      <c r="A4" s="50"/>
      <c r="B4" s="49"/>
      <c r="C4" s="51"/>
      <c r="D4" s="8" t="s">
        <v>125</v>
      </c>
      <c r="E4" s="7">
        <v>-117639.5</v>
      </c>
    </row>
    <row r="5" spans="1:5" x14ac:dyDescent="0.2">
      <c r="A5" s="50"/>
      <c r="B5" s="49"/>
      <c r="C5" s="51"/>
      <c r="D5" s="8" t="s">
        <v>126</v>
      </c>
      <c r="E5" s="7">
        <v>2714142.3</v>
      </c>
    </row>
    <row r="6" spans="1:5" x14ac:dyDescent="0.2">
      <c r="A6" s="50"/>
      <c r="B6" s="49" t="s">
        <v>134</v>
      </c>
      <c r="C6" s="52">
        <f>SUM(E6:E9)</f>
        <v>-767400</v>
      </c>
      <c r="D6" s="8" t="s">
        <v>127</v>
      </c>
      <c r="E6" s="7">
        <v>21762970</v>
      </c>
    </row>
    <row r="7" spans="1:5" x14ac:dyDescent="0.2">
      <c r="A7" s="50"/>
      <c r="B7" s="49"/>
      <c r="C7" s="53"/>
      <c r="D7" s="8" t="s">
        <v>128</v>
      </c>
      <c r="E7" s="7">
        <v>15282360</v>
      </c>
    </row>
    <row r="8" spans="1:5" x14ac:dyDescent="0.2">
      <c r="A8" s="50"/>
      <c r="B8" s="49"/>
      <c r="C8" s="53"/>
      <c r="D8" s="8" t="s">
        <v>129</v>
      </c>
      <c r="E8" s="7">
        <v>-29099370</v>
      </c>
    </row>
    <row r="9" spans="1:5" x14ac:dyDescent="0.2">
      <c r="A9" s="50"/>
      <c r="B9" s="49"/>
      <c r="C9" s="54"/>
      <c r="D9" s="8" t="s">
        <v>130</v>
      </c>
      <c r="E9" s="7">
        <v>-8713360</v>
      </c>
    </row>
    <row r="10" spans="1:5" x14ac:dyDescent="0.2">
      <c r="A10" s="50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5" t="s">
        <v>0</v>
      </c>
      <c r="B1" s="55"/>
      <c r="C1" s="55"/>
      <c r="D1" s="55"/>
      <c r="E1" s="55"/>
      <c r="F1" s="55"/>
      <c r="G1" s="55"/>
      <c r="H1" s="55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5" t="s">
        <v>15</v>
      </c>
      <c r="B1" s="55"/>
      <c r="C1" s="55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2025-11-04T15:51:56Z</dcterms:modified>
</cp:coreProperties>
</file>