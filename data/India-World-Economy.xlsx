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9.xml" ContentType="application/vnd.openxmlformats-officedocument.drawing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0.xml" ContentType="application/vnd.openxmlformats-officedocument.drawing+xml"/>
  <Override PartName="/xl/charts/chartEx1.xml" ContentType="application/vnd.ms-office.chartex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32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216" documentId="8_{28FFCAC0-0054-E748-A16F-43803246E076}" xr6:coauthVersionLast="47" xr6:coauthVersionMax="47" xr10:uidLastSave="{AEDAB769-937D-1045-B235-7635940CEDD8}"/>
  <bookViews>
    <workbookView xWindow="-20" yWindow="680" windowWidth="29400" windowHeight="16220" xr2:uid="{76B7034E-9A87-8443-BB0E-07AC5642BFDE}"/>
  </bookViews>
  <sheets>
    <sheet name="RBI-Policy-Rates" sheetId="52" r:id="rId1"/>
    <sheet name="Savings-PercentGDP" sheetId="51" r:id="rId2"/>
    <sheet name="Savings-Rates-India" sheetId="50" r:id="rId3"/>
    <sheet name="Savings-Rates-Institutions" sheetId="49" r:id="rId4"/>
    <sheet name="GCF-Financing" sheetId="8" r:id="rId5"/>
    <sheet name="RBI-Rates" sheetId="48" r:id="rId6"/>
    <sheet name="WPI-Inflation" sheetId="47" r:id="rId7"/>
    <sheet name="CPI-Level" sheetId="46" r:id="rId8"/>
    <sheet name="CPI-Inflation" sheetId="45" r:id="rId9"/>
    <sheet name="REER-CPI" sheetId="43" r:id="rId10"/>
    <sheet name="Textile-Apparel-Imports" sheetId="42" r:id="rId11"/>
    <sheet name="Textile-Apparel-Exports" sheetId="41" r:id="rId12"/>
    <sheet name="Trade Balance" sheetId="40" r:id="rId13"/>
    <sheet name="WPI-Textiles" sheetId="39" r:id="rId14"/>
    <sheet name="Inflation-Clothing" sheetId="38" r:id="rId15"/>
    <sheet name="InstitutionalCredit-Industry" sheetId="37" r:id="rId16"/>
    <sheet name="GDP growth rate" sheetId="28" r:id="rId17"/>
    <sheet name="country-code" sheetId="30" r:id="rId18"/>
    <sheet name="GDP-Per Cap" sheetId="29" r:id="rId19"/>
    <sheet name="GDP-10-ConstUSD" sheetId="27" r:id="rId20"/>
    <sheet name="IIP" sheetId="16" r:id="rId21"/>
    <sheet name="ASI-Tex-Apparel" sheetId="35" r:id="rId22"/>
    <sheet name="IIP-Textiles-Apparel" sheetId="32" r:id="rId23"/>
    <sheet name="OBICUS-Order-Books" sheetId="34" r:id="rId24"/>
    <sheet name="OBICUS-Survey" sheetId="17" r:id="rId25"/>
    <sheet name="RCA - Textiles" sheetId="36" r:id="rId26"/>
    <sheet name="BOP-FinAcct" sheetId="25" r:id="rId27"/>
    <sheet name="Unemp-rate" sheetId="24" r:id="rId28"/>
    <sheet name="LFPR" sheetId="23" r:id="rId29"/>
    <sheet name="Corp-Gov-vs-Pvt" sheetId="20" r:id="rId30"/>
    <sheet name="Corporate-Pvt-Perf" sheetId="21" r:id="rId31"/>
    <sheet name="Corporate-Gov-Perf" sheetId="19" r:id="rId32"/>
    <sheet name="Corp-Fin-Perf" sheetId="18" r:id="rId33"/>
    <sheet name="CG-Tax-Rev" sheetId="15" r:id="rId34"/>
    <sheet name="CG-Deficit-Financing" sheetId="14" r:id="rId35"/>
    <sheet name="Power SourcesCoal_x000a__x000a_203,775_x000a__x000a_49." sheetId="31" r:id="rId36"/>
    <sheet name="C-GOVT-FINANCES" sheetId="13" r:id="rId37"/>
    <sheet name="House-Price-Index" sheetId="11" r:id="rId38"/>
    <sheet name="WPI" sheetId="10" r:id="rId39"/>
    <sheet name="GCF-Public &amp; Private" sheetId="7" r:id="rId40"/>
    <sheet name="GVA" sheetId="6" r:id="rId41"/>
    <sheet name="GDP-Nominal" sheetId="4" r:id="rId42"/>
    <sheet name="GDp-Components" sheetId="5" r:id="rId43"/>
    <sheet name="CPI" sheetId="2" r:id="rId44"/>
    <sheet name="GDP Projection" sheetId="3" r:id="rId45"/>
  </sheets>
  <definedNames>
    <definedName name="_xlnm._FilterDatabase" localSheetId="39" hidden="1">'GCF-Public &amp; Private'!$AC$1:$AC$34</definedName>
    <definedName name="_xlnm._FilterDatabase" localSheetId="40" hidden="1">GVA!$BK$1:$BK$29</definedName>
    <definedName name="_xlchart.v1.0" hidden="1">'RBI-Policy-Rates'!$A$4:$A$64</definedName>
    <definedName name="_xlchart.v1.1" hidden="1">'RBI-Policy-Rates'!$B$3</definedName>
    <definedName name="_xlchart.v1.10" hidden="1">'RBI-Policy-Rates'!$F$4:$F$64</definedName>
    <definedName name="_xlchart.v1.11" hidden="1">'RBI-Policy-Rates'!$G$3</definedName>
    <definedName name="_xlchart.v1.12" hidden="1">'RBI-Policy-Rates'!$G$4:$G$64</definedName>
    <definedName name="_xlchart.v1.13" hidden="1">'RBI-Policy-Rates'!$H$3</definedName>
    <definedName name="_xlchart.v1.14" hidden="1">'RBI-Policy-Rates'!$H$4:$H$64</definedName>
    <definedName name="_xlchart.v1.15" hidden="1">'RBI-Policy-Rates'!$A$4:$A$64</definedName>
    <definedName name="_xlchart.v1.16" hidden="1">'RBI-Policy-Rates'!$B$3</definedName>
    <definedName name="_xlchart.v1.17" hidden="1">'RBI-Policy-Rates'!$B$4:$B$64</definedName>
    <definedName name="_xlchart.v1.18" hidden="1">'RBI-Policy-Rates'!$C$3</definedName>
    <definedName name="_xlchart.v1.19" hidden="1">'RBI-Policy-Rates'!$C$4:$C$64</definedName>
    <definedName name="_xlchart.v1.2" hidden="1">'RBI-Policy-Rates'!$B$4:$B$64</definedName>
    <definedName name="_xlchart.v1.20" hidden="1">'RBI-Policy-Rates'!$D$3</definedName>
    <definedName name="_xlchart.v1.21" hidden="1">'RBI-Policy-Rates'!$D$4:$D$64</definedName>
    <definedName name="_xlchart.v1.22" hidden="1">'RBI-Policy-Rates'!$E$3</definedName>
    <definedName name="_xlchart.v1.23" hidden="1">'RBI-Policy-Rates'!$E$4:$E$64</definedName>
    <definedName name="_xlchart.v1.24" hidden="1">'RBI-Policy-Rates'!$F$3</definedName>
    <definedName name="_xlchart.v1.25" hidden="1">'RBI-Policy-Rates'!$F$4:$F$64</definedName>
    <definedName name="_xlchart.v1.26" hidden="1">'RBI-Policy-Rates'!$G$3</definedName>
    <definedName name="_xlchart.v1.27" hidden="1">'RBI-Policy-Rates'!$G$4:$G$64</definedName>
    <definedName name="_xlchart.v1.28" hidden="1">'RBI-Policy-Rates'!$H$3</definedName>
    <definedName name="_xlchart.v1.29" hidden="1">'RBI-Policy-Rates'!$H$4:$H$64</definedName>
    <definedName name="_xlchart.v1.3" hidden="1">'RBI-Policy-Rates'!$C$3</definedName>
    <definedName name="_xlchart.v1.30" hidden="1">'RBI-Policy-Rates'!$A$4:$A$64</definedName>
    <definedName name="_xlchart.v1.31" hidden="1">'RBI-Policy-Rates'!$B$3</definedName>
    <definedName name="_xlchart.v1.32" hidden="1">'RBI-Policy-Rates'!$B$4:$B$64</definedName>
    <definedName name="_xlchart.v1.33" hidden="1">'RBI-Policy-Rates'!$C$3</definedName>
    <definedName name="_xlchart.v1.34" hidden="1">'RBI-Policy-Rates'!$C$4:$C$64</definedName>
    <definedName name="_xlchart.v1.35" hidden="1">'RBI-Policy-Rates'!$D$3</definedName>
    <definedName name="_xlchart.v1.36" hidden="1">'RBI-Policy-Rates'!$D$4:$D$64</definedName>
    <definedName name="_xlchart.v1.37" hidden="1">'RBI-Policy-Rates'!$E$3</definedName>
    <definedName name="_xlchart.v1.38" hidden="1">'RBI-Policy-Rates'!$E$4:$E$64</definedName>
    <definedName name="_xlchart.v1.39" hidden="1">'RBI-Policy-Rates'!$F$3</definedName>
    <definedName name="_xlchart.v1.4" hidden="1">'RBI-Policy-Rates'!$C$4:$C$64</definedName>
    <definedName name="_xlchart.v1.40" hidden="1">'RBI-Policy-Rates'!$F$4:$F$64</definedName>
    <definedName name="_xlchart.v1.41" hidden="1">'RBI-Policy-Rates'!$G$3</definedName>
    <definedName name="_xlchart.v1.42" hidden="1">'RBI-Policy-Rates'!$G$4:$G$64</definedName>
    <definedName name="_xlchart.v1.43" hidden="1">'RBI-Policy-Rates'!$H$3</definedName>
    <definedName name="_xlchart.v1.44" hidden="1">'RBI-Policy-Rates'!$H$4:$H$64</definedName>
    <definedName name="_xlchart.v1.45" hidden="1">'RBI-Policy-Rates'!$A$4:$A$64</definedName>
    <definedName name="_xlchart.v1.46" hidden="1">'RBI-Policy-Rates'!$B$3</definedName>
    <definedName name="_xlchart.v1.47" hidden="1">'RBI-Policy-Rates'!$B$4:$B$64</definedName>
    <definedName name="_xlchart.v1.48" hidden="1">'RBI-Policy-Rates'!$C$3</definedName>
    <definedName name="_xlchart.v1.49" hidden="1">'RBI-Policy-Rates'!$C$4:$C$64</definedName>
    <definedName name="_xlchart.v1.5" hidden="1">'RBI-Policy-Rates'!$D$3</definedName>
    <definedName name="_xlchart.v1.50" hidden="1">'RBI-Policy-Rates'!$D$3</definedName>
    <definedName name="_xlchart.v1.51" hidden="1">'RBI-Policy-Rates'!$D$4:$D$64</definedName>
    <definedName name="_xlchart.v1.52" hidden="1">'RBI-Policy-Rates'!$E$3</definedName>
    <definedName name="_xlchart.v1.53" hidden="1">'RBI-Policy-Rates'!$E$4:$E$64</definedName>
    <definedName name="_xlchart.v1.54" hidden="1">'RBI-Policy-Rates'!$F$3</definedName>
    <definedName name="_xlchart.v1.55" hidden="1">'RBI-Policy-Rates'!$F$4:$F$64</definedName>
    <definedName name="_xlchart.v1.56" hidden="1">'RBI-Policy-Rates'!$G$3</definedName>
    <definedName name="_xlchart.v1.57" hidden="1">'RBI-Policy-Rates'!$G$4:$G$64</definedName>
    <definedName name="_xlchart.v1.58" hidden="1">'RBI-Policy-Rates'!$H$3</definedName>
    <definedName name="_xlchart.v1.59" hidden="1">'RBI-Policy-Rates'!$H$4:$H$64</definedName>
    <definedName name="_xlchart.v1.6" hidden="1">'RBI-Policy-Rates'!$D$4:$D$64</definedName>
    <definedName name="_xlchart.v1.60" hidden="1">'RBI-Policy-Rates'!$A$4:$A$64</definedName>
    <definedName name="_xlchart.v1.61" hidden="1">'RBI-Policy-Rates'!$B$3</definedName>
    <definedName name="_xlchart.v1.62" hidden="1">'RBI-Policy-Rates'!$B$4:$B$64</definedName>
    <definedName name="_xlchart.v1.63" hidden="1">'RBI-Policy-Rates'!$C$3</definedName>
    <definedName name="_xlchart.v1.64" hidden="1">'RBI-Policy-Rates'!$C$4:$C$64</definedName>
    <definedName name="_xlchart.v1.65" hidden="1">'RBI-Policy-Rates'!$D$3</definedName>
    <definedName name="_xlchart.v1.66" hidden="1">'RBI-Policy-Rates'!$D$4:$D$64</definedName>
    <definedName name="_xlchart.v1.67" hidden="1">'RBI-Policy-Rates'!$E$3</definedName>
    <definedName name="_xlchart.v1.68" hidden="1">'RBI-Policy-Rates'!$E$4:$E$64</definedName>
    <definedName name="_xlchart.v1.69" hidden="1">'RBI-Policy-Rates'!$F$3</definedName>
    <definedName name="_xlchart.v1.7" hidden="1">'RBI-Policy-Rates'!$E$3</definedName>
    <definedName name="_xlchart.v1.70" hidden="1">'RBI-Policy-Rates'!$F$4:$F$64</definedName>
    <definedName name="_xlchart.v1.71" hidden="1">'RBI-Policy-Rates'!$G$3</definedName>
    <definedName name="_xlchart.v1.72" hidden="1">'RBI-Policy-Rates'!$G$4:$G$64</definedName>
    <definedName name="_xlchart.v1.73" hidden="1">'RBI-Policy-Rates'!$H$3</definedName>
    <definedName name="_xlchart.v1.74" hidden="1">'RBI-Policy-Rates'!$H$4:$H$64</definedName>
    <definedName name="_xlchart.v1.75" hidden="1">'RBI-Policy-Rates'!$A$4:$A$64</definedName>
    <definedName name="_xlchart.v1.76" hidden="1">'RBI-Policy-Rates'!$B$3</definedName>
    <definedName name="_xlchart.v1.77" hidden="1">'RBI-Policy-Rates'!$B$4:$B$64</definedName>
    <definedName name="_xlchart.v1.78" hidden="1">'RBI-Policy-Rates'!$C$3</definedName>
    <definedName name="_xlchart.v1.79" hidden="1">'RBI-Policy-Rates'!$C$4:$C$64</definedName>
    <definedName name="_xlchart.v1.8" hidden="1">'RBI-Policy-Rates'!$E$4:$E$64</definedName>
    <definedName name="_xlchart.v1.80" hidden="1">'RBI-Policy-Rates'!$D$3</definedName>
    <definedName name="_xlchart.v1.81" hidden="1">'RBI-Policy-Rates'!$D$4:$D$64</definedName>
    <definedName name="_xlchart.v1.82" hidden="1">'RBI-Policy-Rates'!$E$3</definedName>
    <definedName name="_xlchart.v1.83" hidden="1">'RBI-Policy-Rates'!$E$4:$E$64</definedName>
    <definedName name="_xlchart.v1.84" hidden="1">'RBI-Policy-Rates'!$F$3</definedName>
    <definedName name="_xlchart.v1.85" hidden="1">'RBI-Policy-Rates'!$F$4:$F$64</definedName>
    <definedName name="_xlchart.v1.86" hidden="1">'RBI-Policy-Rates'!$G$3</definedName>
    <definedName name="_xlchart.v1.87" hidden="1">'RBI-Policy-Rates'!$G$4:$G$64</definedName>
    <definedName name="_xlchart.v1.88" hidden="1">'RBI-Policy-Rates'!$H$3</definedName>
    <definedName name="_xlchart.v1.89" hidden="1">'RBI-Policy-Rates'!$H$4:$H$64</definedName>
    <definedName name="_xlchart.v1.9" hidden="1">'RBI-Policy-Rates'!$F$3</definedName>
    <definedName name="_xlchart.v1.90" hidden="1">'GDp-Components'!$A$1:$D$10</definedName>
    <definedName name="_xlchart.v1.91" hidden="1">'GDp-Components'!$E$1:$E$10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" i="8" l="1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4" i="8"/>
  <c r="N25" i="8"/>
  <c r="I1" i="8"/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<sst xmlns="http://schemas.openxmlformats.org/spreadsheetml/2006/main" count="4222" uniqueCount="1450">
  <si>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</si>
  <si>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</si>
  <si>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</si>
  <si>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</si>
  <si>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</si>
  <si>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</si>
  <si>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</si>
  <si>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</si>
  <si>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</si>
  <si>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</si>
  <si>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</si>
  <si>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</si>
  <si>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</si>
  <si>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</si>
  <si>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</si>
  <si>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</si>
  <si>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</si>
  <si>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</si>
  <si>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</si>
  <si>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</si>
  <si>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</si>
  <si>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</si>
  <si>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</si>
  <si>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</si>
  <si>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</si>
  <si>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</si>
  <si>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</si>
  <si>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</si>
  <si>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</si>
  <si>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</si>
  <si>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</si>
  <si>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</si>
  <si>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</si>
  <si>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</si>
  <si>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</si>
  <si>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</si>
  <si>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</si>
  <si>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</si>
  <si>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</si>
  <si>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</si>
  <si>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</si>
  <si>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</si>
  <si>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</si>
  <si>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</si>
  <si>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</si>
  <si>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</si>
  <si>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</si>
  <si>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</si>
  <si>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</si>
  <si>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</si>
  <si>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</si>
  <si>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</si>
  <si>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</si>
  <si>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</si>
  <si>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</si>
  <si>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</si>
  <si>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</si>
  <si>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</si>
  <si>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</si>
  <si>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</si>
  <si>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</si>
  <si>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</si>
  <si>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</si>
  <si>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</si>
  <si>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</si>
  <si>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</si>
  <si>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</si>
  <si>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</si>
  <si>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</si>
  <si>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</si>
  <si>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</si>
  <si>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</si>
  <si>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</si>
  <si>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</si>
  <si>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</si>
  <si>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</si>
  <si>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</si>
  <si>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</si>
  <si>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</si>
  <si>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</si>
  <si>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</si>
  <si>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</si>
  <si>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</si>
  <si>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</si>
  <si>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</si>
  <si>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</si>
  <si>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</si>
  <si>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</si>
  <si>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</si>
  <si>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</si>
  <si>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</si>
  <si>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</si>
  <si>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</si>
  <si>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</si>
  <si>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</si>
  <si>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</si>
  <si>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</si>
  <si>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</si>
  <si>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</si>
  <si>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</si>
  <si>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</si>
  <si>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</si>
  <si>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</si>
  <si>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</si>
  <si>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</si>
  <si>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</si>
  <si>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</si>
  <si>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</si>
  <si>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</si>
  <si>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</si>
  <si>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</si>
  <si>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</si>
  <si>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</si>
  <si>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</si>
  <si>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</si>
  <si>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</si>
  <si>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</si>
  <si>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</si>
  <si>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</si>
  <si>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</si>
  <si>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</si>
  <si>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</si>
  <si>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</si>
  <si>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</si>
  <si>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</si>
  <si>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</si>
  <si>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</si>
  <si>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</si>
  <si>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</si>
  <si>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</si>
  <si>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</si>
  <si>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</si>
  <si>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</si>
  <si>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</si>
  <si>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</si>
  <si>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</si>
  <si>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</si>
  <si>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</si>
  <si>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</si>
  <si>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</si>
  <si>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</si>
  <si>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</si>
  <si>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</si>
  <si>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</si>
  <si>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</si>
  <si>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</si>
  <si>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</si>
  <si>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</si>
  <si>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</si>
  <si>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</si>
  <si>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</si>
  <si>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</si>
  <si>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</si>
  <si>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</si>
  <si>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</si>
  <si>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</si>
  <si>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</si>
  <si>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</si>
  <si>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</si>
  <si>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</si>
  <si>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</si>
  <si>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</si>
  <si>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</si>
  <si>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</si>
  <si>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</si>
  <si>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</si>
  <si>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</si>
  <si>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</si>
  <si>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</si>
  <si>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</si>
  <si>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</si>
  <si>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</si>
  <si>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</si>
  <si>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</si>
  <si>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</si>
  <si>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</si>
  <si>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</si>
  <si>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</si>
  <si>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</si>
  <si>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</si>
  <si>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</si>
  <si>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</si>
  <si>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</si>
  <si>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</si>
  <si>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</si>
  <si>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</si>
  <si>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</si>
  <si>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</si>
  <si>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</si>
  <si>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</si>
  <si>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</si>
  <si>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</si>
  <si>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</si>
  <si>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</si>
  <si>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</si>
  <si>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</si>
  <si>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</si>
  <si>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</si>
  <si>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</si>
  <si>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</si>
  <si>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</si>
  <si>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</si>
  <si>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</si>
  <si>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</si>
  <si>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</si>
  <si>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</si>
  <si>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</si>
  <si>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</si>
  <si>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</si>
  <si>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</si>
  <si>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</si>
  <si>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</si>
  <si>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</si>
  <si>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</si>
  <si>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</si>
  <si>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</si>
  <si>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</si>
  <si>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</si>
  <si>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</si>
  <si>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</si>
  <si>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</si>
  <si>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</si>
  <si>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</si>
  <si>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</si>
  <si>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</si>
  <si>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</si>
  <si>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</si>
  <si>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</si>
  <si>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</si>
  <si>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</si>
  <si>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</si>
  <si>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</si>
  <si>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</si>
  <si>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</si>
  <si>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</si>
  <si>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</si>
  <si>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</si>
  <si>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</si>
  <si>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</si>
  <si>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</si>
  <si>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</si>
  <si>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</si>
  <si>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</si>
  <si>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</si>
  <si>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</si>
  <si>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</si>
  <si>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</si>
  <si>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</si>
  <si>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</si>
  <si>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</si>
  <si>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</si>
  <si>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</si>
  <si>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</si>
  <si>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</si>
  <si>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</si>
  <si>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</si>
  <si>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</si>
  <si>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</si>
  <si>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</si>
  <si>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</si>
  <si>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</si>
  <si>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</si>
  <si>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</si>
  <si>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</si>
  <si>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</si>
  <si>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</si>
  <si>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</si>
  <si>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</si>
  <si>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</si>
  <si>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</si>
  <si>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</si>
  <si>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</si>
  <si>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</si>
  <si>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</si>
  <si>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</si>
  <si>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</si>
  <si>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</si>
  <si>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</si>
  <si>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</si>
  <si>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</si>
  <si>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</si>
  <si>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</si>
  <si>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</si>
  <si>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</si>
  <si>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</si>
  <si>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</si>
  <si>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</si>
  <si>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</si>
  <si>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</si>
  <si>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</si>
  <si>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</si>
  <si>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</si>
  <si>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</si>
  <si>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</si>
  <si>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</si>
  <si>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</si>
  <si>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</si>
  <si>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</si>
  <si>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</si>
  <si>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</si>
  <si>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</si>
  <si>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</si>
  <si>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</si>
  <si>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</si>
  <si>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</si>
  <si>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</si>
  <si>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</si>
  <si>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</si>
  <si>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</si>
  <si>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</si>
  <si>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</si>
  <si>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</si>
  <si>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</si>
  <si>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</si>
  <si>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</si>
  <si>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</si>
  <si>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</si>
  <si>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</si>
  <si>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</si>
  <si>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</si>
  <si>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</si>
  <si>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</si>
  <si>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</si>
  <si>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</si>
  <si>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</si>
  <si>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</si>
  <si>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</si>
  <si>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</si>
  <si>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</si>
  <si>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</si>
  <si>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</si>
  <si>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</si>
  <si>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</si>
  <si>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</si>
  <si>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</si>
  <si>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</si>
  <si>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</si>
  <si>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</si>
  <si>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</si>
  <si>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</si>
  <si>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</si>
  <si>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</si>
  <si>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</si>
  <si>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</si>
  <si>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</si>
  <si>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</si>
  <si>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</si>
  <si>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</si>
  <si>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</si>
  <si>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</si>
  <si>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</si>
  <si>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</si>
  <si>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</si>
  <si>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</si>
  <si>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</si>
  <si>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</si>
  <si>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</si>
  <si>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</si>
  <si>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</si>
  <si>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</si>
  <si>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</si>
  <si>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</si>
  <si>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</si>
  <si>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</si>
  <si>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</si>
  <si>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</si>
  <si>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</si>
  <si>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</si>
  <si>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</si>
  <si>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</si>
  <si>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</si>
  <si>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</si>
  <si>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</si>
  <si>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</si>
  <si>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</si>
  <si>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</si>
  <si>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</si>
  <si>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</si>
  <si>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</si>
  <si>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</si>
  <si>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</si>
  <si>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</si>
  <si>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</si>
  <si>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</si>
  <si>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</si>
  <si>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</si>
  <si>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</si>
  <si>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</si>
  <si>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</si>
  <si>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</si>
  <si>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</si>
  <si>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</si>
  <si>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</si>
  <si>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</si>
  <si>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</si>
  <si>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</si>
  <si>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</si>
  <si>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</si>
  <si>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</si>
  <si>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</si>
  <si>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</si>
  <si>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</si>
  <si>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</si>
  <si>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</si>
  <si>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</si>
  <si>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</si>
  <si>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</si>
  <si>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</si>
  <si>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</si>
  <si>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</si>
  <si>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</si>
  <si>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</si>
  <si>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</si>
  <si>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</si>
  <si>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</si>
  <si>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</si>
  <si>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</si>
  <si>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</si>
  <si>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</si>
  <si>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</si>
  <si>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</si>
  <si>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</si>
  <si>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</si>
  <si>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</si>
  <si>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</si>
  <si>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</si>
  <si>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</si>
  <si>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</si>
  <si>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</si>
  <si>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</si>
  <si>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</si>
  <si>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</si>
  <si>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</si>
  <si>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</si>
  <si>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</si>
  <si>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</si>
  <si>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</si>
  <si>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</si>
  <si>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</si>
  <si>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</si>
  <si>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</si>
  <si>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</si>
  <si>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</si>
  <si>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</si>
  <si>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</si>
  <si>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</si>
  <si>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</si>
  <si>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</si>
  <si>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</si>
  <si>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</si>
  <si>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</si>
  <si>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</si>
  <si>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</si>
  <si>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</si>
  <si>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</si>
  <si>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</si>
  <si>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</si>
  <si>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</si>
  <si>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</si>
  <si>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</si>
  <si>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</si>
  <si>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</si>
  <si>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</si>
  <si>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</si>
  <si>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</si>
  <si>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</si>
  <si>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</si>
  <si>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</si>
  <si>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</si>
  <si>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</si>
  <si>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</si>
  <si>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</si>
  <si>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</si>
  <si>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</si>
  <si>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</si>
  <si>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</si>
  <si>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</si>
  <si>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</si>
  <si>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</si>
  <si>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</si>
  <si>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</si>
  <si>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</si>
  <si>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</si>
  <si>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</si>
  <si>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</si>
  <si>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</si>
  <si>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</si>
  <si>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</si>
  <si>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</si>
  <si>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</si>
  <si>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</si>
  <si>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</si>
  <si>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</si>
  <si>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</si>
  <si>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</si>
  <si>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</si>
  <si>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</si>
  <si>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</si>
  <si>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</si>
  <si>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</si>
  <si>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</si>
  <si>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</si>
  <si>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</si>
  <si>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</si>
  <si>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</si>
  <si>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</si>
  <si>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</si>
  <si>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</si>
  <si>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</si>
  <si>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</si>
  <si>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</si>
  <si>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</si>
  <si>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</si>
  <si>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</si>
  <si>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</si>
  <si>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</si>
  <si>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</si>
  <si>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</si>
  <si>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</si>
  <si>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</si>
  <si>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</si>
  <si>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</si>
  <si>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</si>
  <si>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</si>
  <si>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</si>
  <si>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</si>
  <si>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</si>
  <si>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</si>
  <si>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</si>
  <si>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</si>
  <si>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</si>
  <si>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</si>
  <si>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</si>
  <si>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</si>
  <si>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</si>
  <si>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</si>
  <si>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</si>
  <si>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</si>
  <si>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</si>
  <si>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</si>
  <si>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</si>
  <si>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</si>
  <si>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</si>
  <si>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</si>
  <si>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</si>
  <si>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</si>
  <si>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</si>
  <si>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</si>
  <si>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</si>
  <si>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</si>
  <si>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</si>
  <si>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</si>
  <si>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</si>
  <si>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</si>
  <si>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</si>
  <si>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</si>
  <si>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</si>
  <si>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</si>
  <si>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</si>
  <si>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</si>
  <si>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</si>
  <si>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</si>
  <si>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</si>
  <si>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</si>
  <si>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</si>
  <si>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</si>
  <si>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</si>
  <si>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</si>
  <si>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</si>
  <si>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</si>
  <si>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</si>
  <si>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</si>
  <si>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</si>
  <si>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</si>
  <si>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</si>
  <si>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</si>
  <si>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</si>
  <si>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</si>
  <si>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</si>
  <si>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</si>
  <si>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</si>
  <si>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</si>
  <si>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</si>
  <si>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</si>
  <si>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</si>
  <si>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</si>
  <si>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</si>
  <si>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</si>
  <si>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</si>
  <si>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</si>
  <si>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</si>
  <si>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</si>
  <si>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</si>
  <si>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</si>
  <si>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</si>
  <si>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</si>
  <si>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</si>
  <si>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</si>
  <si>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</si>
  <si>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</si>
  <si>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</si>
  <si>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</si>
  <si>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</si>
  <si>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</si>
  <si>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</si>
  <si>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</si>
  <si>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</si>
  <si>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</si>
  <si>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</si>
  <si>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</si>
  <si>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</si>
  <si>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</si>
  <si>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</si>
  <si>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</si>
  <si>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</si>
  <si>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</si>
  <si>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</si>
  <si>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</si>
  <si>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</si>
  <si>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</si>
  <si>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</si>
  <si>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</si>
  <si>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</si>
  <si>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</si>
  <si>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</si>
  <si>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</si>
  <si>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</si>
  <si>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</si>
  <si>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</si>
  <si>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</si>
  <si>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</si>
  <si>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</si>
  <si>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</si>
  <si>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</si>
  <si>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</si>
  <si>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</si>
  <si>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</si>
  <si>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</si>
  <si>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</si>
  <si>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</si>
  <si>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</si>
  <si>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</si>
  <si>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</si>
  <si>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</si>
  <si>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</si>
  <si>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</si>
  <si>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</si>
  <si>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</si>
  <si>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</si>
  <si>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</si>
  <si>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</si>
  <si>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</si>
  <si>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</si>
  <si>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</si>
  <si>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</si>
  <si>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</si>
  <si>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</si>
  <si>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</si>
  <si>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</si>
  <si>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</si>
  <si>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</si>
  <si>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</si>
  <si>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</si>
  <si>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</si>
  <si>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</si>
  <si>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</si>
  <si>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</si>
  <si>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</si>
  <si>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</si>
  <si>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</si>
  <si>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</si>
  <si>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</si>
  <si>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</si>
  <si>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</si>
  <si>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</si>
  <si>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</si>
  <si>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</si>
  <si>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</si>
  <si>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</si>
  <si>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</si>
  <si>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</si>
  <si>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</si>
  <si>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</si>
  <si>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</si>
  <si>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</si>
  <si>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</si>
  <si>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</si>
  <si>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</si>
  <si>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</si>
  <si>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</si>
  <si>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</si>
  <si>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</si>
  <si>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</si>
  <si>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</si>
  <si>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</si>
  <si>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</si>
  <si>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</si>
  <si>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</si>
  <si>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</si>
  <si>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</si>
  <si>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</si>
  <si>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</si>
  <si>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</si>
  <si>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</si>
  <si>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</si>
  <si>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</si>
  <si>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</si>
  <si>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</si>
  <si>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</si>
  <si>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</si>
  <si>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</si>
  <si>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</si>
  <si>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</si>
  <si>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</si>
  <si>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</si>
  <si>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</si>
  <si>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</si>
  <si>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</si>
  <si>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</si>
  <si>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</si>
  <si>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</si>
  <si>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</si>
  <si>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</si>
  <si>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</si>
  <si>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</si>
  <si>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</si>
  <si>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</si>
  <si>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</si>
  <si>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</si>
  <si>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</si>
  <si>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</si>
  <si>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</si>
  <si>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</si>
  <si>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</si>
  <si>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</si>
  <si>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</si>
  <si>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</si>
  <si>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</si>
  <si>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</si>
  <si>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</si>
  <si>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</si>
  <si>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</si>
  <si>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</si>
  <si>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</si>
  <si>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</si>
  <si>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</si>
  <si>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</si>
  <si>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</si>
  <si>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</si>
  <si>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</si>
  <si>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</si>
  <si>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</si>
  <si>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</si>
  <si>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</si>
  <si>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</si>
  <si>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</si>
  <si>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</si>
  <si>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</si>
  <si>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</si>
  <si>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</si>
  <si>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</si>
  <si>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</si>
  <si>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</si>
  <si>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</si>
  <si>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</si>
  <si>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</si>
  <si>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</si>
  <si>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</si>
  <si>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</si>
  <si>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</si>
  <si>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</si>
  <si>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</si>
  <si>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</si>
  <si>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</si>
  <si>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</si>
  <si>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</si>
  <si>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</si>
  <si>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</si>
  <si>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</si>
  <si>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</si>
  <si>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</si>
  <si>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</si>
  <si>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</si>
  <si>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</si>
  <si>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</si>
  <si>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</si>
  <si>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</si>
  <si>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</si>
  <si>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</si>
  <si>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</si>
  <si>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</si>
  <si>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</si>
  <si>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</si>
  <si>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</si>
  <si>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</si>
  <si>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</si>
  <si>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</si>
  <si>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</si>
  <si>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</si>
  <si>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</si>
  <si>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</si>
  <si>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</si>
  <si>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</si>
  <si>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</si>
  <si>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</si>
  <si>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</si>
  <si>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</si>
  <si>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</si>
  <si>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</si>
  <si>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</si>
  <si>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</si>
  <si>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</si>
  <si>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</si>
  <si>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</si>
  <si>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</si>
  <si>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</si>
  <si>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</si>
  <si>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</si>
  <si>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</si>
  <si>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</si>
  <si>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</si>
  <si>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</si>
  <si>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</si>
  <si>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</si>
  <si>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</si>
  <si>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</si>
  <si>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</si>
  <si>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</si>
  <si>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</si>
  <si>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</si>
  <si>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</si>
  <si>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</si>
  <si>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</si>
  <si>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</si>
  <si>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</si>
  <si>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</si>
  <si>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</si>
  <si>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</si>
  <si>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</si>
  <si>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</si>
  <si>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</si>
  <si>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</si>
  <si>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</si>
  <si>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</si>
  <si>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</si>
  <si>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</si>
  <si>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</si>
  <si>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</si>
  <si>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</si>
  <si>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</si>
  <si>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</si>
  <si>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</si>
  <si>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</si>
  <si>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</si>
  <si>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</si>
  <si>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</si>
  <si>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</si>
  <si>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</si>
  <si>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</si>
  <si>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</si>
  <si>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</si>
  <si>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</si>
  <si>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</si>
  <si>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</si>
  <si>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</si>
  <si>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</si>
  <si>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</si>
  <si>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</si>
  <si>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</si>
  <si>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</si>
  <si>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</si>
  <si>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</si>
  <si>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</si>
  <si>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</si>
  <si>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</si>
  <si>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</si>
  <si>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</si>
  <si>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</si>
  <si>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</si>
  <si>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</si>
  <si>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</si>
  <si>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</si>
  <si>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</si>
  <si>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</si>
  <si>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</si>
  <si>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</si>
  <si>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</si>
  <si>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</si>
  <si>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</si>
  <si>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</si>
  <si>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</si>
  <si>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</si>
  <si>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</si>
  <si>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</si>
  <si>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</si>
  <si>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</si>
  <si>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</si>
  <si>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</si>
  <si>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</si>
  <si>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</si>
  <si>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</si>
  <si>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</si>
  <si>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</si>
  <si>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</si>
  <si>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</si>
  <si>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</si>
  <si>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</si>
  <si>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</si>
  <si>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</si>
  <si>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</si>
  <si>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</si>
  <si>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</si>
  <si>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</si>
  <si>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</si>
  <si>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</si>
  <si>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</si>
  <si>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</si>
  <si>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</si>
  <si>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</si>
  <si>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</si>
  <si>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</si>
  <si>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</si>
  <si>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</si>
  <si>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</si>
  <si>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</si>
  <si>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</si>
  <si>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</si>
  <si>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</si>
  <si>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</si>
  <si>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</si>
  <si>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</si>
  <si>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</si>
  <si>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</si>
  <si>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</si>
  <si>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</si>
  <si>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</si>
  <si>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</si>
  <si>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</si>
  <si>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</si>
  <si>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</si>
  <si>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</si>
  <si>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</si>
  <si>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</si>
  <si>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</si>
  <si>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</si>
  <si>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</si>
  <si>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</si>
  <si>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</si>
  <si>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</si>
  <si>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</si>
  <si>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</si>
  <si>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</si>
  <si>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</si>
  <si>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</si>
  <si>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</si>
  <si>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</si>
  <si>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</si>
  <si>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</si>
  <si>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</si>
  <si>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</si>
  <si>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</si>
  <si>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</si>
  <si>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</si>
  <si>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</si>
  <si>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</si>
  <si>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</si>
  <si>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</si>
  <si>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</si>
  <si>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</si>
  <si>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</si>
  <si>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</si>
  <si>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</si>
  <si>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</si>
  <si>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</si>
  <si>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</si>
  <si>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</si>
  <si>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</si>
  <si>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</si>
  <si>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</si>
  <si>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</si>
  <si>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</si>
  <si>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</si>
  <si>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</si>
  <si>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</si>
  <si>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</si>
  <si>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</si>
  <si>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</si>
  <si>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</si>
  <si>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</si>
  <si>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</si>
  <si>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</si>
  <si>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</si>
  <si>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</si>
  <si>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</si>
  <si>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</si>
  <si>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</si>
  <si>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</si>
  <si>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</si>
  <si>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</si>
  <si>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</si>
  <si>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</si>
  <si>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</si>
  <si>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</si>
  <si>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</si>
  <si>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</si>
  <si>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</si>
  <si>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</si>
  <si>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</si>
  <si>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</si>
  <si>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</si>
  <si>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</si>
  <si>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</si>
  <si>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</si>
  <si>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</si>
  <si>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</si>
  <si>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</si>
  <si>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</si>
  <si>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</si>
  <si>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</si>
  <si>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</si>
  <si>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</si>
  <si>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</si>
  <si>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</si>
  <si>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</si>
  <si>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</si>
  <si>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</si>
  <si>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</si>
  <si>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</si>
  <si>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</si>
  <si>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</si>
  <si>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</si>
  <si>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</si>
  <si>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</si>
  <si>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</si>
  <si>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</si>
  <si>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</si>
  <si>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</si>
  <si>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</si>
  <si>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</si>
  <si>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</si>
  <si>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</si>
  <si>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</si>
  <si>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</si>
  <si>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</si>
  <si>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</si>
  <si>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</si>
  <si>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</si>
  <si>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</si>
  <si>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</si>
  <si>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</si>
  <si>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</si>
  <si>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</si>
  <si>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</si>
  <si>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</si>
  <si>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</si>
  <si>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</si>
  <si>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</si>
  <si>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</si>
  <si>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</si>
  <si>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</si>
  <si>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</si>
  <si>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</si>
  <si>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</si>
  <si>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</si>
  <si>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</si>
  <si>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</si>
  <si>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</si>
  <si>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</si>
  <si>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</si>
  <si>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</si>
  <si>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</si>
  <si>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</si>
  <si>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</si>
  <si>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</si>
  <si>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</si>
  <si>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</si>
  <si>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</si>
  <si>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</si>
  <si>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</si>
  <si>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</si>
  <si>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</si>
  <si>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</si>
  <si>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</si>
  <si>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</si>
  <si>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</si>
  <si>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</si>
  <si>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</si>
  <si>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</si>
  <si>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</si>
  <si>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</si>
  <si>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</si>
  <si>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</si>
  <si>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</si>
  <si>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</si>
  <si>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</si>
  <si>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</si>
  <si>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</si>
  <si>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</si>
  <si>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</si>
  <si>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</si>
  <si>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</si>
  <si>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</si>
  <si>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</si>
  <si>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</si>
  <si>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</si>
  <si>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</si>
  <si>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</si>
  <si>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</si>
  <si>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</si>
  <si>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</si>
  <si>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</si>
  <si>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</si>
  <si>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</si>
  <si>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</si>
  <si>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</si>
  <si>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</si>
  <si>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</si>
  <si>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</si>
  <si>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</si>
  <si>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</si>
  <si>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</si>
  <si>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</si>
  <si>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</si>
  <si>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</si>
  <si>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</si>
  <si>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</si>
  <si>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</si>
  <si>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</si>
  <si>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</si>
  <si>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</si>
  <si>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</si>
  <si>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</si>
  <si>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</si>
  <si>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</si>
  <si>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</si>
  <si>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</si>
  <si>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</si>
  <si>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</si>
  <si>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</si>
  <si>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</si>
  <si>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</si>
  <si>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</si>
  <si>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</si>
  <si>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</si>
  <si>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</si>
  <si>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</si>
  <si>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</si>
  <si>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</si>
  <si>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</si>
  <si>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</si>
  <si>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</si>
  <si>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</si>
  <si>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</si>
  <si>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</si>
  <si>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</si>
  <si>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</si>
  <si>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</si>
  <si>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</si>
  <si>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</si>
  <si>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</si>
  <si>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</si>
  <si>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</si>
  <si>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</si>
  <si>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</si>
  <si>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</si>
  <si>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</si>
  <si>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</si>
  <si>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</si>
  <si>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</si>
  <si>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</si>
  <si>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</si>
  <si>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</si>
  <si>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</si>
  <si>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</si>
  <si>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</si>
  <si>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</si>
  <si>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</si>
  <si>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</si>
  <si>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</si>
  <si>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</si>
  <si>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</si>
  <si>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</si>
  <si>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</si>
  <si>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</si>
  <si>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</si>
  <si>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</si>
  <si>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</si>
  <si>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</si>
  <si>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</si>
  <si>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</si>
  <si>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</si>
  <si>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</si>
  <si>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</si>
  <si>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</si>
  <si>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</si>
  <si>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</si>
  <si>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</si>
  <si>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</si>
  <si>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</si>
  <si>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</si>
  <si>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</si>
  <si>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</si>
  <si>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</si>
  <si>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</si>
  <si>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</si>
  <si>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</si>
  <si>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</si>
  <si>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</si>
  <si>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</si>
  <si>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</si>
  <si>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</si>
  <si>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</si>
  <si>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</si>
  <si>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</si>
  <si>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</si>
  <si>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</si>
  <si>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</si>
  <si>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</si>
  <si>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</si>
  <si>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</si>
  <si>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</si>
  <si>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</si>
  <si>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</si>
  <si>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</si>
  <si>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</si>
  <si>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</si>
  <si>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</si>
  <si>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</si>
  <si>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</si>
  <si>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</si>
  <si>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</si>
  <si>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</si>
  <si>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</si>
  <si>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</si>
  <si>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</si>
  <si>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</si>
  <si>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</si>
  <si>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</si>
  <si>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</si>
  <si>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</si>
  <si>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</si>
  <si>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</si>
  <si>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</si>
  <si>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</si>
  <si>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</si>
  <si>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</si>
  <si>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</si>
  <si>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</si>
  <si>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</si>
  <si>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</si>
  <si>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</si>
  <si>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</si>
  <si>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</si>
  <si>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</si>
  <si>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</si>
  <si>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</si>
  <si>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</si>
  <si>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</si>
  <si>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</si>
  <si>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</si>
  <si>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</si>
  <si>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</si>
  <si>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</si>
  <si>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</si>
  <si>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</si>
  <si>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</si>
  <si>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</si>
  <si>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</si>
  <si>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</si>
  <si>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</si>
  <si>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</si>
  <si>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</si>
  <si>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</si>
  <si>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</si>
  <si>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</si>
  <si>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</si>
  <si>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</si>
  <si>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</si>
  <si>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</si>
  <si>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</si>
  <si>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</si>
  <si>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</si>
  <si>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</si>
  <si>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</si>
  <si>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</si>
  <si>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</si>
  <si>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</si>
  <si>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</si>
  <si>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</si>
  <si>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</si>
  <si>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</si>
  <si>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</si>
  <si>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</si>
  <si>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</si>
  <si>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</si>
  <si>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</si>
  <si>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</si>
  <si>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</si>
  <si>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</si>
  <si>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</si>
  <si>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</si>
  <si>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</si>
  <si>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</si>
  <si>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</si>
  <si>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</si>
  <si>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</si>
  <si>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</si>
  <si>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</si>
  <si>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</si>
  <si>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</si>
  <si>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</si>
  <si>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</si>
  <si>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</si>
  <si>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</si>
  <si>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</si>
  <si>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</si>
  <si>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</si>
  <si>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</si>
  <si>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</si>
  <si>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</si>
  <si>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</si>
  <si>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</si>
  <si>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</si>
  <si>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</si>
  <si>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</si>
  <si>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</si>
  <si>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</si>
  <si>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</si>
  <si>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</si>
  <si>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</si>
  <si>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</si>
  <si>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</si>
  <si>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</si>
  <si>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</si>
  <si>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</si>
  <si>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</si>
  <si>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</si>
  <si>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</si>
  <si>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</si>
  <si>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</si>
  <si>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</si>
  <si>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</si>
  <si>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</si>
  <si>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</si>
  <si>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</si>
  <si>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</si>
  <si>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</si>
  <si>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</si>
  <si>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</si>
  <si>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</si>
  <si>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</si>
  <si>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</si>
  <si>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</si>
  <si>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</si>
  <si>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</si>
  <si>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</si>
  <si>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</si>
  <si>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</si>
  <si>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</si>
  <si>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</si>
  <si>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</si>
  <si>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</si>
  <si>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</si>
  <si>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</si>
  <si>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</si>
  <si>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</si>
  <si>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</si>
  <si>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</si>
  <si>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</si>
  <si>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</si>
  <si>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</si>
  <si>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</si>
  <si>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</si>
  <si>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</si>
  <si>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</si>
  <si>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</si>
  <si>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</si>
  <si>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</si>
  <si>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</si>
  <si>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</si>
  <si>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</si>
  <si>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</si>
  <si>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</si>
  <si>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</si>
  <si>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</si>
  <si>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</si>
  <si>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</si>
  <si>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</si>
  <si>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</si>
  <si>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</si>
  <si>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</si>
  <si>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</si>
  <si>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</si>
  <si>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</si>
  <si>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</si>
  <si>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</si>
  <si>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</si>
  <si>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</si>
  <si>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</si>
  <si>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</si>
  <si>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</si>
  <si>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</si>
  <si>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</si>
  <si>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</si>
  <si>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</si>
  <si>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</si>
  <si>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</si>
  <si>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</si>
  <si>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</si>
  <si>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</si>
  <si>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</si>
  <si>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</si>
  <si>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</si>
  <si>
    <t>Rate of Savings for Institutional Sectors at Current Prices: Base Year 2011-12</t>
  </si>
  <si>
    <t>Per cent : 1964-65 to 2023-24</t>
  </si>
  <si>
    <t xml:space="preserve">Public non-financial  corporations </t>
  </si>
  <si>
    <t xml:space="preserve">Private non- financial  corporations </t>
  </si>
  <si>
    <t xml:space="preserve">Public financial  corporations </t>
  </si>
  <si>
    <t xml:space="preserve">Private financial  corporations </t>
  </si>
  <si>
    <t xml:space="preserve">General Government </t>
  </si>
  <si>
    <t xml:space="preserve">Households including  NPISH </t>
  </si>
  <si>
    <t xml:space="preserve">Public non-financial 
corp. </t>
  </si>
  <si>
    <t xml:space="preserve">Private non- financial  
corp. </t>
  </si>
  <si>
    <t>Public financial  
corp.</t>
  </si>
  <si>
    <t xml:space="preserve">Private financial
 corp </t>
  </si>
  <si>
    <t>Total Savings</t>
  </si>
  <si>
    <t xml:space="preserve">2023-24 </t>
  </si>
  <si>
    <t>India GDP in Million</t>
  </si>
  <si>
    <t xml:space="preserve">        Household sector, of which</t>
  </si>
  <si>
    <t xml:space="preserve">        General Government</t>
  </si>
  <si>
    <t xml:space="preserve">            Private financial corporations</t>
  </si>
  <si>
    <t xml:space="preserve">            Public financial corporations</t>
  </si>
  <si>
    <t xml:space="preserve">        Financial corporations</t>
  </si>
  <si>
    <t xml:space="preserve">            Private non-financial corporations</t>
  </si>
  <si>
    <t xml:space="preserve">            Public non-financial corporations</t>
  </si>
  <si>
    <t xml:space="preserve">        Non financial corporations</t>
  </si>
  <si>
    <t>% share in Gross Savings : 2000-01 to 2023-24</t>
  </si>
  <si>
    <t>Gross Savings and Its Components at Current Prices: Base Year 2011-12</t>
  </si>
  <si>
    <t xml:space="preserve">            Net financial saving HH</t>
  </si>
  <si>
    <t xml:space="preserve">            Gross financial saving HH</t>
  </si>
  <si>
    <t xml:space="preserve">            Financial liabilities HH </t>
  </si>
  <si>
    <t xml:space="preserve">            Saving in physical assets HH</t>
  </si>
  <si>
    <t xml:space="preserve">            Saving in the form of gold &amp; silver ornaments HH</t>
  </si>
  <si>
    <t>Per cent : 1965-66 to 2024-25</t>
  </si>
  <si>
    <t>SDF</t>
  </si>
  <si>
    <t>MSF</t>
  </si>
  <si>
    <t>CRR</t>
  </si>
  <si>
    <t>SLR</t>
  </si>
  <si>
    <t>Repo rate</t>
  </si>
  <si>
    <t>Bank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</si>
</sst>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14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4" fontId="0" fillId="2" borderId="0" xfId="0" applyNumberFormat="1" applyFill="1"/>
    <xf numFmtId="10" fontId="0" fillId="0" borderId="0" xfId="2" applyNumberFormat="1" applyFo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6A1598B3-D303-4F43-B777-ECC8772EE586}"/>
    <cellStyle name="Per 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'RBI-Policy-Rates'!$C$3</c:f>
              <c:strCache>
                <c:ptCount val="1"/>
                <c:pt idx="0">
                  <c:v>SLR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'RBI-Policy-Rates'!$C$4:$C$64</c:f>
              <c:numCache>
                <c:formatCode>General</c:formatCode>
                <c:ptCount val="61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26</c:v>
                </c:pt>
                <c:pt idx="5">
                  <c:v>28</c:v>
                </c:pt>
                <c:pt idx="6">
                  <c:v>28</c:v>
                </c:pt>
                <c:pt idx="7">
                  <c:v>30</c:v>
                </c:pt>
                <c:pt idx="8">
                  <c:v>32</c:v>
                </c:pt>
                <c:pt idx="9">
                  <c:v>33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36</c:v>
                </c:pt>
                <c:pt idx="20">
                  <c:v>37</c:v>
                </c:pt>
                <c:pt idx="21">
                  <c:v>37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38.5</c:v>
                </c:pt>
                <c:pt idx="26">
                  <c:v>38.5</c:v>
                </c:pt>
                <c:pt idx="27">
                  <c:v>37.75</c:v>
                </c:pt>
                <c:pt idx="28">
                  <c:v>34.75</c:v>
                </c:pt>
                <c:pt idx="29">
                  <c:v>31.5</c:v>
                </c:pt>
                <c:pt idx="30">
                  <c:v>31.5</c:v>
                </c:pt>
                <c:pt idx="31">
                  <c:v>31.5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24</c:v>
                </c:pt>
                <c:pt idx="44">
                  <c:v>25</c:v>
                </c:pt>
                <c:pt idx="45">
                  <c:v>24</c:v>
                </c:pt>
                <c:pt idx="46">
                  <c:v>24</c:v>
                </c:pt>
                <c:pt idx="47">
                  <c:v>23</c:v>
                </c:pt>
                <c:pt idx="48">
                  <c:v>23</c:v>
                </c:pt>
                <c:pt idx="49">
                  <c:v>21.5</c:v>
                </c:pt>
                <c:pt idx="50">
                  <c:v>21.5</c:v>
                </c:pt>
                <c:pt idx="51">
                  <c:v>20.5</c:v>
                </c:pt>
                <c:pt idx="52">
                  <c:v>19.5</c:v>
                </c:pt>
                <c:pt idx="53">
                  <c:v>19.25</c:v>
                </c:pt>
                <c:pt idx="54">
                  <c:v>18.25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  <c:pt idx="59">
                  <c:v>18</c:v>
                </c:pt>
                <c:pt idx="6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37-6D4B-A4D5-60BFEE69F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4485184"/>
        <c:axId val="304495488"/>
      </c:barChart>
      <c:lineChart>
        <c:grouping val="standard"/>
        <c:varyColors val="0"/>
        <c:ser>
          <c:idx val="0"/>
          <c:order val="0"/>
          <c:tx>
            <c:strRef>
              <c:f>'RBI-Policy-Rates'!$B$3</c:f>
              <c:strCache>
                <c:ptCount val="1"/>
                <c:pt idx="0">
                  <c:v>CRR</c:v>
                </c:pt>
              </c:strCache>
            </c:strRef>
          </c:tx>
          <c:spPr>
            <a:ln w="38100" cap="flat" cmpd="dbl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'RBI-Policy-Rates'!$B$4:$B$64</c:f>
              <c:numCache>
                <c:formatCode>General</c:formatCode>
                <c:ptCount val="61"/>
                <c:pt idx="8">
                  <c:v>7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7.75</c:v>
                </c:pt>
                <c:pt idx="17">
                  <c:v>7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9.5</c:v>
                </c:pt>
                <c:pt idx="22">
                  <c:v>10</c:v>
                </c:pt>
                <c:pt idx="23">
                  <c:v>11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14</c:v>
                </c:pt>
                <c:pt idx="29">
                  <c:v>15</c:v>
                </c:pt>
                <c:pt idx="30">
                  <c:v>14</c:v>
                </c:pt>
                <c:pt idx="31">
                  <c:v>10</c:v>
                </c:pt>
                <c:pt idx="32">
                  <c:v>10.25</c:v>
                </c:pt>
                <c:pt idx="33">
                  <c:v>10.5</c:v>
                </c:pt>
                <c:pt idx="34">
                  <c:v>9</c:v>
                </c:pt>
                <c:pt idx="35">
                  <c:v>8</c:v>
                </c:pt>
                <c:pt idx="36">
                  <c:v>5.5</c:v>
                </c:pt>
                <c:pt idx="37">
                  <c:v>4.75</c:v>
                </c:pt>
                <c:pt idx="38">
                  <c:v>4.5</c:v>
                </c:pt>
                <c:pt idx="39">
                  <c:v>5</c:v>
                </c:pt>
                <c:pt idx="40">
                  <c:v>5</c:v>
                </c:pt>
                <c:pt idx="41">
                  <c:v>6</c:v>
                </c:pt>
                <c:pt idx="42">
                  <c:v>7.5</c:v>
                </c:pt>
                <c:pt idx="43">
                  <c:v>5</c:v>
                </c:pt>
                <c:pt idx="44">
                  <c:v>5.75</c:v>
                </c:pt>
                <c:pt idx="45">
                  <c:v>6</c:v>
                </c:pt>
                <c:pt idx="46">
                  <c:v>4.75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3</c:v>
                </c:pt>
                <c:pt idx="56">
                  <c:v>4</c:v>
                </c:pt>
                <c:pt idx="57">
                  <c:v>4.5</c:v>
                </c:pt>
                <c:pt idx="58">
                  <c:v>4.5</c:v>
                </c:pt>
                <c:pt idx="59">
                  <c:v>4</c:v>
                </c:pt>
                <c:pt idx="60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7-6D4B-A4D5-60BFEE69FBA8}"/>
            </c:ext>
          </c:extLst>
        </c:ser>
        <c:ser>
          <c:idx val="2"/>
          <c:order val="2"/>
          <c:tx>
            <c:strRef>
              <c:f>'RBI-Policy-Rates'!$D$3</c:f>
              <c:strCache>
                <c:ptCount val="1"/>
                <c:pt idx="0">
                  <c:v>Repo rate</c:v>
                </c:pt>
              </c:strCache>
            </c:strRef>
          </c:tx>
          <c:spPr>
            <a:ln w="38100" cap="flat" cmpd="dbl" algn="ctr">
              <a:solidFill>
                <a:schemeClr val="accent3"/>
              </a:solidFill>
              <a:miter lim="800000"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'RBI-Policy-Rates'!$D$4:$D$64</c:f>
              <c:numCache>
                <c:formatCode>General</c:formatCode>
                <c:ptCount val="61"/>
                <c:pt idx="35">
                  <c:v>9</c:v>
                </c:pt>
                <c:pt idx="36">
                  <c:v>8</c:v>
                </c:pt>
                <c:pt idx="37">
                  <c:v>7</c:v>
                </c:pt>
                <c:pt idx="38">
                  <c:v>6</c:v>
                </c:pt>
                <c:pt idx="39">
                  <c:v>6</c:v>
                </c:pt>
                <c:pt idx="40">
                  <c:v>6.5</c:v>
                </c:pt>
                <c:pt idx="41">
                  <c:v>7.75</c:v>
                </c:pt>
                <c:pt idx="42">
                  <c:v>7.75</c:v>
                </c:pt>
                <c:pt idx="43">
                  <c:v>5</c:v>
                </c:pt>
                <c:pt idx="44">
                  <c:v>5</c:v>
                </c:pt>
                <c:pt idx="45">
                  <c:v>6.75</c:v>
                </c:pt>
                <c:pt idx="46">
                  <c:v>8.5</c:v>
                </c:pt>
                <c:pt idx="47">
                  <c:v>7.5</c:v>
                </c:pt>
                <c:pt idx="48">
                  <c:v>8</c:v>
                </c:pt>
                <c:pt idx="49">
                  <c:v>7.5</c:v>
                </c:pt>
                <c:pt idx="50">
                  <c:v>6.75</c:v>
                </c:pt>
                <c:pt idx="51">
                  <c:v>6.25</c:v>
                </c:pt>
                <c:pt idx="52">
                  <c:v>6</c:v>
                </c:pt>
                <c:pt idx="53">
                  <c:v>6.25</c:v>
                </c:pt>
                <c:pt idx="54">
                  <c:v>4.4000000000000004</c:v>
                </c:pt>
                <c:pt idx="55">
                  <c:v>4</c:v>
                </c:pt>
                <c:pt idx="56">
                  <c:v>4</c:v>
                </c:pt>
                <c:pt idx="57">
                  <c:v>6.5</c:v>
                </c:pt>
                <c:pt idx="58">
                  <c:v>6.5</c:v>
                </c:pt>
                <c:pt idx="59">
                  <c:v>6.25</c:v>
                </c:pt>
                <c:pt idx="60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37-6D4B-A4D5-60BFEE69FBA8}"/>
            </c:ext>
          </c:extLst>
        </c:ser>
        <c:ser>
          <c:idx val="3"/>
          <c:order val="3"/>
          <c:tx>
            <c:strRef>
              <c:f>'RBI-Policy-Rates'!$E$3</c:f>
              <c:strCache>
                <c:ptCount val="1"/>
                <c:pt idx="0">
                  <c:v>Reverse repo rate </c:v>
                </c:pt>
              </c:strCache>
            </c:strRef>
          </c:tx>
          <c:spPr>
            <a:ln w="38100" cap="flat" cmpd="dbl" algn="ctr">
              <a:solidFill>
                <a:schemeClr val="accent4"/>
              </a:solidFill>
              <a:miter lim="800000"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'RBI-Policy-Rates'!$E$4:$E$64</c:f>
              <c:numCache>
                <c:formatCode>General</c:formatCode>
                <c:ptCount val="61"/>
                <c:pt idx="35">
                  <c:v>7</c:v>
                </c:pt>
                <c:pt idx="36">
                  <c:v>6</c:v>
                </c:pt>
                <c:pt idx="37">
                  <c:v>5</c:v>
                </c:pt>
                <c:pt idx="38">
                  <c:v>4.5</c:v>
                </c:pt>
                <c:pt idx="39">
                  <c:v>4.75</c:v>
                </c:pt>
                <c:pt idx="40">
                  <c:v>5.5</c:v>
                </c:pt>
                <c:pt idx="41">
                  <c:v>6</c:v>
                </c:pt>
                <c:pt idx="42">
                  <c:v>6</c:v>
                </c:pt>
                <c:pt idx="43">
                  <c:v>3.5</c:v>
                </c:pt>
                <c:pt idx="44">
                  <c:v>3.5</c:v>
                </c:pt>
                <c:pt idx="45">
                  <c:v>5.75</c:v>
                </c:pt>
                <c:pt idx="46">
                  <c:v>7.5</c:v>
                </c:pt>
                <c:pt idx="47">
                  <c:v>6.5</c:v>
                </c:pt>
                <c:pt idx="48">
                  <c:v>7</c:v>
                </c:pt>
                <c:pt idx="49">
                  <c:v>6.5</c:v>
                </c:pt>
                <c:pt idx="50">
                  <c:v>5.75</c:v>
                </c:pt>
                <c:pt idx="51">
                  <c:v>5.75</c:v>
                </c:pt>
                <c:pt idx="52">
                  <c:v>5.75</c:v>
                </c:pt>
                <c:pt idx="53">
                  <c:v>6</c:v>
                </c:pt>
                <c:pt idx="54">
                  <c:v>4</c:v>
                </c:pt>
                <c:pt idx="55">
                  <c:v>3.35</c:v>
                </c:pt>
                <c:pt idx="56">
                  <c:v>3.35</c:v>
                </c:pt>
                <c:pt idx="57">
                  <c:v>3.35</c:v>
                </c:pt>
                <c:pt idx="58">
                  <c:v>3.35</c:v>
                </c:pt>
                <c:pt idx="59">
                  <c:v>3.35</c:v>
                </c:pt>
                <c:pt idx="60">
                  <c:v>3.35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37-6D4B-A4D5-60BFEE69FBA8}"/>
            </c:ext>
          </c:extLst>
        </c:ser>
        <c:ser>
          <c:idx val="4"/>
          <c:order val="4"/>
          <c:tx>
            <c:strRef>
              <c:f>'RBI-Policy-Rates'!$F$3</c:f>
              <c:strCache>
                <c:ptCount val="1"/>
                <c:pt idx="0">
                  <c:v>SDF</c:v>
                </c:pt>
              </c:strCache>
            </c:strRef>
          </c:tx>
          <c:spPr>
            <a:ln w="38100" cap="flat" cmpd="dbl" algn="ctr">
              <a:solidFill>
                <a:schemeClr val="accent5"/>
              </a:solidFill>
              <a:miter lim="800000"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'RBI-Policy-Rates'!$F$4:$F$64</c:f>
              <c:numCache>
                <c:formatCode>General</c:formatCode>
                <c:ptCount val="61"/>
                <c:pt idx="57">
                  <c:v>6.25</c:v>
                </c:pt>
                <c:pt idx="58">
                  <c:v>6.25</c:v>
                </c:pt>
                <c:pt idx="59">
                  <c:v>6</c:v>
                </c:pt>
                <c:pt idx="60">
                  <c:v>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B37-6D4B-A4D5-60BFEE69FBA8}"/>
            </c:ext>
          </c:extLst>
        </c:ser>
        <c:ser>
          <c:idx val="5"/>
          <c:order val="5"/>
          <c:tx>
            <c:strRef>
              <c:f>'RBI-Policy-Rates'!$G$3</c:f>
              <c:strCache>
                <c:ptCount val="1"/>
                <c:pt idx="0">
                  <c:v>MSF</c:v>
                </c:pt>
              </c:strCache>
            </c:strRef>
          </c:tx>
          <c:spPr>
            <a:ln w="38100" cap="flat" cmpd="dbl" algn="ctr">
              <a:solidFill>
                <a:schemeClr val="accent6"/>
              </a:solidFill>
              <a:miter lim="800000"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'RBI-Policy-Rates'!$G$4:$G$64</c:f>
              <c:numCache>
                <c:formatCode>General</c:formatCode>
                <c:ptCount val="61"/>
                <c:pt idx="46">
                  <c:v>9.5</c:v>
                </c:pt>
                <c:pt idx="47">
                  <c:v>8.5</c:v>
                </c:pt>
                <c:pt idx="48">
                  <c:v>9</c:v>
                </c:pt>
                <c:pt idx="49">
                  <c:v>8.5</c:v>
                </c:pt>
                <c:pt idx="50">
                  <c:v>7.75</c:v>
                </c:pt>
                <c:pt idx="51">
                  <c:v>6.75</c:v>
                </c:pt>
                <c:pt idx="52">
                  <c:v>6.25</c:v>
                </c:pt>
                <c:pt idx="53">
                  <c:v>6.5</c:v>
                </c:pt>
                <c:pt idx="54">
                  <c:v>4.6500000000000004</c:v>
                </c:pt>
                <c:pt idx="55">
                  <c:v>4.25</c:v>
                </c:pt>
                <c:pt idx="56">
                  <c:v>4.25</c:v>
                </c:pt>
                <c:pt idx="57">
                  <c:v>6.75</c:v>
                </c:pt>
                <c:pt idx="58">
                  <c:v>6.75</c:v>
                </c:pt>
                <c:pt idx="59">
                  <c:v>6.5</c:v>
                </c:pt>
                <c:pt idx="60">
                  <c:v>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B37-6D4B-A4D5-60BFEE69FBA8}"/>
            </c:ext>
          </c:extLst>
        </c:ser>
        <c:ser>
          <c:idx val="6"/>
          <c:order val="6"/>
          <c:tx>
            <c:strRef>
              <c:f>'RBI-Policy-Rates'!$H$3</c:f>
              <c:strCache>
                <c:ptCount val="1"/>
                <c:pt idx="0">
                  <c:v>Bank rate</c:v>
                </c:pt>
              </c:strCache>
            </c:strRef>
          </c:tx>
          <c:spPr>
            <a:ln w="38100" cap="flat" cmpd="dbl" algn="ctr">
              <a:solidFill>
                <a:schemeClr val="accent1">
                  <a:lumMod val="60000"/>
                </a:schemeClr>
              </a:solidFill>
              <a:miter lim="800000"/>
            </a:ln>
            <a:effectLst/>
          </c:spPr>
          <c:marker>
            <c:symbol val="none"/>
          </c:marker>
          <c:cat>
            <c:strRef>
              <c:f>'RBI-Policy-Rates'!$A$4:$A$64</c:f>
              <c:strCache>
                <c:ptCount val="61"/>
                <c:pt idx="0">
                  <c:v>1965-66</c:v>
                </c:pt>
                <c:pt idx="1">
                  <c:v>1966-67</c:v>
                </c:pt>
                <c:pt idx="2">
                  <c:v>1967-68</c:v>
                </c:pt>
                <c:pt idx="3">
                  <c:v>1968-69</c:v>
                </c:pt>
                <c:pt idx="4">
                  <c:v>1969-70</c:v>
                </c:pt>
                <c:pt idx="5">
                  <c:v>1970-71</c:v>
                </c:pt>
                <c:pt idx="6">
                  <c:v>1971-72</c:v>
                </c:pt>
                <c:pt idx="7">
                  <c:v>1972-73</c:v>
                </c:pt>
                <c:pt idx="8">
                  <c:v>1973-74</c:v>
                </c:pt>
                <c:pt idx="9">
                  <c:v>1974-75</c:v>
                </c:pt>
                <c:pt idx="10">
                  <c:v>1975-76</c:v>
                </c:pt>
                <c:pt idx="11">
                  <c:v>1976-77</c:v>
                </c:pt>
                <c:pt idx="12">
                  <c:v>1977-78</c:v>
                </c:pt>
                <c:pt idx="13">
                  <c:v>1978-79</c:v>
                </c:pt>
                <c:pt idx="14">
                  <c:v>1979-80</c:v>
                </c:pt>
                <c:pt idx="15">
                  <c:v>1980-81</c:v>
                </c:pt>
                <c:pt idx="16">
                  <c:v>1981-82</c:v>
                </c:pt>
                <c:pt idx="17">
                  <c:v>1982-83</c:v>
                </c:pt>
                <c:pt idx="18">
                  <c:v>1983-84</c:v>
                </c:pt>
                <c:pt idx="19">
                  <c:v>1984-85</c:v>
                </c:pt>
                <c:pt idx="20">
                  <c:v>1985-86</c:v>
                </c:pt>
                <c:pt idx="21">
                  <c:v>1986-87</c:v>
                </c:pt>
                <c:pt idx="22">
                  <c:v>1987-88</c:v>
                </c:pt>
                <c:pt idx="23">
                  <c:v>1988-89</c:v>
                </c:pt>
                <c:pt idx="24">
                  <c:v>1989-90</c:v>
                </c:pt>
                <c:pt idx="25">
                  <c:v>1990-91</c:v>
                </c:pt>
                <c:pt idx="26">
                  <c:v>1991-92</c:v>
                </c:pt>
                <c:pt idx="27">
                  <c:v>1992-93</c:v>
                </c:pt>
                <c:pt idx="28">
                  <c:v>1993-94</c:v>
                </c:pt>
                <c:pt idx="29">
                  <c:v>1994-95</c:v>
                </c:pt>
                <c:pt idx="30">
                  <c:v>1995-96</c:v>
                </c:pt>
                <c:pt idx="31">
                  <c:v>1996-97</c:v>
                </c:pt>
                <c:pt idx="32">
                  <c:v>1997-98</c:v>
                </c:pt>
                <c:pt idx="33">
                  <c:v>1998-99</c:v>
                </c:pt>
                <c:pt idx="34">
                  <c:v>1999-00</c:v>
                </c:pt>
                <c:pt idx="35">
                  <c:v>2000-01</c:v>
                </c:pt>
                <c:pt idx="36">
                  <c:v>2001-02</c:v>
                </c:pt>
                <c:pt idx="37">
                  <c:v>2002-03</c:v>
                </c:pt>
                <c:pt idx="38">
                  <c:v>2003-04</c:v>
                </c:pt>
                <c:pt idx="39">
                  <c:v>2004-05</c:v>
                </c:pt>
                <c:pt idx="40">
                  <c:v>2005-06</c:v>
                </c:pt>
                <c:pt idx="41">
                  <c:v>2006-07</c:v>
                </c:pt>
                <c:pt idx="42">
                  <c:v>2007-08</c:v>
                </c:pt>
                <c:pt idx="43">
                  <c:v>2008-09</c:v>
                </c:pt>
                <c:pt idx="44">
                  <c:v>2009-10</c:v>
                </c:pt>
                <c:pt idx="45">
                  <c:v>2010-11</c:v>
                </c:pt>
                <c:pt idx="46">
                  <c:v>2011-12</c:v>
                </c:pt>
                <c:pt idx="47">
                  <c:v>2012-13</c:v>
                </c:pt>
                <c:pt idx="48">
                  <c:v>2013-14</c:v>
                </c:pt>
                <c:pt idx="49">
                  <c:v>2014-15</c:v>
                </c:pt>
                <c:pt idx="50">
                  <c:v>2015-16</c:v>
                </c:pt>
                <c:pt idx="51">
                  <c:v>2016-17</c:v>
                </c:pt>
                <c:pt idx="52">
                  <c:v>2017-18</c:v>
                </c:pt>
                <c:pt idx="53">
                  <c:v>2018-19</c:v>
                </c:pt>
                <c:pt idx="54">
                  <c:v>2019-20</c:v>
                </c:pt>
                <c:pt idx="55">
                  <c:v>2020-21</c:v>
                </c:pt>
                <c:pt idx="56">
                  <c:v>2021-22</c:v>
                </c:pt>
                <c:pt idx="57">
                  <c:v>2022-23</c:v>
                </c:pt>
                <c:pt idx="58">
                  <c:v>2023-24</c:v>
                </c:pt>
                <c:pt idx="59">
                  <c:v>2024-25</c:v>
                </c:pt>
                <c:pt idx="60">
                  <c:v>2025-26</c:v>
                </c:pt>
              </c:strCache>
            </c:strRef>
          </c:cat>
          <c:val>
            <c:numRef>
              <c:f>'RBI-Policy-Rates'!$H$4:$H$64</c:f>
              <c:numCache>
                <c:formatCode>General</c:formatCode>
                <c:ptCount val="61"/>
                <c:pt idx="0">
                  <c:v>6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10.5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6.5</c:v>
                </c:pt>
                <c:pt idx="37">
                  <c:v>6.25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9.5</c:v>
                </c:pt>
                <c:pt idx="47">
                  <c:v>8.5</c:v>
                </c:pt>
                <c:pt idx="48">
                  <c:v>9</c:v>
                </c:pt>
                <c:pt idx="49">
                  <c:v>8.5</c:v>
                </c:pt>
                <c:pt idx="50">
                  <c:v>7.75</c:v>
                </c:pt>
                <c:pt idx="51">
                  <c:v>6.75</c:v>
                </c:pt>
                <c:pt idx="52">
                  <c:v>6.25</c:v>
                </c:pt>
                <c:pt idx="53">
                  <c:v>6.5</c:v>
                </c:pt>
                <c:pt idx="54">
                  <c:v>4.6500000000000004</c:v>
                </c:pt>
                <c:pt idx="55">
                  <c:v>4.25</c:v>
                </c:pt>
                <c:pt idx="56">
                  <c:v>4.25</c:v>
                </c:pt>
                <c:pt idx="57">
                  <c:v>6.75</c:v>
                </c:pt>
                <c:pt idx="58">
                  <c:v>6.75</c:v>
                </c:pt>
                <c:pt idx="59">
                  <c:v>6.5</c:v>
                </c:pt>
                <c:pt idx="60">
                  <c:v>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B37-6D4B-A4D5-60BFEE69F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5277376"/>
        <c:axId val="325282752"/>
      </c:lineChart>
      <c:catAx>
        <c:axId val="32527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282752"/>
        <c:crosses val="autoZero"/>
        <c:auto val="1"/>
        <c:lblAlgn val="ctr"/>
        <c:lblOffset val="100"/>
        <c:noMultiLvlLbl val="0"/>
      </c:catAx>
      <c:valAx>
        <c:axId val="32528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277376"/>
        <c:crosses val="autoZero"/>
        <c:crossBetween val="between"/>
      </c:valAx>
      <c:valAx>
        <c:axId val="3044954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485184"/>
        <c:crosses val="max"/>
        <c:crossBetween val="between"/>
      </c:valAx>
      <c:catAx>
        <c:axId val="3044851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0449548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Share of Indian Savings (% of Total Savings)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'Savings-PercentGDP'!$A$6</c:f>
              <c:strCache>
                <c:ptCount val="1"/>
                <c:pt idx="0">
                  <c:v>            Public non-financial corporations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'Savings-PercentGDP'!$B$6:$Y$6</c:f>
              <c:numCache>
                <c:formatCode>General</c:formatCode>
                <c:ptCount val="24"/>
                <c:pt idx="11">
                  <c:v>4.09</c:v>
                </c:pt>
                <c:pt idx="12">
                  <c:v>3.68</c:v>
                </c:pt>
                <c:pt idx="13">
                  <c:v>3.5</c:v>
                </c:pt>
                <c:pt idx="14">
                  <c:v>3.21</c:v>
                </c:pt>
                <c:pt idx="15">
                  <c:v>3.6</c:v>
                </c:pt>
                <c:pt idx="16">
                  <c:v>3.57</c:v>
                </c:pt>
                <c:pt idx="17">
                  <c:v>4.33</c:v>
                </c:pt>
                <c:pt idx="18">
                  <c:v>4.18</c:v>
                </c:pt>
                <c:pt idx="19">
                  <c:v>4.92</c:v>
                </c:pt>
                <c:pt idx="20">
                  <c:v>4.04</c:v>
                </c:pt>
                <c:pt idx="21">
                  <c:v>4.24</c:v>
                </c:pt>
                <c:pt idx="22">
                  <c:v>4.03</c:v>
                </c:pt>
                <c:pt idx="23">
                  <c:v>4.9000000000000004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7-9443-8299-5696EB280628}"/>
            </c:ext>
          </c:extLst>
        </c:ser>
        <c:ser>
          <c:idx val="1"/>
          <c:order val="1"/>
          <c:tx>
            <c:strRef>
              <c:f>'Savings-PercentGDP'!$A$7</c:f>
              <c:strCache>
                <c:ptCount val="1"/>
                <c:pt idx="0">
                  <c:v>            Private non-financial corporations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'Savings-PercentGDP'!$B$7:$Y$7</c:f>
              <c:numCache>
                <c:formatCode>General</c:formatCode>
                <c:ptCount val="24"/>
                <c:pt idx="0">
                  <c:v>15.64</c:v>
                </c:pt>
                <c:pt idx="1">
                  <c:v>12.28</c:v>
                </c:pt>
                <c:pt idx="2">
                  <c:v>13.66</c:v>
                </c:pt>
                <c:pt idx="3">
                  <c:v>13.79</c:v>
                </c:pt>
                <c:pt idx="4">
                  <c:v>20.39</c:v>
                </c:pt>
                <c:pt idx="5">
                  <c:v>22.38</c:v>
                </c:pt>
                <c:pt idx="6">
                  <c:v>24.93</c:v>
                </c:pt>
                <c:pt idx="7">
                  <c:v>27.43</c:v>
                </c:pt>
                <c:pt idx="8">
                  <c:v>23.06</c:v>
                </c:pt>
                <c:pt idx="9">
                  <c:v>26.08</c:v>
                </c:pt>
                <c:pt idx="10">
                  <c:v>24.18</c:v>
                </c:pt>
                <c:pt idx="11">
                  <c:v>23.9</c:v>
                </c:pt>
                <c:pt idx="12">
                  <c:v>25.77</c:v>
                </c:pt>
                <c:pt idx="13">
                  <c:v>29.86</c:v>
                </c:pt>
                <c:pt idx="14">
                  <c:v>32.04</c:v>
                </c:pt>
                <c:pt idx="15">
                  <c:v>35.57</c:v>
                </c:pt>
                <c:pt idx="16">
                  <c:v>33.96</c:v>
                </c:pt>
                <c:pt idx="17">
                  <c:v>32.26</c:v>
                </c:pt>
                <c:pt idx="18">
                  <c:v>30.17</c:v>
                </c:pt>
                <c:pt idx="19">
                  <c:v>30.95</c:v>
                </c:pt>
                <c:pt idx="20">
                  <c:v>32.06</c:v>
                </c:pt>
                <c:pt idx="21">
                  <c:v>32.880000000000003</c:v>
                </c:pt>
                <c:pt idx="22">
                  <c:v>32.08</c:v>
                </c:pt>
                <c:pt idx="23">
                  <c:v>31.05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7-9443-8299-5696EB280628}"/>
            </c:ext>
          </c:extLst>
        </c:ser>
        <c:ser>
          <c:idx val="2"/>
          <c:order val="2"/>
          <c:tx>
            <c:strRef>
              <c:f>'Savings-PercentGDP'!$A$9</c:f>
              <c:strCache>
                <c:ptCount val="1"/>
                <c:pt idx="0">
                  <c:v>            Public financial corporations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'Savings-PercentGDP'!$B$9:$Y$9</c:f>
              <c:numCache>
                <c:formatCode>General</c:formatCode>
                <c:ptCount val="24"/>
                <c:pt idx="11">
                  <c:v>5.58</c:v>
                </c:pt>
                <c:pt idx="12">
                  <c:v>5.19</c:v>
                </c:pt>
                <c:pt idx="13">
                  <c:v>4.5199999999999996</c:v>
                </c:pt>
                <c:pt idx="14">
                  <c:v>4.2300000000000004</c:v>
                </c:pt>
                <c:pt idx="15">
                  <c:v>4.12</c:v>
                </c:pt>
                <c:pt idx="16">
                  <c:v>4.46</c:v>
                </c:pt>
                <c:pt idx="17">
                  <c:v>4.33</c:v>
                </c:pt>
                <c:pt idx="18">
                  <c:v>2.97</c:v>
                </c:pt>
                <c:pt idx="19">
                  <c:v>5.26</c:v>
                </c:pt>
                <c:pt idx="20">
                  <c:v>4.84</c:v>
                </c:pt>
                <c:pt idx="21">
                  <c:v>4.88</c:v>
                </c:pt>
                <c:pt idx="22">
                  <c:v>5.63</c:v>
                </c:pt>
                <c:pt idx="23">
                  <c:v>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07-9443-8299-5696EB280628}"/>
            </c:ext>
          </c:extLst>
        </c:ser>
        <c:ser>
          <c:idx val="3"/>
          <c:order val="3"/>
          <c:tx>
            <c:strRef>
              <c:f>'Savings-PercentGDP'!$A$10</c:f>
              <c:strCache>
                <c:ptCount val="1"/>
                <c:pt idx="0">
                  <c:v>            Private financial corporations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'Savings-PercentGDP'!$B$10:$Y$10</c:f>
              <c:numCache>
                <c:formatCode>General</c:formatCode>
                <c:ptCount val="24"/>
                <c:pt idx="0">
                  <c:v>-0.06</c:v>
                </c:pt>
                <c:pt idx="1">
                  <c:v>0.62</c:v>
                </c:pt>
                <c:pt idx="2">
                  <c:v>0.66</c:v>
                </c:pt>
                <c:pt idx="3">
                  <c:v>0.74</c:v>
                </c:pt>
                <c:pt idx="4">
                  <c:v>4.55</c:v>
                </c:pt>
                <c:pt idx="5">
                  <c:v>6.67</c:v>
                </c:pt>
                <c:pt idx="6">
                  <c:v>3.82</c:v>
                </c:pt>
                <c:pt idx="7">
                  <c:v>4.84</c:v>
                </c:pt>
                <c:pt idx="8">
                  <c:v>3.36</c:v>
                </c:pt>
                <c:pt idx="9">
                  <c:v>3.36</c:v>
                </c:pt>
                <c:pt idx="10">
                  <c:v>3.47</c:v>
                </c:pt>
                <c:pt idx="11">
                  <c:v>3.42</c:v>
                </c:pt>
                <c:pt idx="12">
                  <c:v>3.73</c:v>
                </c:pt>
                <c:pt idx="13">
                  <c:v>3.6</c:v>
                </c:pt>
                <c:pt idx="14">
                  <c:v>4.21</c:v>
                </c:pt>
                <c:pt idx="15">
                  <c:v>2.69</c:v>
                </c:pt>
                <c:pt idx="16">
                  <c:v>2.76</c:v>
                </c:pt>
                <c:pt idx="17">
                  <c:v>2.74</c:v>
                </c:pt>
                <c:pt idx="18">
                  <c:v>2.93</c:v>
                </c:pt>
                <c:pt idx="19">
                  <c:v>3.57</c:v>
                </c:pt>
                <c:pt idx="20">
                  <c:v>4.04</c:v>
                </c:pt>
                <c:pt idx="21">
                  <c:v>3.14</c:v>
                </c:pt>
                <c:pt idx="22">
                  <c:v>3.71</c:v>
                </c:pt>
                <c:pt idx="23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07-9443-8299-5696EB280628}"/>
            </c:ext>
          </c:extLst>
        </c:ser>
        <c:ser>
          <c:idx val="5"/>
          <c:order val="4"/>
          <c:tx>
            <c:strRef>
              <c:f>'Savings-PercentGDP'!$A$13</c:f>
              <c:strCache>
                <c:ptCount val="1"/>
                <c:pt idx="0">
                  <c:v>            Net financial saving HH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'Savings-PercentGDP'!$B$13:$Y$13</c:f>
              <c:numCache>
                <c:formatCode>General</c:formatCode>
                <c:ptCount val="24"/>
                <c:pt idx="0">
                  <c:v>40.49</c:v>
                </c:pt>
                <c:pt idx="1">
                  <c:v>41.03</c:v>
                </c:pt>
                <c:pt idx="2">
                  <c:v>37.89</c:v>
                </c:pt>
                <c:pt idx="3">
                  <c:v>37.92</c:v>
                </c:pt>
                <c:pt idx="4">
                  <c:v>28.79</c:v>
                </c:pt>
                <c:pt idx="5">
                  <c:v>29.44</c:v>
                </c:pt>
                <c:pt idx="6">
                  <c:v>27.43</c:v>
                </c:pt>
                <c:pt idx="7">
                  <c:v>24.3</c:v>
                </c:pt>
                <c:pt idx="8">
                  <c:v>30.16</c:v>
                </c:pt>
                <c:pt idx="9">
                  <c:v>30.14</c:v>
                </c:pt>
                <c:pt idx="10">
                  <c:v>28.31</c:v>
                </c:pt>
                <c:pt idx="11">
                  <c:v>21.23</c:v>
                </c:pt>
                <c:pt idx="12">
                  <c:v>21.77</c:v>
                </c:pt>
                <c:pt idx="13">
                  <c:v>23.06</c:v>
                </c:pt>
                <c:pt idx="14">
                  <c:v>21.9</c:v>
                </c:pt>
                <c:pt idx="15">
                  <c:v>25.94</c:v>
                </c:pt>
                <c:pt idx="16">
                  <c:v>23.75</c:v>
                </c:pt>
                <c:pt idx="17">
                  <c:v>23.82</c:v>
                </c:pt>
                <c:pt idx="18">
                  <c:v>24.87</c:v>
                </c:pt>
                <c:pt idx="19">
                  <c:v>26.09</c:v>
                </c:pt>
                <c:pt idx="20">
                  <c:v>40.26</c:v>
                </c:pt>
                <c:pt idx="21">
                  <c:v>23.26</c:v>
                </c:pt>
                <c:pt idx="22">
                  <c:v>16.149999999999999</c:v>
                </c:pt>
                <c:pt idx="23">
                  <c:v>16.760000000000002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07-9443-8299-5696EB280628}"/>
            </c:ext>
          </c:extLst>
        </c:ser>
        <c:ser>
          <c:idx val="6"/>
          <c:order val="5"/>
          <c:tx>
            <c:strRef>
              <c:f>'Savings-PercentGDP'!$A$16</c:f>
              <c:strCache>
                <c:ptCount val="1"/>
                <c:pt idx="0">
                  <c:v>            Saving in physical assets HH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'Savings-PercentGDP'!$B$16:$Y$16</c:f>
              <c:numCache>
                <c:formatCode>General</c:formatCode>
                <c:ptCount val="24"/>
                <c:pt idx="11">
                  <c:v>45.9</c:v>
                </c:pt>
                <c:pt idx="12">
                  <c:v>43.48</c:v>
                </c:pt>
                <c:pt idx="13">
                  <c:v>39.26</c:v>
                </c:pt>
                <c:pt idx="14">
                  <c:v>37.64</c:v>
                </c:pt>
                <c:pt idx="15">
                  <c:v>30.77</c:v>
                </c:pt>
                <c:pt idx="16">
                  <c:v>33.049999999999997</c:v>
                </c:pt>
                <c:pt idx="17">
                  <c:v>35.47</c:v>
                </c:pt>
                <c:pt idx="18">
                  <c:v>38.49</c:v>
                </c:pt>
                <c:pt idx="19">
                  <c:v>37.909999999999997</c:v>
                </c:pt>
                <c:pt idx="20">
                  <c:v>36.9</c:v>
                </c:pt>
                <c:pt idx="21">
                  <c:v>40.31</c:v>
                </c:pt>
                <c:pt idx="22">
                  <c:v>43.85</c:v>
                </c:pt>
                <c:pt idx="23">
                  <c:v>41.52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07-9443-8299-5696EB280628}"/>
            </c:ext>
          </c:extLst>
        </c:ser>
        <c:ser>
          <c:idx val="7"/>
          <c:order val="6"/>
          <c:tx>
            <c:strRef>
              <c:f>'Savings-PercentGDP'!$A$17</c:f>
              <c:strCache>
                <c:ptCount val="1"/>
                <c:pt idx="0">
                  <c:v>            Saving in the form of gold &amp; silver ornaments HH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cat>
            <c:strRef>
              <c:f>'Savings-PercentGDP'!$B$3:$Y$3</c:f>
              <c:strCache>
                <c:ptCount val="24"/>
                <c:pt idx="0">
                  <c:v>2000-01 </c:v>
                </c:pt>
                <c:pt idx="1">
                  <c:v>2001-02 </c:v>
                </c:pt>
                <c:pt idx="2">
                  <c:v>2002-03 </c:v>
                </c:pt>
                <c:pt idx="3">
                  <c:v>2003-04 </c:v>
                </c:pt>
                <c:pt idx="4">
                  <c:v>2004-05 </c:v>
                </c:pt>
                <c:pt idx="5">
                  <c:v>2005-06 </c:v>
                </c:pt>
                <c:pt idx="6">
                  <c:v>2006-07 </c:v>
                </c:pt>
                <c:pt idx="7">
                  <c:v>2007-08 </c:v>
                </c:pt>
                <c:pt idx="8">
                  <c:v>2008-09 </c:v>
                </c:pt>
                <c:pt idx="9">
                  <c:v>2009-10 </c:v>
                </c:pt>
                <c:pt idx="10">
                  <c:v>2010-11 </c:v>
                </c:pt>
                <c:pt idx="11">
                  <c:v>2011-12 </c:v>
                </c:pt>
                <c:pt idx="12">
                  <c:v>2012-13 </c:v>
                </c:pt>
                <c:pt idx="13">
                  <c:v>2013-14 </c:v>
                </c:pt>
                <c:pt idx="14">
                  <c:v>2014-15 </c:v>
                </c:pt>
                <c:pt idx="15">
                  <c:v>2015-16 </c:v>
                </c:pt>
                <c:pt idx="16">
                  <c:v>2016-17 </c:v>
                </c:pt>
                <c:pt idx="17">
                  <c:v>2017-18 </c:v>
                </c:pt>
                <c:pt idx="18">
                  <c:v>2018-19 </c:v>
                </c:pt>
                <c:pt idx="19">
                  <c:v>2019-20 </c:v>
                </c:pt>
                <c:pt idx="20">
                  <c:v>2020-21 </c:v>
                </c:pt>
                <c:pt idx="21">
                  <c:v>2021-22 </c:v>
                </c:pt>
                <c:pt idx="22">
                  <c:v>2022-23 </c:v>
                </c:pt>
                <c:pt idx="23">
                  <c:v>2023-24 </c:v>
                </c:pt>
              </c:strCache>
            </c:strRef>
          </c:cat>
          <c:val>
            <c:numRef>
              <c:f>'Savings-PercentGDP'!$B$17:$Y$17</c:f>
              <c:numCache>
                <c:formatCode>General</c:formatCode>
                <c:ptCount val="24"/>
                <c:pt idx="11">
                  <c:v>1.1100000000000001</c:v>
                </c:pt>
                <c:pt idx="12">
                  <c:v>1.0900000000000001</c:v>
                </c:pt>
                <c:pt idx="13">
                  <c:v>1.02</c:v>
                </c:pt>
                <c:pt idx="14">
                  <c:v>1.1299999999999999</c:v>
                </c:pt>
                <c:pt idx="15">
                  <c:v>1.0900000000000001</c:v>
                </c:pt>
                <c:pt idx="16">
                  <c:v>0.96</c:v>
                </c:pt>
                <c:pt idx="17">
                  <c:v>0.85</c:v>
                </c:pt>
                <c:pt idx="18">
                  <c:v>0.71</c:v>
                </c:pt>
                <c:pt idx="19">
                  <c:v>0.73</c:v>
                </c:pt>
                <c:pt idx="20">
                  <c:v>0.7</c:v>
                </c:pt>
                <c:pt idx="21">
                  <c:v>0.83</c:v>
                </c:pt>
                <c:pt idx="22">
                  <c:v>0.78</c:v>
                </c:pt>
                <c:pt idx="2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07-9443-8299-5696EB280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5388479"/>
        <c:axId val="1575555455"/>
      </c:areaChart>
      <c:catAx>
        <c:axId val="15753884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555455"/>
        <c:crosses val="autoZero"/>
        <c:auto val="1"/>
        <c:lblAlgn val="ctr"/>
        <c:lblOffset val="100"/>
        <c:noMultiLvlLbl val="0"/>
      </c:catAx>
      <c:valAx>
        <c:axId val="157555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388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INSTUTITION-WISE</a:t>
            </a:r>
            <a:r>
              <a:rPr lang="en-GB" baseline="0"/>
              <a:t> </a:t>
            </a:r>
            <a:r>
              <a:rPr lang="en-GB"/>
              <a:t>Savings RATES (% of India GDP)</a:t>
            </a:r>
          </a:p>
        </c:rich>
      </c:tx>
      <c:layout>
        <c:manualLayout>
          <c:xMode val="edge"/>
          <c:yMode val="edge"/>
          <c:x val="0.58308160779537155"/>
          <c:y val="0.8793103448275861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72972972972978E-3"/>
          <c:y val="1.9994363120717295E-2"/>
          <c:w val="0.98104731122982347"/>
          <c:h val="0.96001127375856543"/>
        </c:manualLayout>
      </c:layout>
      <c:ofPieChart>
        <c:ofPieType val="bar"/>
        <c:varyColors val="1"/>
        <c:ser>
          <c:idx val="0"/>
          <c:order val="0"/>
          <c:explosion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05-9B48-828D-8F34231CE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05-9B48-828D-8F34231CE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05-9B48-828D-8F34231CE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05-9B48-828D-8F34231CE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05-9B48-828D-8F34231CE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05-9B48-828D-8F34231CE1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05-9B48-828D-8F34231CE1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05-9B48-828D-8F34231CE10B}"/>
              </c:ext>
            </c:extLst>
          </c:dPt>
          <c:dLbls>
            <c:dLbl>
              <c:idx val="0"/>
              <c:layout>
                <c:manualLayout>
                  <c:x val="0.33275336395983379"/>
                  <c:y val="-0.181231078604398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12162162162162"/>
                      <c:h val="8.145413870246084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05-9B48-828D-8F34231CE10B}"/>
                </c:ext>
              </c:extLst>
            </c:dLbl>
            <c:dLbl>
              <c:idx val="1"/>
              <c:layout>
                <c:manualLayout>
                  <c:x val="1.1233773143221961E-3"/>
                  <c:y val="-0.1263768958410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05-9B48-828D-8F34231CE10B}"/>
                </c:ext>
              </c:extLst>
            </c:dLbl>
            <c:dLbl>
              <c:idx val="2"/>
              <c:layout>
                <c:manualLayout>
                  <c:x val="-1.5173161211121453E-2"/>
                  <c:y val="9.056175025101727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05-9B48-828D-8F34231CE10B}"/>
                </c:ext>
              </c:extLst>
            </c:dLbl>
            <c:dLbl>
              <c:idx val="3"/>
              <c:layout>
                <c:manualLayout>
                  <c:x val="-8.2687715192726358E-2"/>
                  <c:y val="3.859060402684563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C05-9B48-828D-8F34231CE10B}"/>
                </c:ext>
              </c:extLst>
            </c:dLbl>
            <c:dLbl>
              <c:idx val="4"/>
              <c:layout>
                <c:manualLayout>
                  <c:x val="2.0385525440274326E-2"/>
                  <c:y val="-1.719036798252567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165613281287464"/>
                      <c:h val="6.17786115661716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7C05-9B48-828D-8F34231CE10B}"/>
                </c:ext>
              </c:extLst>
            </c:dLbl>
            <c:dLbl>
              <c:idx val="5"/>
              <c:layout>
                <c:manualLayout>
                  <c:x val="-0.17775456280510621"/>
                  <c:y val="-3.654714227531903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64864864864866"/>
                      <c:h val="0.1861410276735542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7C05-9B48-828D-8F34231CE10B}"/>
                </c:ext>
              </c:extLst>
            </c:dLbl>
            <c:dLbl>
              <c:idx val="6"/>
              <c:layout>
                <c:manualLayout>
                  <c:x val="5.7276127633863062E-2"/>
                  <c:y val="6.799136234048330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901944047493455"/>
                      <c:h val="7.58729296768938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7C05-9B48-828D-8F34231CE10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C05-9B48-828D-8F34231CE10B}"/>
                </c:ext>
              </c:extLst>
            </c:dLbl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'Savings-Rates-India'!$B$1:$H$1</c:f>
              <c:strCache>
                <c:ptCount val="7"/>
                <c:pt idx="0">
                  <c:v>Total Savings</c:v>
                </c:pt>
                <c:pt idx="1">
                  <c:v>Public non-financial 
corp. </c:v>
                </c:pt>
                <c:pt idx="2">
                  <c:v>Private non- financial  
corp. </c:v>
                </c:pt>
                <c:pt idx="3">
                  <c:v>Public financial  
corp.</c:v>
                </c:pt>
                <c:pt idx="4">
                  <c:v>Private financial
 corp </c:v>
                </c:pt>
                <c:pt idx="5">
                  <c:v>General Government </c:v>
                </c:pt>
                <c:pt idx="6">
                  <c:v>Households including  NPISH </c:v>
                </c:pt>
              </c:strCache>
            </c:strRef>
          </c:cat>
          <c:val>
            <c:numRef>
              <c:f>'Savings-Rates-India'!$B$2:$H$2</c:f>
              <c:numCache>
                <c:formatCode>General</c:formatCode>
                <c:ptCount val="7"/>
                <c:pt idx="0">
                  <c:v>30.74</c:v>
                </c:pt>
                <c:pt idx="1">
                  <c:v>1.51</c:v>
                </c:pt>
                <c:pt idx="2">
                  <c:v>9.5399999999999991</c:v>
                </c:pt>
                <c:pt idx="3">
                  <c:v>1.39</c:v>
                </c:pt>
                <c:pt idx="4">
                  <c:v>1.1100000000000001</c:v>
                </c:pt>
                <c:pt idx="5">
                  <c:v>-0.95</c:v>
                </c:pt>
                <c:pt idx="6">
                  <c:v>18.13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C05-9B48-828D-8F34231CE10B}"/>
            </c:ext>
          </c:extLst>
        </c:ser>
        <c:dLbls>
          <c:dLblPos val="bestFit"/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gapWidth val="100"/>
        <c:splitType val="val"/>
        <c:splitPos val="1"/>
        <c:secondPieSize val="2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1-4140-89E3-1F1AE9E633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85081279"/>
        <c:axId val="1585082175"/>
      </c:barChart>
      <c:catAx>
        <c:axId val="158508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2175"/>
        <c:crosses val="autoZero"/>
        <c:auto val="1"/>
        <c:lblAlgn val="ctr"/>
        <c:lblOffset val="100"/>
        <c:noMultiLvlLbl val="0"/>
      </c:catAx>
      <c:valAx>
        <c:axId val="1585082175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081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of Indian Households (2023-24)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F9-3F47-B308-95F53BF963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F9-3F47-B308-95F53BF963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F9-3F47-B308-95F53BF9631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('GCF-Financing'!$A$19,'GCF-Financing'!$A$22,'GCF-Financing'!$A$23)</c:f>
              <c:strCache>
                <c:ptCount val="3"/>
                <c:pt idx="0">
                  <c:v>                Net financial saving (household)</c:v>
                </c:pt>
                <c:pt idx="1">
                  <c:v>                Saving in physical assets</c:v>
                </c:pt>
                <c:pt idx="2">
                  <c:v>                Saving in the form of gold &amp; silver ornaments</c:v>
                </c:pt>
              </c:strCache>
            </c:strRef>
          </c:cat>
          <c:val>
            <c:numRef>
              <c:f>('GCF-Financing'!$N$19,'GCF-Financing'!$N$22,'GCF-Financing'!$N$23)</c:f>
              <c:numCache>
                <c:formatCode>#,##0.00</c:formatCode>
                <c:ptCount val="3"/>
                <c:pt idx="0">
                  <c:v>15516410</c:v>
                </c:pt>
                <c:pt idx="1">
                  <c:v>38445150</c:v>
                </c:pt>
                <c:pt idx="2">
                  <c:v>651040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F6-5E44-ADD1-E90F2C866E6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380360512787137"/>
          <c:y val="0.22770843536902385"/>
          <c:w val="0.35718061726130967"/>
          <c:h val="0.36988207813736201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India Sources of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'GCF-Financing'!$B$7:$N$7</c:f>
              <c:numCache>
                <c:formatCode>#,##0.00</c:formatCode>
                <c:ptCount val="13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  <c:pt idx="10">
                  <c:v>27331260.100000001</c:v>
                </c:pt>
                <c:pt idx="11">
                  <c:v>29763748.5</c:v>
                </c:pt>
                <c:pt idx="12">
                  <c:v>33289470.100000001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B7-484B-8806-68CDC1984B42}"/>
            </c:ext>
          </c:extLst>
        </c:ser>
        <c:ser>
          <c:idx val="1"/>
          <c:order val="1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gradFill>
              <a:gsLst>
                <a:gs pos="100000">
                  <a:schemeClr val="accent2"/>
                </a:gs>
                <a:gs pos="0">
                  <a:schemeClr val="accent2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'GCF-Financing'!$B$12:$N$12</c:f>
              <c:numCache>
                <c:formatCode>#,##0.00</c:formatCode>
                <c:ptCount val="13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  <c:pt idx="10">
                  <c:v>5910022.2000000002</c:v>
                </c:pt>
                <c:pt idx="11">
                  <c:v>7698213.4000000004</c:v>
                </c:pt>
                <c:pt idx="12">
                  <c:v>7549132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B7-484B-8806-68CDC1984B42}"/>
            </c:ext>
          </c:extLst>
        </c:ser>
        <c:ser>
          <c:idx val="2"/>
          <c:order val="2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gradFill>
              <a:gsLst>
                <a:gs pos="100000">
                  <a:schemeClr val="accent3"/>
                </a:gs>
                <a:gs pos="0">
                  <a:schemeClr val="accent3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'GCF-Financing'!$B$17:$N$17</c:f>
              <c:numCache>
                <c:formatCode>#,##0.00</c:formatCode>
                <c:ptCount val="13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  <c:pt idx="10">
                  <c:v>-7033589.9000000004</c:v>
                </c:pt>
                <c:pt idx="11">
                  <c:v>-5126224.2</c:v>
                </c:pt>
                <c:pt idx="12">
                  <c:v>-2859337.9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B7-484B-8806-68CDC1984B42}"/>
            </c:ext>
          </c:extLst>
        </c:ser>
        <c:ser>
          <c:idx val="3"/>
          <c:order val="3"/>
          <c:tx>
            <c:strRef>
              <c:f>'GCF-Financing'!$A$18</c:f>
              <c:strCache>
                <c:ptCount val="1"/>
                <c:pt idx="0">
                  <c:v>            Household sector</c:v>
                </c:pt>
              </c:strCache>
            </c:strRef>
          </c:tx>
          <c:spPr>
            <a:gradFill>
              <a:gsLst>
                <a:gs pos="100000">
                  <a:schemeClr val="accent4"/>
                </a:gs>
                <a:gs pos="0">
                  <a:schemeClr val="accent4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'GCF-Financing'!$B$18:$N$18</c:f>
              <c:numCache>
                <c:formatCode>#,##0.00</c:formatCode>
                <c:ptCount val="13"/>
                <c:pt idx="0">
                  <c:v>20655660</c:v>
                </c:pt>
                <c:pt idx="1">
                  <c:v>22352800</c:v>
                </c:pt>
                <c:pt idx="2">
                  <c:v>22853010</c:v>
                </c:pt>
                <c:pt idx="3">
                  <c:v>24391040</c:v>
                </c:pt>
                <c:pt idx="4">
                  <c:v>24749130</c:v>
                </c:pt>
                <c:pt idx="5">
                  <c:v>27871340</c:v>
                </c:pt>
                <c:pt idx="6">
                  <c:v>32965960</c:v>
                </c:pt>
                <c:pt idx="7">
                  <c:v>38445820</c:v>
                </c:pt>
                <c:pt idx="8">
                  <c:v>39291480</c:v>
                </c:pt>
                <c:pt idx="9">
                  <c:v>43905840</c:v>
                </c:pt>
                <c:pt idx="10">
                  <c:v>47423332.700000003</c:v>
                </c:pt>
                <c:pt idx="11">
                  <c:v>50104750</c:v>
                </c:pt>
                <c:pt idx="12">
                  <c:v>54612590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B7-484B-8806-68CDC1984B42}"/>
            </c:ext>
          </c:extLst>
        </c:ser>
        <c:ser>
          <c:idx val="4"/>
          <c:order val="4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'GCF-Financing'!$B$3:$N$3</c:f>
              <c:strCache>
                <c:ptCount val="13"/>
                <c:pt idx="0">
                  <c:v>2011-12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  <c:pt idx="10">
                  <c:v>2021-22 </c:v>
                </c:pt>
                <c:pt idx="11">
                  <c:v>2022-23 </c:v>
                </c:pt>
                <c:pt idx="12">
                  <c:v>2023-24 </c:v>
                </c:pt>
              </c:strCache>
            </c:strRef>
          </c:cat>
          <c:val>
            <c:numRef>
              <c:f>'GCF-Financing'!$B$5:$N$5</c:f>
              <c:numCache>
                <c:formatCode>#,##0.00</c:formatCode>
                <c:ptCount val="13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  <c:pt idx="10">
                  <c:v>2849880.1</c:v>
                </c:pt>
                <c:pt idx="11">
                  <c:v>5275249</c:v>
                </c:pt>
                <c:pt idx="12">
                  <c:v>2089294.8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0B7-484B-8806-68CDC1984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727103"/>
        <c:axId val="1572900799"/>
      </c:areaChart>
      <c:catAx>
        <c:axId val="187272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2900799"/>
        <c:crosses val="autoZero"/>
        <c:auto val="1"/>
        <c:lblAlgn val="ctr"/>
        <c:lblOffset val="100"/>
        <c:noMultiLvlLbl val="0"/>
      </c:catAx>
      <c:valAx>
        <c:axId val="157290079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prstDash val="sysDot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7271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7.0274252391080816E-2"/>
          <c:y val="9.2322195680596103E-2"/>
          <c:w val="0.87972570065593325"/>
          <c:h val="9.95511516116665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_xlchart.v1.90</cx:f>
      </cx:strDim>
      <cx:numDim type="size">
        <cx:f>_xlchart.v1.91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microsoft.com/office/2014/relationships/chartEx" Target="../charts/chartEx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177800</xdr:colOff>
      <xdr:row>66</xdr:row>
      <xdr:rowOff>190500</xdr:rowOff>
    </xdr:from>
    <xdr:to>
      <xdr:col>20</xdr:col>
      <xdr:colOff>266700</xdr:colOff>
      <xdr:row>90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D1831B-274E-57C7-D9B6-9B237ACB38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19</xdr:row>
      <xdr:rowOff>127000</xdr:rowOff>
    </xdr:from>
    <xdr:to>
      <xdr:col>13</xdr:col>
      <xdr:colOff>292100</xdr:colOff>
      <xdr:row>42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C0BCD6-9C93-2D31-E00A-E5AD3DAFA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2006600</xdr:colOff>
      <xdr:row>2</xdr:row>
      <xdr:rowOff>101600</xdr:rowOff>
    </xdr:from>
    <xdr:to>
      <xdr:col>8</xdr:col>
      <xdr:colOff>749300</xdr:colOff>
      <xdr:row>31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6ACEB-09C2-C94A-A592-3FD46B9BB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29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361950</xdr:colOff>
      <xdr:row>25</xdr:row>
      <xdr:rowOff>127000</xdr:rowOff>
    </xdr:from>
    <xdr:to>
      <xdr:col>13</xdr:col>
      <xdr:colOff>546100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47C1B0-2C1A-FAE4-CDE3-E0AE54223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730250</xdr:colOff>
      <xdr:row>29</xdr:row>
      <xdr:rowOff>165100</xdr:rowOff>
    </xdr:from>
    <xdr:to>
      <xdr:col>22</xdr:col>
      <xdr:colOff>114300</xdr:colOff>
      <xdr:row>55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E62AC7-0D6E-495F-A826-ADEC8985A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349250</xdr:colOff>
      <xdr:row>30</xdr:row>
      <xdr:rowOff>69850</xdr:rowOff>
    </xdr:from>
    <xdr:to>
      <xdr:col>6</xdr:col>
      <xdr:colOff>609600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2A64D2-4BC8-B24B-3A27-B119A608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0973-9BDC-E044-A663-BCD4C65F58AB}">
  <dimension ref="A1:H64"/>
  <sheetViews>
    <sheetView tabSelected="1" topLeftCell="E57" workbookViewId="0">
      <selection activeCell="A3" sqref="A3:H64"/>
    </sheetView>
  </sheetViews>
  <sheetFormatPr baseColWidth="10" defaultRowHeight="16" x14ac:dyDescent="0.2"/>
  <cols>
    <col min="5" max="5" width="15.6640625" bestFit="1" customWidth="1"/>
  </cols>
  <sheetData>
    <row r="1" spans="1:8" x14ac:dyDescent="0.2">
      <c r="A1" t="s">
        <v>1403</v>
      </c>
    </row>
    <row r="2" spans="1:8" x14ac:dyDescent="0.2">
      <c r="A2" t="s">
        <v>1443</v>
      </c>
    </row>
    <row r="3" spans="1:8" x14ac:dyDescent="0.2">
      <c r="A3" t="s">
        <v>262</v>
      </c>
      <c r="B3" t="s">
        <v>1446</v>
      </c>
      <c r="C3" t="s">
        <v>1447</v>
      </c>
      <c r="D3" t="s">
        <v>1448</v>
      </c>
      <c r="E3" t="s">
        <v>1408</v>
      </c>
      <c r="F3" t="s">
        <v>1444</v>
      </c>
      <c r="G3" t="s">
        <v>1445</v>
      </c>
      <c r="H3" t="s">
        <v>1449</v>
      </c>
    </row>
    <row r="4" spans="1:8" x14ac:dyDescent="0.2">
      <c r="A4" t="s">
        <v>69</v>
      </c>
      <c r="C4">
        <v>25</v>
      </c>
      <c r="H4">
        <v>6</v>
      </c>
    </row>
    <row r="5" spans="1:8" x14ac:dyDescent="0.2">
      <c r="A5" t="s">
        <v>70</v>
      </c>
      <c r="C5">
        <v>25</v>
      </c>
      <c r="H5">
        <v>6</v>
      </c>
    </row>
    <row r="6" spans="1:8" x14ac:dyDescent="0.2">
      <c r="A6" t="s">
        <v>71</v>
      </c>
      <c r="C6">
        <v>25</v>
      </c>
      <c r="H6">
        <v>5</v>
      </c>
    </row>
    <row r="7" spans="1:8" x14ac:dyDescent="0.2">
      <c r="A7" t="s">
        <v>72</v>
      </c>
      <c r="C7">
        <v>25</v>
      </c>
      <c r="H7">
        <v>5</v>
      </c>
    </row>
    <row r="8" spans="1:8" x14ac:dyDescent="0.2">
      <c r="A8" t="s">
        <v>73</v>
      </c>
      <c r="C8">
        <v>26</v>
      </c>
      <c r="H8">
        <v>5</v>
      </c>
    </row>
    <row r="9" spans="1:8" x14ac:dyDescent="0.2">
      <c r="A9" t="s">
        <v>74</v>
      </c>
      <c r="C9">
        <v>28</v>
      </c>
      <c r="H9">
        <v>6</v>
      </c>
    </row>
    <row r="10" spans="1:8" x14ac:dyDescent="0.2">
      <c r="A10" t="s">
        <v>75</v>
      </c>
      <c r="C10">
        <v>28</v>
      </c>
      <c r="H10">
        <v>6</v>
      </c>
    </row>
    <row r="11" spans="1:8" x14ac:dyDescent="0.2">
      <c r="A11" t="s">
        <v>76</v>
      </c>
      <c r="C11">
        <v>30</v>
      </c>
      <c r="H11">
        <v>6</v>
      </c>
    </row>
    <row r="12" spans="1:8" x14ac:dyDescent="0.2">
      <c r="A12" t="s">
        <v>77</v>
      </c>
      <c r="B12">
        <v>7</v>
      </c>
      <c r="C12">
        <v>32</v>
      </c>
      <c r="H12">
        <v>7</v>
      </c>
    </row>
    <row r="13" spans="1:8" x14ac:dyDescent="0.2">
      <c r="A13" t="s">
        <v>78</v>
      </c>
      <c r="B13">
        <v>4</v>
      </c>
      <c r="C13">
        <v>33</v>
      </c>
      <c r="H13">
        <v>9</v>
      </c>
    </row>
    <row r="14" spans="1:8" x14ac:dyDescent="0.2">
      <c r="A14" t="s">
        <v>79</v>
      </c>
      <c r="B14">
        <v>4</v>
      </c>
      <c r="C14">
        <v>33</v>
      </c>
      <c r="H14">
        <v>9</v>
      </c>
    </row>
    <row r="15" spans="1:8" x14ac:dyDescent="0.2">
      <c r="A15" t="s">
        <v>80</v>
      </c>
      <c r="B15">
        <v>6</v>
      </c>
      <c r="C15">
        <v>33</v>
      </c>
      <c r="H15">
        <v>9</v>
      </c>
    </row>
    <row r="16" spans="1:8" x14ac:dyDescent="0.2">
      <c r="A16" t="s">
        <v>81</v>
      </c>
      <c r="B16">
        <v>6</v>
      </c>
      <c r="C16">
        <v>33</v>
      </c>
      <c r="H16">
        <v>9</v>
      </c>
    </row>
    <row r="17" spans="1:8" x14ac:dyDescent="0.2">
      <c r="A17" t="s">
        <v>82</v>
      </c>
      <c r="B17">
        <v>6</v>
      </c>
      <c r="C17">
        <v>34</v>
      </c>
      <c r="H17">
        <v>9</v>
      </c>
    </row>
    <row r="18" spans="1:8" x14ac:dyDescent="0.2">
      <c r="A18" t="s">
        <v>83</v>
      </c>
      <c r="B18">
        <v>6</v>
      </c>
      <c r="C18">
        <v>34</v>
      </c>
      <c r="H18">
        <v>9</v>
      </c>
    </row>
    <row r="19" spans="1:8" x14ac:dyDescent="0.2">
      <c r="A19" t="s">
        <v>84</v>
      </c>
      <c r="B19">
        <v>6</v>
      </c>
      <c r="C19">
        <v>34</v>
      </c>
      <c r="H19">
        <v>9</v>
      </c>
    </row>
    <row r="20" spans="1:8" x14ac:dyDescent="0.2">
      <c r="A20" t="s">
        <v>85</v>
      </c>
      <c r="B20">
        <v>7.75</v>
      </c>
      <c r="C20">
        <v>35</v>
      </c>
      <c r="H20">
        <v>10</v>
      </c>
    </row>
    <row r="21" spans="1:8" x14ac:dyDescent="0.2">
      <c r="A21" t="s">
        <v>86</v>
      </c>
      <c r="B21">
        <v>7</v>
      </c>
      <c r="C21">
        <v>35</v>
      </c>
      <c r="H21">
        <v>10</v>
      </c>
    </row>
    <row r="22" spans="1:8" x14ac:dyDescent="0.2">
      <c r="A22" t="s">
        <v>87</v>
      </c>
      <c r="B22">
        <v>9</v>
      </c>
      <c r="C22">
        <v>35</v>
      </c>
      <c r="H22">
        <v>10</v>
      </c>
    </row>
    <row r="23" spans="1:8" x14ac:dyDescent="0.2">
      <c r="A23" t="s">
        <v>88</v>
      </c>
      <c r="B23">
        <v>9</v>
      </c>
      <c r="C23">
        <v>36</v>
      </c>
      <c r="H23">
        <v>10</v>
      </c>
    </row>
    <row r="24" spans="1:8" x14ac:dyDescent="0.2">
      <c r="A24" t="s">
        <v>89</v>
      </c>
      <c r="B24">
        <v>9</v>
      </c>
      <c r="C24">
        <v>37</v>
      </c>
      <c r="H24">
        <v>10</v>
      </c>
    </row>
    <row r="25" spans="1:8" x14ac:dyDescent="0.2">
      <c r="A25" t="s">
        <v>90</v>
      </c>
      <c r="B25">
        <v>9.5</v>
      </c>
      <c r="C25">
        <v>37</v>
      </c>
      <c r="H25">
        <v>10</v>
      </c>
    </row>
    <row r="26" spans="1:8" x14ac:dyDescent="0.2">
      <c r="A26" t="s">
        <v>91</v>
      </c>
      <c r="B26">
        <v>10</v>
      </c>
      <c r="C26">
        <v>38</v>
      </c>
      <c r="H26">
        <v>10</v>
      </c>
    </row>
    <row r="27" spans="1:8" x14ac:dyDescent="0.2">
      <c r="A27" t="s">
        <v>92</v>
      </c>
      <c r="B27">
        <v>11</v>
      </c>
      <c r="C27">
        <v>38</v>
      </c>
      <c r="H27">
        <v>10</v>
      </c>
    </row>
    <row r="28" spans="1:8" x14ac:dyDescent="0.2">
      <c r="A28" t="s">
        <v>93</v>
      </c>
      <c r="B28">
        <v>15</v>
      </c>
      <c r="C28">
        <v>38</v>
      </c>
      <c r="H28">
        <v>10</v>
      </c>
    </row>
    <row r="29" spans="1:8" x14ac:dyDescent="0.2">
      <c r="A29" t="s">
        <v>94</v>
      </c>
      <c r="B29">
        <v>15</v>
      </c>
      <c r="C29">
        <v>38.5</v>
      </c>
      <c r="H29">
        <v>10</v>
      </c>
    </row>
    <row r="30" spans="1:8" x14ac:dyDescent="0.2">
      <c r="A30" t="s">
        <v>95</v>
      </c>
      <c r="B30">
        <v>15</v>
      </c>
      <c r="C30">
        <v>38.5</v>
      </c>
      <c r="H30">
        <v>12</v>
      </c>
    </row>
    <row r="31" spans="1:8" x14ac:dyDescent="0.2">
      <c r="A31" t="s">
        <v>96</v>
      </c>
      <c r="B31">
        <v>15</v>
      </c>
      <c r="C31">
        <v>37.75</v>
      </c>
      <c r="H31">
        <v>12</v>
      </c>
    </row>
    <row r="32" spans="1:8" x14ac:dyDescent="0.2">
      <c r="A32" t="s">
        <v>97</v>
      </c>
      <c r="B32">
        <v>14</v>
      </c>
      <c r="C32">
        <v>34.75</v>
      </c>
      <c r="H32">
        <v>12</v>
      </c>
    </row>
    <row r="33" spans="1:8" x14ac:dyDescent="0.2">
      <c r="A33" t="s">
        <v>98</v>
      </c>
      <c r="B33">
        <v>15</v>
      </c>
      <c r="C33">
        <v>31.5</v>
      </c>
      <c r="H33">
        <v>12</v>
      </c>
    </row>
    <row r="34" spans="1:8" x14ac:dyDescent="0.2">
      <c r="A34" t="s">
        <v>99</v>
      </c>
      <c r="B34">
        <v>14</v>
      </c>
      <c r="C34">
        <v>31.5</v>
      </c>
      <c r="H34">
        <v>12</v>
      </c>
    </row>
    <row r="35" spans="1:8" x14ac:dyDescent="0.2">
      <c r="A35" t="s">
        <v>100</v>
      </c>
      <c r="B35">
        <v>10</v>
      </c>
      <c r="C35">
        <v>31.5</v>
      </c>
      <c r="H35">
        <v>12</v>
      </c>
    </row>
    <row r="36" spans="1:8" x14ac:dyDescent="0.2">
      <c r="A36" t="s">
        <v>101</v>
      </c>
      <c r="B36">
        <v>10.25</v>
      </c>
      <c r="C36">
        <v>25</v>
      </c>
      <c r="H36">
        <v>10.5</v>
      </c>
    </row>
    <row r="37" spans="1:8" x14ac:dyDescent="0.2">
      <c r="A37" t="s">
        <v>102</v>
      </c>
      <c r="B37">
        <v>10.5</v>
      </c>
      <c r="C37">
        <v>25</v>
      </c>
      <c r="H37">
        <v>8</v>
      </c>
    </row>
    <row r="38" spans="1:8" x14ac:dyDescent="0.2">
      <c r="A38" t="s">
        <v>103</v>
      </c>
      <c r="B38">
        <v>9</v>
      </c>
      <c r="C38">
        <v>25</v>
      </c>
      <c r="H38">
        <v>8</v>
      </c>
    </row>
    <row r="39" spans="1:8" x14ac:dyDescent="0.2">
      <c r="A39" t="s">
        <v>104</v>
      </c>
      <c r="B39">
        <v>8</v>
      </c>
      <c r="C39">
        <v>25</v>
      </c>
      <c r="D39">
        <v>9</v>
      </c>
      <c r="E39">
        <v>7</v>
      </c>
      <c r="H39">
        <v>7</v>
      </c>
    </row>
    <row r="40" spans="1:8" x14ac:dyDescent="0.2">
      <c r="A40" t="s">
        <v>105</v>
      </c>
      <c r="B40">
        <v>5.5</v>
      </c>
      <c r="C40">
        <v>25</v>
      </c>
      <c r="D40">
        <v>8</v>
      </c>
      <c r="E40">
        <v>6</v>
      </c>
      <c r="H40">
        <v>6.5</v>
      </c>
    </row>
    <row r="41" spans="1:8" x14ac:dyDescent="0.2">
      <c r="A41" t="s">
        <v>106</v>
      </c>
      <c r="B41">
        <v>4.75</v>
      </c>
      <c r="C41">
        <v>25</v>
      </c>
      <c r="D41">
        <v>7</v>
      </c>
      <c r="E41">
        <v>5</v>
      </c>
      <c r="H41">
        <v>6.25</v>
      </c>
    </row>
    <row r="42" spans="1:8" x14ac:dyDescent="0.2">
      <c r="A42" t="s">
        <v>107</v>
      </c>
      <c r="B42">
        <v>4.5</v>
      </c>
      <c r="C42">
        <v>25</v>
      </c>
      <c r="D42">
        <v>6</v>
      </c>
      <c r="E42">
        <v>4.5</v>
      </c>
      <c r="H42">
        <v>6</v>
      </c>
    </row>
    <row r="43" spans="1:8" x14ac:dyDescent="0.2">
      <c r="A43" t="s">
        <v>108</v>
      </c>
      <c r="B43">
        <v>5</v>
      </c>
      <c r="C43">
        <v>25</v>
      </c>
      <c r="D43">
        <v>6</v>
      </c>
      <c r="E43">
        <v>4.75</v>
      </c>
      <c r="H43">
        <v>6</v>
      </c>
    </row>
    <row r="44" spans="1:8" x14ac:dyDescent="0.2">
      <c r="A44" t="s">
        <v>109</v>
      </c>
      <c r="B44">
        <v>5</v>
      </c>
      <c r="C44">
        <v>25</v>
      </c>
      <c r="D44">
        <v>6.5</v>
      </c>
      <c r="E44">
        <v>5.5</v>
      </c>
      <c r="H44">
        <v>6</v>
      </c>
    </row>
    <row r="45" spans="1:8" x14ac:dyDescent="0.2">
      <c r="A45" t="s">
        <v>110</v>
      </c>
      <c r="B45">
        <v>6</v>
      </c>
      <c r="C45">
        <v>25</v>
      </c>
      <c r="D45">
        <v>7.75</v>
      </c>
      <c r="E45">
        <v>6</v>
      </c>
      <c r="H45">
        <v>6</v>
      </c>
    </row>
    <row r="46" spans="1:8" x14ac:dyDescent="0.2">
      <c r="A46" t="s">
        <v>111</v>
      </c>
      <c r="B46">
        <v>7.5</v>
      </c>
      <c r="C46">
        <v>25</v>
      </c>
      <c r="D46">
        <v>7.75</v>
      </c>
      <c r="E46">
        <v>6</v>
      </c>
      <c r="H46">
        <v>6</v>
      </c>
    </row>
    <row r="47" spans="1:8" x14ac:dyDescent="0.2">
      <c r="A47" t="s">
        <v>112</v>
      </c>
      <c r="B47">
        <v>5</v>
      </c>
      <c r="C47">
        <v>24</v>
      </c>
      <c r="D47">
        <v>5</v>
      </c>
      <c r="E47">
        <v>3.5</v>
      </c>
      <c r="H47">
        <v>6</v>
      </c>
    </row>
    <row r="48" spans="1:8" x14ac:dyDescent="0.2">
      <c r="A48" t="s">
        <v>113</v>
      </c>
      <c r="B48">
        <v>5.75</v>
      </c>
      <c r="C48">
        <v>25</v>
      </c>
      <c r="D48">
        <v>5</v>
      </c>
      <c r="E48">
        <v>3.5</v>
      </c>
      <c r="H48">
        <v>6</v>
      </c>
    </row>
    <row r="49" spans="1:8" x14ac:dyDescent="0.2">
      <c r="A49" t="s">
        <v>114</v>
      </c>
      <c r="B49">
        <v>6</v>
      </c>
      <c r="C49">
        <v>24</v>
      </c>
      <c r="D49">
        <v>6.75</v>
      </c>
      <c r="E49">
        <v>5.75</v>
      </c>
      <c r="H49">
        <v>6</v>
      </c>
    </row>
    <row r="50" spans="1:8" x14ac:dyDescent="0.2">
      <c r="A50" t="s">
        <v>115</v>
      </c>
      <c r="B50">
        <v>4.75</v>
      </c>
      <c r="C50">
        <v>24</v>
      </c>
      <c r="D50">
        <v>8.5</v>
      </c>
      <c r="E50">
        <v>7.5</v>
      </c>
      <c r="G50">
        <v>9.5</v>
      </c>
      <c r="H50">
        <v>9.5</v>
      </c>
    </row>
    <row r="51" spans="1:8" x14ac:dyDescent="0.2">
      <c r="A51" t="s">
        <v>116</v>
      </c>
      <c r="B51">
        <v>4</v>
      </c>
      <c r="C51">
        <v>23</v>
      </c>
      <c r="D51">
        <v>7.5</v>
      </c>
      <c r="E51">
        <v>6.5</v>
      </c>
      <c r="G51">
        <v>8.5</v>
      </c>
      <c r="H51">
        <v>8.5</v>
      </c>
    </row>
    <row r="52" spans="1:8" x14ac:dyDescent="0.2">
      <c r="A52" t="s">
        <v>117</v>
      </c>
      <c r="B52">
        <v>4</v>
      </c>
      <c r="C52">
        <v>23</v>
      </c>
      <c r="D52">
        <v>8</v>
      </c>
      <c r="E52">
        <v>7</v>
      </c>
      <c r="G52">
        <v>9</v>
      </c>
      <c r="H52">
        <v>9</v>
      </c>
    </row>
    <row r="53" spans="1:8" x14ac:dyDescent="0.2">
      <c r="A53" t="s">
        <v>118</v>
      </c>
      <c r="B53">
        <v>4</v>
      </c>
      <c r="C53">
        <v>21.5</v>
      </c>
      <c r="D53">
        <v>7.5</v>
      </c>
      <c r="E53">
        <v>6.5</v>
      </c>
      <c r="G53">
        <v>8.5</v>
      </c>
      <c r="H53">
        <v>8.5</v>
      </c>
    </row>
    <row r="54" spans="1:8" x14ac:dyDescent="0.2">
      <c r="A54" t="s">
        <v>119</v>
      </c>
      <c r="B54">
        <v>4</v>
      </c>
      <c r="C54">
        <v>21.5</v>
      </c>
      <c r="D54">
        <v>6.75</v>
      </c>
      <c r="E54">
        <v>5.75</v>
      </c>
      <c r="G54">
        <v>7.75</v>
      </c>
      <c r="H54">
        <v>7.75</v>
      </c>
    </row>
    <row r="55" spans="1:8" x14ac:dyDescent="0.2">
      <c r="A55" t="s">
        <v>120</v>
      </c>
      <c r="B55">
        <v>4</v>
      </c>
      <c r="C55">
        <v>20.5</v>
      </c>
      <c r="D55">
        <v>6.25</v>
      </c>
      <c r="E55">
        <v>5.75</v>
      </c>
      <c r="G55">
        <v>6.75</v>
      </c>
      <c r="H55">
        <v>6.75</v>
      </c>
    </row>
    <row r="56" spans="1:8" x14ac:dyDescent="0.2">
      <c r="A56" t="s">
        <v>121</v>
      </c>
      <c r="B56">
        <v>4</v>
      </c>
      <c r="C56">
        <v>19.5</v>
      </c>
      <c r="D56">
        <v>6</v>
      </c>
      <c r="E56">
        <v>5.75</v>
      </c>
      <c r="G56">
        <v>6.25</v>
      </c>
      <c r="H56">
        <v>6.25</v>
      </c>
    </row>
    <row r="57" spans="1:8" x14ac:dyDescent="0.2">
      <c r="A57" t="s">
        <v>122</v>
      </c>
      <c r="B57">
        <v>4</v>
      </c>
      <c r="C57">
        <v>19.25</v>
      </c>
      <c r="D57">
        <v>6.25</v>
      </c>
      <c r="E57">
        <v>6</v>
      </c>
      <c r="G57">
        <v>6.5</v>
      </c>
      <c r="H57">
        <v>6.5</v>
      </c>
    </row>
    <row r="58" spans="1:8" x14ac:dyDescent="0.2">
      <c r="A58" t="s">
        <v>123</v>
      </c>
      <c r="B58">
        <v>4</v>
      </c>
      <c r="C58">
        <v>18.25</v>
      </c>
      <c r="D58">
        <v>4.4000000000000004</v>
      </c>
      <c r="E58">
        <v>4</v>
      </c>
      <c r="G58">
        <v>4.6500000000000004</v>
      </c>
      <c r="H58">
        <v>4.6500000000000004</v>
      </c>
    </row>
    <row r="59" spans="1:8" x14ac:dyDescent="0.2">
      <c r="A59" t="s">
        <v>8</v>
      </c>
      <c r="B59">
        <v>3</v>
      </c>
      <c r="C59">
        <v>18</v>
      </c>
      <c r="D59">
        <v>4</v>
      </c>
      <c r="E59">
        <v>3.35</v>
      </c>
      <c r="G59">
        <v>4.25</v>
      </c>
      <c r="H59">
        <v>4.25</v>
      </c>
    </row>
    <row r="60" spans="1:8" x14ac:dyDescent="0.2">
      <c r="A60" t="s">
        <v>9</v>
      </c>
      <c r="B60">
        <v>4</v>
      </c>
      <c r="C60">
        <v>18</v>
      </c>
      <c r="D60">
        <v>4</v>
      </c>
      <c r="E60">
        <v>3.35</v>
      </c>
      <c r="G60">
        <v>4.25</v>
      </c>
      <c r="H60">
        <v>4.25</v>
      </c>
    </row>
    <row r="61" spans="1:8" x14ac:dyDescent="0.2">
      <c r="A61" t="s">
        <v>11</v>
      </c>
      <c r="B61">
        <v>4.5</v>
      </c>
      <c r="C61">
        <v>18</v>
      </c>
      <c r="D61">
        <v>6.5</v>
      </c>
      <c r="E61">
        <v>3.35</v>
      </c>
      <c r="F61">
        <v>6.25</v>
      </c>
      <c r="G61">
        <v>6.75</v>
      </c>
      <c r="H61">
        <v>6.75</v>
      </c>
    </row>
    <row r="62" spans="1:8" x14ac:dyDescent="0.2">
      <c r="A62" t="s">
        <v>1270</v>
      </c>
      <c r="B62">
        <v>4.5</v>
      </c>
      <c r="C62">
        <v>18</v>
      </c>
      <c r="D62">
        <v>6.5</v>
      </c>
      <c r="E62">
        <v>3.35</v>
      </c>
      <c r="F62">
        <v>6.25</v>
      </c>
      <c r="G62">
        <v>6.75</v>
      </c>
      <c r="H62">
        <v>6.75</v>
      </c>
    </row>
    <row r="63" spans="1:8" x14ac:dyDescent="0.2">
      <c r="A63" t="s">
        <v>1390</v>
      </c>
      <c r="B63">
        <v>4</v>
      </c>
      <c r="C63">
        <v>18</v>
      </c>
      <c r="D63">
        <v>6.25</v>
      </c>
      <c r="E63">
        <v>3.35</v>
      </c>
      <c r="F63">
        <v>6</v>
      </c>
      <c r="G63">
        <v>6.5</v>
      </c>
      <c r="H63">
        <v>6.5</v>
      </c>
    </row>
    <row r="64" spans="1:8" x14ac:dyDescent="0.2">
      <c r="A64" t="s">
        <v>1391</v>
      </c>
      <c r="B64">
        <v>3.25</v>
      </c>
      <c r="C64">
        <v>18</v>
      </c>
      <c r="D64">
        <v>5.5</v>
      </c>
      <c r="E64">
        <v>3.35</v>
      </c>
      <c r="F64">
        <v>5.25</v>
      </c>
      <c r="G64">
        <v>5.75</v>
      </c>
      <c r="H64">
        <v>5.75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8EF0-A591-814D-928E-A1C07F3B9244}">
  <dimension ref="A1:Y17"/>
  <sheetViews>
    <sheetView topLeftCell="A3" workbookViewId="0">
      <selection activeCell="A3" sqref="A3"/>
    </sheetView>
  </sheetViews>
  <sheetFormatPr baseColWidth="10" defaultRowHeight="16" x14ac:dyDescent="0.2"/>
  <cols>
    <col min="1" max="1" width="61" bestFit="1" customWidth="1"/>
  </cols>
  <sheetData>
    <row r="1" spans="1:25" x14ac:dyDescent="0.2">
      <c r="A1" t="s">
        <v>1437</v>
      </c>
    </row>
    <row r="2" spans="1:25" x14ac:dyDescent="0.2">
      <c r="A2" t="s">
        <v>1436</v>
      </c>
    </row>
    <row r="3" spans="1:25" x14ac:dyDescent="0.2">
      <c r="B3" t="s">
        <v>176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  <c r="H3" t="s">
        <v>182</v>
      </c>
      <c r="I3" t="s">
        <v>183</v>
      </c>
      <c r="J3" t="s">
        <v>184</v>
      </c>
      <c r="K3" t="s">
        <v>185</v>
      </c>
      <c r="L3" t="s">
        <v>186</v>
      </c>
      <c r="M3" t="s">
        <v>187</v>
      </c>
      <c r="N3" t="s">
        <v>188</v>
      </c>
      <c r="O3" t="s">
        <v>189</v>
      </c>
      <c r="P3" t="s">
        <v>190</v>
      </c>
      <c r="Q3" t="s">
        <v>191</v>
      </c>
      <c r="R3" t="s">
        <v>192</v>
      </c>
      <c r="S3" t="s">
        <v>193</v>
      </c>
      <c r="T3" t="s">
        <v>194</v>
      </c>
      <c r="U3" t="s">
        <v>195</v>
      </c>
      <c r="V3" t="s">
        <v>196</v>
      </c>
      <c r="W3" t="s">
        <v>197</v>
      </c>
      <c r="X3" t="s">
        <v>1204</v>
      </c>
      <c r="Y3" t="s">
        <v>1426</v>
      </c>
    </row>
    <row r="4" spans="1:25" x14ac:dyDescent="0.2">
      <c r="A4" t="s">
        <v>198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</row>
    <row r="5" spans="1:25" x14ac:dyDescent="0.2">
      <c r="A5" t="s">
        <v>1435</v>
      </c>
      <c r="M5">
        <v>27.99</v>
      </c>
      <c r="N5">
        <v>29.45</v>
      </c>
      <c r="O5">
        <v>33.36</v>
      </c>
      <c r="P5">
        <v>35.25</v>
      </c>
      <c r="Q5">
        <v>39.17</v>
      </c>
      <c r="R5">
        <v>37.53</v>
      </c>
      <c r="S5">
        <v>36.590000000000003</v>
      </c>
      <c r="T5">
        <v>34.35</v>
      </c>
      <c r="U5">
        <v>35.880000000000003</v>
      </c>
      <c r="V5">
        <v>36.1</v>
      </c>
      <c r="W5">
        <v>37.119999999999997</v>
      </c>
      <c r="X5">
        <v>36.1</v>
      </c>
      <c r="Y5">
        <v>35.950000000000003</v>
      </c>
    </row>
    <row r="6" spans="1:25" x14ac:dyDescent="0.2">
      <c r="A6" t="s">
        <v>1434</v>
      </c>
      <c r="M6">
        <v>4.09</v>
      </c>
      <c r="N6">
        <v>3.68</v>
      </c>
      <c r="O6">
        <v>3.5</v>
      </c>
      <c r="P6">
        <v>3.21</v>
      </c>
      <c r="Q6">
        <v>3.6</v>
      </c>
      <c r="R6">
        <v>3.57</v>
      </c>
      <c r="S6">
        <v>4.33</v>
      </c>
      <c r="T6">
        <v>4.18</v>
      </c>
      <c r="U6">
        <v>4.92</v>
      </c>
      <c r="V6">
        <v>4.04</v>
      </c>
      <c r="W6">
        <v>4.24</v>
      </c>
      <c r="X6">
        <v>4.03</v>
      </c>
      <c r="Y6">
        <v>4.9000000000000004</v>
      </c>
    </row>
    <row r="7" spans="1:25" x14ac:dyDescent="0.2">
      <c r="A7" t="s">
        <v>1433</v>
      </c>
      <c r="B7">
        <v>15.64</v>
      </c>
      <c r="C7">
        <v>12.28</v>
      </c>
      <c r="D7">
        <v>13.66</v>
      </c>
      <c r="E7">
        <v>13.79</v>
      </c>
      <c r="F7">
        <v>20.39</v>
      </c>
      <c r="G7">
        <v>22.38</v>
      </c>
      <c r="H7">
        <v>24.93</v>
      </c>
      <c r="I7">
        <v>27.43</v>
      </c>
      <c r="J7">
        <v>23.06</v>
      </c>
      <c r="K7">
        <v>26.08</v>
      </c>
      <c r="L7">
        <v>24.18</v>
      </c>
      <c r="M7">
        <v>23.9</v>
      </c>
      <c r="N7">
        <v>25.77</v>
      </c>
      <c r="O7">
        <v>29.86</v>
      </c>
      <c r="P7">
        <v>32.04</v>
      </c>
      <c r="Q7">
        <v>35.57</v>
      </c>
      <c r="R7">
        <v>33.96</v>
      </c>
      <c r="S7">
        <v>32.26</v>
      </c>
      <c r="T7">
        <v>30.17</v>
      </c>
      <c r="U7">
        <v>30.95</v>
      </c>
      <c r="V7">
        <v>32.06</v>
      </c>
      <c r="W7">
        <v>32.880000000000003</v>
      </c>
      <c r="X7">
        <v>32.08</v>
      </c>
      <c r="Y7">
        <v>31.05</v>
      </c>
    </row>
    <row r="8" spans="1:25" x14ac:dyDescent="0.2">
      <c r="A8" t="s">
        <v>1432</v>
      </c>
      <c r="M8">
        <v>9</v>
      </c>
      <c r="N8">
        <v>8.92</v>
      </c>
      <c r="O8">
        <v>8.1199999999999992</v>
      </c>
      <c r="P8">
        <v>8.43</v>
      </c>
      <c r="Q8">
        <v>6.81</v>
      </c>
      <c r="R8">
        <v>7.22</v>
      </c>
      <c r="S8">
        <v>7.06</v>
      </c>
      <c r="T8">
        <v>5.89</v>
      </c>
      <c r="U8">
        <v>8.83</v>
      </c>
      <c r="V8">
        <v>8.8800000000000008</v>
      </c>
      <c r="W8">
        <v>8.0299999999999994</v>
      </c>
      <c r="X8">
        <v>9.34</v>
      </c>
      <c r="Y8">
        <v>8.15</v>
      </c>
    </row>
    <row r="9" spans="1:25" x14ac:dyDescent="0.2">
      <c r="A9" t="s">
        <v>1431</v>
      </c>
      <c r="M9">
        <v>5.58</v>
      </c>
      <c r="N9">
        <v>5.19</v>
      </c>
      <c r="O9">
        <v>4.5199999999999996</v>
      </c>
      <c r="P9">
        <v>4.2300000000000004</v>
      </c>
      <c r="Q9">
        <v>4.12</v>
      </c>
      <c r="R9">
        <v>4.46</v>
      </c>
      <c r="S9">
        <v>4.33</v>
      </c>
      <c r="T9">
        <v>2.97</v>
      </c>
      <c r="U9">
        <v>5.26</v>
      </c>
      <c r="V9">
        <v>4.84</v>
      </c>
      <c r="W9">
        <v>4.88</v>
      </c>
      <c r="X9">
        <v>5.63</v>
      </c>
      <c r="Y9">
        <v>4.53</v>
      </c>
    </row>
    <row r="10" spans="1:25" x14ac:dyDescent="0.2">
      <c r="A10" t="s">
        <v>1430</v>
      </c>
      <c r="B10">
        <v>-0.06</v>
      </c>
      <c r="C10">
        <v>0.62</v>
      </c>
      <c r="D10">
        <v>0.66</v>
      </c>
      <c r="E10">
        <v>0.74</v>
      </c>
      <c r="F10">
        <v>4.55</v>
      </c>
      <c r="G10">
        <v>6.67</v>
      </c>
      <c r="H10">
        <v>3.82</v>
      </c>
      <c r="I10">
        <v>4.84</v>
      </c>
      <c r="J10">
        <v>3.36</v>
      </c>
      <c r="K10">
        <v>3.36</v>
      </c>
      <c r="L10">
        <v>3.47</v>
      </c>
      <c r="M10">
        <v>3.42</v>
      </c>
      <c r="N10">
        <v>3.73</v>
      </c>
      <c r="O10">
        <v>3.6</v>
      </c>
      <c r="P10">
        <v>4.21</v>
      </c>
      <c r="Q10">
        <v>2.69</v>
      </c>
      <c r="R10">
        <v>2.76</v>
      </c>
      <c r="S10">
        <v>2.74</v>
      </c>
      <c r="T10">
        <v>2.93</v>
      </c>
      <c r="U10">
        <v>3.57</v>
      </c>
      <c r="V10">
        <v>4.04</v>
      </c>
      <c r="W10">
        <v>3.14</v>
      </c>
      <c r="X10">
        <v>3.71</v>
      </c>
      <c r="Y10">
        <v>3.62</v>
      </c>
    </row>
    <row r="11" spans="1:25" x14ac:dyDescent="0.2">
      <c r="A11" t="s">
        <v>1429</v>
      </c>
      <c r="B11">
        <v>-17.54</v>
      </c>
      <c r="C11">
        <v>-18.46</v>
      </c>
      <c r="D11">
        <v>-15.53</v>
      </c>
      <c r="E11">
        <v>-9.77</v>
      </c>
      <c r="F11">
        <v>-5.89</v>
      </c>
      <c r="G11">
        <v>-5.22</v>
      </c>
      <c r="H11">
        <v>-2.6</v>
      </c>
      <c r="I11">
        <v>1.2</v>
      </c>
      <c r="J11">
        <v>-6.83</v>
      </c>
      <c r="K11">
        <v>-7.53</v>
      </c>
      <c r="L11">
        <v>-1.27</v>
      </c>
      <c r="M11">
        <v>-5.23</v>
      </c>
      <c r="N11">
        <v>-4.72</v>
      </c>
      <c r="O11">
        <v>-4.8099999999999996</v>
      </c>
      <c r="P11">
        <v>-4.3600000000000003</v>
      </c>
      <c r="Q11">
        <v>-3.77</v>
      </c>
      <c r="R11">
        <v>-2.52</v>
      </c>
      <c r="S11">
        <v>-3.8</v>
      </c>
      <c r="T11">
        <v>-4.32</v>
      </c>
      <c r="U11">
        <v>-9.43</v>
      </c>
      <c r="V11">
        <v>-22.83</v>
      </c>
      <c r="W11">
        <v>-9.5500000000000007</v>
      </c>
      <c r="X11">
        <v>-6.22</v>
      </c>
      <c r="Y11">
        <v>-3.09</v>
      </c>
    </row>
    <row r="12" spans="1:25" x14ac:dyDescent="0.2">
      <c r="A12" t="s">
        <v>1428</v>
      </c>
      <c r="B12">
        <v>87.26</v>
      </c>
      <c r="C12">
        <v>90.43</v>
      </c>
      <c r="D12">
        <v>84.43</v>
      </c>
      <c r="E12">
        <v>79.62</v>
      </c>
      <c r="F12">
        <v>67.48</v>
      </c>
      <c r="G12">
        <v>63.23</v>
      </c>
      <c r="H12">
        <v>60.61</v>
      </c>
      <c r="I12">
        <v>54.51</v>
      </c>
      <c r="J12">
        <v>69.83</v>
      </c>
      <c r="K12">
        <v>68.98</v>
      </c>
      <c r="L12">
        <v>65.040000000000006</v>
      </c>
      <c r="M12">
        <v>68.239999999999995</v>
      </c>
      <c r="N12">
        <v>66.34</v>
      </c>
      <c r="O12">
        <v>63.34</v>
      </c>
      <c r="P12">
        <v>60.67</v>
      </c>
      <c r="Q12">
        <v>57.79</v>
      </c>
      <c r="R12">
        <v>57.76</v>
      </c>
      <c r="S12">
        <v>60.15</v>
      </c>
      <c r="T12">
        <v>64.069999999999993</v>
      </c>
      <c r="U12">
        <v>64.72</v>
      </c>
      <c r="V12">
        <v>77.86</v>
      </c>
      <c r="W12">
        <v>64.41</v>
      </c>
      <c r="X12">
        <v>60.78</v>
      </c>
      <c r="Y12">
        <v>58.98</v>
      </c>
    </row>
    <row r="13" spans="1:25" x14ac:dyDescent="0.2">
      <c r="A13" t="s">
        <v>1438</v>
      </c>
      <c r="B13">
        <v>40.49</v>
      </c>
      <c r="C13">
        <v>41.03</v>
      </c>
      <c r="D13">
        <v>37.89</v>
      </c>
      <c r="E13">
        <v>37.92</v>
      </c>
      <c r="F13">
        <v>28.79</v>
      </c>
      <c r="G13">
        <v>29.44</v>
      </c>
      <c r="H13">
        <v>27.43</v>
      </c>
      <c r="I13">
        <v>24.3</v>
      </c>
      <c r="J13">
        <v>30.16</v>
      </c>
      <c r="K13">
        <v>30.14</v>
      </c>
      <c r="L13">
        <v>28.31</v>
      </c>
      <c r="M13">
        <v>21.23</v>
      </c>
      <c r="N13">
        <v>21.77</v>
      </c>
      <c r="O13">
        <v>23.06</v>
      </c>
      <c r="P13">
        <v>21.9</v>
      </c>
      <c r="Q13">
        <v>25.94</v>
      </c>
      <c r="R13">
        <v>23.75</v>
      </c>
      <c r="S13">
        <v>23.82</v>
      </c>
      <c r="T13">
        <v>24.87</v>
      </c>
      <c r="U13">
        <v>26.09</v>
      </c>
      <c r="V13">
        <v>40.26</v>
      </c>
      <c r="W13">
        <v>23.26</v>
      </c>
      <c r="X13">
        <v>16.149999999999999</v>
      </c>
      <c r="Y13">
        <v>16.760000000000002</v>
      </c>
    </row>
    <row r="14" spans="1:25" x14ac:dyDescent="0.2">
      <c r="A14" t="s">
        <v>1439</v>
      </c>
      <c r="M14">
        <v>30.82</v>
      </c>
      <c r="N14">
        <v>31.58</v>
      </c>
      <c r="O14">
        <v>33</v>
      </c>
      <c r="P14">
        <v>31.28</v>
      </c>
      <c r="Q14">
        <v>34.94</v>
      </c>
      <c r="R14">
        <v>33.46</v>
      </c>
      <c r="S14">
        <v>37.520000000000003</v>
      </c>
      <c r="T14">
        <v>37.729999999999997</v>
      </c>
      <c r="U14">
        <v>39.130000000000003</v>
      </c>
      <c r="V14">
        <v>53</v>
      </c>
      <c r="W14">
        <v>35.47</v>
      </c>
      <c r="X14">
        <v>35.51</v>
      </c>
      <c r="Y14">
        <v>37.049999999999997</v>
      </c>
    </row>
    <row r="15" spans="1:25" x14ac:dyDescent="0.2">
      <c r="A15" t="s">
        <v>1440</v>
      </c>
      <c r="M15">
        <v>9.58</v>
      </c>
      <c r="N15">
        <v>9.81</v>
      </c>
      <c r="O15">
        <v>9.94</v>
      </c>
      <c r="P15">
        <v>9.3699999999999992</v>
      </c>
      <c r="Q15">
        <v>9</v>
      </c>
      <c r="R15">
        <v>9.7100000000000009</v>
      </c>
      <c r="S15">
        <v>13.7</v>
      </c>
      <c r="T15">
        <v>12.85</v>
      </c>
      <c r="U15">
        <v>13.04</v>
      </c>
      <c r="V15">
        <v>12.74</v>
      </c>
      <c r="W15">
        <v>12.21</v>
      </c>
      <c r="X15">
        <v>19.37</v>
      </c>
      <c r="Y15">
        <v>20.29</v>
      </c>
    </row>
    <row r="16" spans="1:25" x14ac:dyDescent="0.2">
      <c r="A16" t="s">
        <v>1441</v>
      </c>
      <c r="M16">
        <v>45.9</v>
      </c>
      <c r="N16">
        <v>43.48</v>
      </c>
      <c r="O16">
        <v>39.26</v>
      </c>
      <c r="P16">
        <v>37.64</v>
      </c>
      <c r="Q16">
        <v>30.77</v>
      </c>
      <c r="R16">
        <v>33.049999999999997</v>
      </c>
      <c r="S16">
        <v>35.47</v>
      </c>
      <c r="T16">
        <v>38.49</v>
      </c>
      <c r="U16">
        <v>37.909999999999997</v>
      </c>
      <c r="V16">
        <v>36.9</v>
      </c>
      <c r="W16">
        <v>40.31</v>
      </c>
      <c r="X16">
        <v>43.85</v>
      </c>
      <c r="Y16">
        <v>41.52</v>
      </c>
    </row>
    <row r="17" spans="1:25" x14ac:dyDescent="0.2">
      <c r="A17" t="s">
        <v>1442</v>
      </c>
      <c r="M17">
        <v>1.1100000000000001</v>
      </c>
      <c r="N17">
        <v>1.0900000000000001</v>
      </c>
      <c r="O17">
        <v>1.02</v>
      </c>
      <c r="P17">
        <v>1.1299999999999999</v>
      </c>
      <c r="Q17">
        <v>1.0900000000000001</v>
      </c>
      <c r="R17">
        <v>0.96</v>
      </c>
      <c r="S17">
        <v>0.85</v>
      </c>
      <c r="T17">
        <v>0.71</v>
      </c>
      <c r="U17">
        <v>0.73</v>
      </c>
      <c r="V17">
        <v>0.7</v>
      </c>
      <c r="W17">
        <v>0.83</v>
      </c>
      <c r="X17">
        <v>0.78</v>
      </c>
      <c r="Y17">
        <v>0.7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59E7-6B5E-6242-9FBC-3D3CD8600D8F}">
  <dimension ref="A1:H2"/>
  <sheetViews>
    <sheetView workbookViewId="0">
      <selection activeCell="C31" sqref="C31"/>
    </sheetView>
  </sheetViews>
  <sheetFormatPr baseColWidth="10" defaultRowHeight="16" x14ac:dyDescent="0.2"/>
  <cols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ht="34" x14ac:dyDescent="0.2">
      <c r="A1" t="s">
        <v>46</v>
      </c>
      <c r="B1" t="s">
        <v>1425</v>
      </c>
      <c r="C1" s="34" t="s">
        <v>1421</v>
      </c>
      <c r="D1" s="34" t="s">
        <v>1422</v>
      </c>
      <c r="E1" s="34" t="s">
        <v>1423</v>
      </c>
      <c r="F1" s="34" t="s">
        <v>1424</v>
      </c>
      <c r="G1" t="s">
        <v>1419</v>
      </c>
      <c r="H1" t="s">
        <v>1420</v>
      </c>
    </row>
    <row r="2" spans="1:8" x14ac:dyDescent="0.2">
      <c r="A2" t="s">
        <v>1270</v>
      </c>
      <c r="B2">
        <v>30.74</v>
      </c>
      <c r="C2">
        <v>1.51</v>
      </c>
      <c r="D2">
        <v>9.5399999999999991</v>
      </c>
      <c r="E2">
        <v>1.39</v>
      </c>
      <c r="F2">
        <v>1.1100000000000001</v>
      </c>
      <c r="G2">
        <v>-0.95</v>
      </c>
      <c r="H2">
        <v>18.13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7938-2C56-F540-A0A6-FFC4CCED7760}">
  <dimension ref="A1:H63"/>
  <sheetViews>
    <sheetView topLeftCell="A41" workbookViewId="0">
      <selection activeCell="B6" sqref="B6"/>
    </sheetView>
  </sheetViews>
  <sheetFormatPr baseColWidth="10" defaultRowHeight="16" x14ac:dyDescent="0.2"/>
  <cols>
    <col min="2" max="2" width="12" bestFit="1" customWidth="1"/>
    <col min="3" max="3" width="29" bestFit="1" customWidth="1"/>
    <col min="4" max="4" width="30" bestFit="1" customWidth="1"/>
    <col min="5" max="5" width="25.1640625" bestFit="1" customWidth="1"/>
    <col min="6" max="6" width="25.83203125" bestFit="1" customWidth="1"/>
    <col min="7" max="7" width="18.5" bestFit="1" customWidth="1"/>
    <col min="8" max="8" width="24.83203125" bestFit="1" customWidth="1"/>
  </cols>
  <sheetData>
    <row r="1" spans="1:8" x14ac:dyDescent="0.2">
      <c r="A1" t="s">
        <v>1413</v>
      </c>
    </row>
    <row r="2" spans="1:8" x14ac:dyDescent="0.2">
      <c r="A2" t="s">
        <v>1414</v>
      </c>
    </row>
    <row r="3" spans="1:8" x14ac:dyDescent="0.2">
      <c r="A3" t="s">
        <v>46</v>
      </c>
      <c r="B3" t="s">
        <v>1425</v>
      </c>
      <c r="C3" t="s">
        <v>1415</v>
      </c>
      <c r="D3" t="s">
        <v>1416</v>
      </c>
      <c r="E3" t="s">
        <v>1417</v>
      </c>
      <c r="F3" t="s">
        <v>1418</v>
      </c>
      <c r="G3" t="s">
        <v>1419</v>
      </c>
      <c r="H3" t="s">
        <v>1420</v>
      </c>
    </row>
    <row r="4" spans="1:8" x14ac:dyDescent="0.2">
      <c r="A4" t="s">
        <v>68</v>
      </c>
      <c r="B4">
        <v>11.93</v>
      </c>
    </row>
    <row r="5" spans="1:8" x14ac:dyDescent="0.2">
      <c r="A5" t="s">
        <v>69</v>
      </c>
      <c r="B5">
        <v>13.9</v>
      </c>
    </row>
    <row r="6" spans="1:8" x14ac:dyDescent="0.2">
      <c r="A6" t="s">
        <v>70</v>
      </c>
      <c r="B6">
        <v>13.71</v>
      </c>
    </row>
    <row r="7" spans="1:8" x14ac:dyDescent="0.2">
      <c r="A7" t="s">
        <v>71</v>
      </c>
      <c r="B7">
        <v>12</v>
      </c>
    </row>
    <row r="8" spans="1:8" x14ac:dyDescent="0.2">
      <c r="A8" t="s">
        <v>72</v>
      </c>
      <c r="B8">
        <v>11.88</v>
      </c>
    </row>
    <row r="9" spans="1:8" x14ac:dyDescent="0.2">
      <c r="A9" t="s">
        <v>73</v>
      </c>
      <c r="B9">
        <v>13.95</v>
      </c>
    </row>
    <row r="10" spans="1:8" x14ac:dyDescent="0.2">
      <c r="A10" t="s">
        <v>74</v>
      </c>
      <c r="B10">
        <v>13.87</v>
      </c>
      <c r="D10">
        <v>1.26</v>
      </c>
      <c r="F10">
        <v>0.03</v>
      </c>
      <c r="G10">
        <v>1.47</v>
      </c>
    </row>
    <row r="11" spans="1:8" x14ac:dyDescent="0.2">
      <c r="A11" t="s">
        <v>75</v>
      </c>
      <c r="B11">
        <v>14.67</v>
      </c>
      <c r="D11">
        <v>1.35</v>
      </c>
      <c r="F11">
        <v>0.04</v>
      </c>
      <c r="G11">
        <v>1.36</v>
      </c>
    </row>
    <row r="12" spans="1:8" x14ac:dyDescent="0.2">
      <c r="A12" t="s">
        <v>76</v>
      </c>
      <c r="B12">
        <v>13.76</v>
      </c>
      <c r="D12">
        <v>1.29</v>
      </c>
      <c r="F12">
        <v>0.03</v>
      </c>
      <c r="G12">
        <v>1.32</v>
      </c>
    </row>
    <row r="13" spans="1:8" x14ac:dyDescent="0.2">
      <c r="A13" t="s">
        <v>77</v>
      </c>
      <c r="B13">
        <v>16.34</v>
      </c>
      <c r="D13">
        <v>1.45</v>
      </c>
      <c r="F13">
        <v>0.02</v>
      </c>
      <c r="G13">
        <v>1.64</v>
      </c>
    </row>
    <row r="14" spans="1:8" x14ac:dyDescent="0.2">
      <c r="A14" t="s">
        <v>78</v>
      </c>
      <c r="B14">
        <v>16.13</v>
      </c>
      <c r="D14">
        <v>1.67</v>
      </c>
      <c r="F14">
        <v>0.02</v>
      </c>
      <c r="G14">
        <v>2</v>
      </c>
    </row>
    <row r="15" spans="1:8" x14ac:dyDescent="0.2">
      <c r="A15" t="s">
        <v>79</v>
      </c>
      <c r="B15">
        <v>16.63</v>
      </c>
      <c r="D15">
        <v>1.0900000000000001</v>
      </c>
      <c r="F15">
        <v>0.03</v>
      </c>
      <c r="G15">
        <v>2.56</v>
      </c>
    </row>
    <row r="16" spans="1:8" x14ac:dyDescent="0.2">
      <c r="A16" t="s">
        <v>80</v>
      </c>
      <c r="B16">
        <v>18.07</v>
      </c>
      <c r="D16">
        <v>1.07</v>
      </c>
      <c r="F16">
        <v>0.04</v>
      </c>
      <c r="G16">
        <v>2.52</v>
      </c>
    </row>
    <row r="17" spans="1:7" x14ac:dyDescent="0.2">
      <c r="A17" t="s">
        <v>81</v>
      </c>
      <c r="B17">
        <v>18.55</v>
      </c>
      <c r="D17">
        <v>1.1499999999999999</v>
      </c>
      <c r="F17">
        <v>0.03</v>
      </c>
      <c r="G17">
        <v>2.25</v>
      </c>
    </row>
    <row r="18" spans="1:7" x14ac:dyDescent="0.2">
      <c r="A18" t="s">
        <v>82</v>
      </c>
      <c r="B18">
        <v>20.309999999999999</v>
      </c>
      <c r="D18">
        <v>1.22</v>
      </c>
      <c r="F18">
        <v>0.03</v>
      </c>
      <c r="G18">
        <v>2.4300000000000002</v>
      </c>
    </row>
    <row r="19" spans="1:7" x14ac:dyDescent="0.2">
      <c r="A19" t="s">
        <v>83</v>
      </c>
      <c r="B19">
        <v>19.239999999999998</v>
      </c>
      <c r="D19">
        <v>1.71</v>
      </c>
      <c r="F19">
        <v>0.03</v>
      </c>
      <c r="G19">
        <v>2.36</v>
      </c>
    </row>
    <row r="20" spans="1:7" x14ac:dyDescent="0.2">
      <c r="A20" t="s">
        <v>84</v>
      </c>
      <c r="B20">
        <v>17.21</v>
      </c>
      <c r="D20">
        <v>1.4</v>
      </c>
      <c r="F20">
        <v>0.02</v>
      </c>
      <c r="G20">
        <v>2.04</v>
      </c>
    </row>
    <row r="21" spans="1:7" x14ac:dyDescent="0.2">
      <c r="A21" t="s">
        <v>85</v>
      </c>
      <c r="B21">
        <v>16.78</v>
      </c>
      <c r="D21">
        <v>1.31</v>
      </c>
      <c r="F21">
        <v>0.03</v>
      </c>
      <c r="G21">
        <v>2.4300000000000002</v>
      </c>
    </row>
    <row r="22" spans="1:7" x14ac:dyDescent="0.2">
      <c r="A22" t="s">
        <v>86</v>
      </c>
      <c r="B22">
        <v>17.239999999999998</v>
      </c>
      <c r="D22">
        <v>1.35</v>
      </c>
      <c r="F22">
        <v>0.04</v>
      </c>
      <c r="G22">
        <v>1.94</v>
      </c>
    </row>
    <row r="23" spans="1:7" x14ac:dyDescent="0.2">
      <c r="A23" t="s">
        <v>87</v>
      </c>
      <c r="B23">
        <v>16.89</v>
      </c>
      <c r="D23">
        <v>1.27</v>
      </c>
      <c r="F23">
        <v>0.05</v>
      </c>
      <c r="G23">
        <v>1.1200000000000001</v>
      </c>
    </row>
    <row r="24" spans="1:7" x14ac:dyDescent="0.2">
      <c r="A24" t="s">
        <v>88</v>
      </c>
      <c r="B24">
        <v>17.79</v>
      </c>
      <c r="D24">
        <v>1.45</v>
      </c>
      <c r="F24">
        <v>0.03</v>
      </c>
      <c r="G24">
        <v>0.6</v>
      </c>
    </row>
    <row r="25" spans="1:7" x14ac:dyDescent="0.2">
      <c r="A25" t="s">
        <v>89</v>
      </c>
      <c r="B25">
        <v>18.36</v>
      </c>
      <c r="D25">
        <v>1.7</v>
      </c>
      <c r="F25">
        <v>0.06</v>
      </c>
      <c r="G25">
        <v>0.59</v>
      </c>
    </row>
    <row r="26" spans="1:7" x14ac:dyDescent="0.2">
      <c r="A26" t="s">
        <v>90</v>
      </c>
      <c r="B26">
        <v>18.16</v>
      </c>
      <c r="D26">
        <v>1.45</v>
      </c>
      <c r="F26">
        <v>0.06</v>
      </c>
      <c r="G26">
        <v>0.16</v>
      </c>
    </row>
    <row r="27" spans="1:7" x14ac:dyDescent="0.2">
      <c r="A27" t="s">
        <v>91</v>
      </c>
      <c r="B27">
        <v>20.309999999999999</v>
      </c>
      <c r="D27">
        <v>1.42</v>
      </c>
      <c r="F27">
        <v>7.0000000000000007E-2</v>
      </c>
      <c r="G27">
        <v>-0.49</v>
      </c>
    </row>
    <row r="28" spans="1:7" x14ac:dyDescent="0.2">
      <c r="A28" t="s">
        <v>92</v>
      </c>
      <c r="B28">
        <v>20.46</v>
      </c>
      <c r="D28">
        <v>1.83</v>
      </c>
      <c r="F28">
        <v>0.1</v>
      </c>
      <c r="G28">
        <v>-0.77</v>
      </c>
    </row>
    <row r="29" spans="1:7" x14ac:dyDescent="0.2">
      <c r="A29" t="s">
        <v>93</v>
      </c>
      <c r="B29">
        <v>21.76</v>
      </c>
      <c r="D29">
        <v>2.21</v>
      </c>
      <c r="F29">
        <v>0.11</v>
      </c>
      <c r="G29">
        <v>-1.24</v>
      </c>
    </row>
    <row r="30" spans="1:7" x14ac:dyDescent="0.2">
      <c r="A30" t="s">
        <v>94</v>
      </c>
      <c r="B30">
        <v>23.33</v>
      </c>
      <c r="D30">
        <v>2.23</v>
      </c>
      <c r="F30">
        <v>0.17</v>
      </c>
      <c r="G30">
        <v>-1.45</v>
      </c>
    </row>
    <row r="31" spans="1:7" x14ac:dyDescent="0.2">
      <c r="A31" t="s">
        <v>95</v>
      </c>
      <c r="B31">
        <v>21.62</v>
      </c>
      <c r="D31">
        <v>2.66</v>
      </c>
      <c r="F31">
        <v>0.2</v>
      </c>
      <c r="G31">
        <v>-0.9</v>
      </c>
    </row>
    <row r="32" spans="1:7" x14ac:dyDescent="0.2">
      <c r="A32" t="s">
        <v>96</v>
      </c>
      <c r="B32">
        <v>21.67</v>
      </c>
      <c r="D32">
        <v>2.29</v>
      </c>
      <c r="F32">
        <v>0.23</v>
      </c>
      <c r="G32">
        <v>-0.85</v>
      </c>
    </row>
    <row r="33" spans="1:7" x14ac:dyDescent="0.2">
      <c r="A33" t="s">
        <v>97</v>
      </c>
      <c r="B33">
        <v>22.18</v>
      </c>
      <c r="D33">
        <v>2.92</v>
      </c>
      <c r="F33">
        <v>0.32</v>
      </c>
      <c r="G33">
        <v>-1.93</v>
      </c>
    </row>
    <row r="34" spans="1:7" x14ac:dyDescent="0.2">
      <c r="A34" t="s">
        <v>98</v>
      </c>
      <c r="B34">
        <v>24.05</v>
      </c>
      <c r="D34">
        <v>2.74</v>
      </c>
      <c r="F34">
        <v>0.49</v>
      </c>
      <c r="G34">
        <v>-1.52</v>
      </c>
    </row>
    <row r="35" spans="1:7" x14ac:dyDescent="0.2">
      <c r="A35" t="s">
        <v>99</v>
      </c>
      <c r="B35">
        <v>23.94</v>
      </c>
      <c r="D35">
        <v>3.99</v>
      </c>
      <c r="F35">
        <v>0.67</v>
      </c>
      <c r="G35">
        <v>-1.1399999999999999</v>
      </c>
    </row>
    <row r="36" spans="1:7" x14ac:dyDescent="0.2">
      <c r="A36" t="s">
        <v>100</v>
      </c>
      <c r="B36">
        <v>22.81</v>
      </c>
      <c r="D36">
        <v>3.81</v>
      </c>
      <c r="F36">
        <v>0.42</v>
      </c>
      <c r="G36">
        <v>-1.44</v>
      </c>
    </row>
    <row r="37" spans="1:7" x14ac:dyDescent="0.2">
      <c r="A37" t="s">
        <v>101</v>
      </c>
      <c r="B37">
        <v>24.53</v>
      </c>
      <c r="D37">
        <v>3.51</v>
      </c>
      <c r="F37">
        <v>0.44</v>
      </c>
      <c r="G37">
        <v>-1.85</v>
      </c>
    </row>
    <row r="38" spans="1:7" x14ac:dyDescent="0.2">
      <c r="A38" t="s">
        <v>102</v>
      </c>
      <c r="B38">
        <v>23.73</v>
      </c>
      <c r="D38">
        <v>3.13</v>
      </c>
      <c r="F38">
        <v>0.38</v>
      </c>
      <c r="G38">
        <v>-3.66</v>
      </c>
    </row>
    <row r="39" spans="1:7" x14ac:dyDescent="0.2">
      <c r="A39" t="s">
        <v>103</v>
      </c>
      <c r="B39">
        <v>26.32</v>
      </c>
      <c r="D39">
        <v>3.75</v>
      </c>
      <c r="F39">
        <v>0.34</v>
      </c>
      <c r="G39">
        <v>-4.04</v>
      </c>
    </row>
    <row r="40" spans="1:7" x14ac:dyDescent="0.2">
      <c r="A40" t="s">
        <v>104</v>
      </c>
      <c r="B40">
        <v>24.84</v>
      </c>
      <c r="D40">
        <v>3.88</v>
      </c>
      <c r="F40">
        <v>-0.01</v>
      </c>
      <c r="G40">
        <v>-4.3600000000000003</v>
      </c>
    </row>
    <row r="41" spans="1:7" x14ac:dyDescent="0.2">
      <c r="A41" t="s">
        <v>105</v>
      </c>
      <c r="B41">
        <v>26.05</v>
      </c>
      <c r="D41">
        <v>3.2</v>
      </c>
      <c r="F41">
        <v>0.16</v>
      </c>
      <c r="G41">
        <v>-4.8099999999999996</v>
      </c>
    </row>
    <row r="42" spans="1:7" x14ac:dyDescent="0.2">
      <c r="A42" t="s">
        <v>106</v>
      </c>
      <c r="B42">
        <v>26.81</v>
      </c>
      <c r="D42">
        <v>3.66</v>
      </c>
      <c r="F42">
        <v>0.18</v>
      </c>
      <c r="G42">
        <v>-4.16</v>
      </c>
    </row>
    <row r="43" spans="1:7" x14ac:dyDescent="0.2">
      <c r="A43" t="s">
        <v>107</v>
      </c>
      <c r="B43">
        <v>29.58</v>
      </c>
      <c r="D43">
        <v>4.08</v>
      </c>
      <c r="F43">
        <v>0.22</v>
      </c>
      <c r="G43">
        <v>-2.89</v>
      </c>
    </row>
    <row r="44" spans="1:7" x14ac:dyDescent="0.2">
      <c r="A44" t="s">
        <v>108</v>
      </c>
      <c r="B44">
        <v>34.78</v>
      </c>
      <c r="D44">
        <v>7.09</v>
      </c>
      <c r="F44">
        <v>1.58</v>
      </c>
      <c r="G44">
        <v>-2.0499999999999998</v>
      </c>
    </row>
    <row r="45" spans="1:7" x14ac:dyDescent="0.2">
      <c r="A45" t="s">
        <v>109</v>
      </c>
      <c r="B45">
        <v>35.200000000000003</v>
      </c>
      <c r="D45">
        <v>7.88</v>
      </c>
      <c r="F45">
        <v>2.35</v>
      </c>
      <c r="G45">
        <v>-1.84</v>
      </c>
    </row>
    <row r="46" spans="1:7" x14ac:dyDescent="0.2">
      <c r="A46" t="s">
        <v>110</v>
      </c>
      <c r="B46">
        <v>34.93</v>
      </c>
      <c r="D46">
        <v>8.7100000000000009</v>
      </c>
      <c r="F46">
        <v>1.33</v>
      </c>
      <c r="G46">
        <v>-0.91</v>
      </c>
    </row>
    <row r="47" spans="1:7" x14ac:dyDescent="0.2">
      <c r="A47" t="s">
        <v>111</v>
      </c>
      <c r="B47">
        <v>37.82</v>
      </c>
      <c r="D47">
        <v>10.37</v>
      </c>
      <c r="F47">
        <v>1.83</v>
      </c>
      <c r="G47">
        <v>0.45</v>
      </c>
    </row>
    <row r="48" spans="1:7" x14ac:dyDescent="0.2">
      <c r="A48" t="s">
        <v>112</v>
      </c>
      <c r="B48">
        <v>36.020000000000003</v>
      </c>
      <c r="D48">
        <v>8.31</v>
      </c>
      <c r="F48">
        <v>1.21</v>
      </c>
      <c r="G48">
        <v>-2.46</v>
      </c>
    </row>
    <row r="49" spans="1:8" x14ac:dyDescent="0.2">
      <c r="A49" t="s">
        <v>113</v>
      </c>
      <c r="B49">
        <v>36.01</v>
      </c>
      <c r="D49">
        <v>9.39</v>
      </c>
      <c r="F49">
        <v>1.21</v>
      </c>
      <c r="G49">
        <v>-2.71</v>
      </c>
    </row>
    <row r="50" spans="1:8" x14ac:dyDescent="0.2">
      <c r="A50" t="s">
        <v>114</v>
      </c>
      <c r="B50">
        <v>36.909999999999997</v>
      </c>
      <c r="D50">
        <v>8.92</v>
      </c>
      <c r="F50">
        <v>1.28</v>
      </c>
      <c r="G50">
        <v>-0.47</v>
      </c>
    </row>
    <row r="51" spans="1:8" x14ac:dyDescent="0.2">
      <c r="A51" t="s">
        <v>115</v>
      </c>
      <c r="B51">
        <v>34.65</v>
      </c>
      <c r="C51">
        <v>1.42</v>
      </c>
      <c r="D51">
        <v>8.2799999999999994</v>
      </c>
      <c r="E51">
        <v>1.93</v>
      </c>
      <c r="F51">
        <v>1.18</v>
      </c>
      <c r="G51">
        <v>-1.81</v>
      </c>
      <c r="H51">
        <v>23.64</v>
      </c>
    </row>
    <row r="52" spans="1:8" x14ac:dyDescent="0.2">
      <c r="A52" t="s">
        <v>116</v>
      </c>
      <c r="B52">
        <v>33.880000000000003</v>
      </c>
      <c r="C52">
        <v>1.25</v>
      </c>
      <c r="D52">
        <v>8.73</v>
      </c>
      <c r="E52">
        <v>1.76</v>
      </c>
      <c r="F52">
        <v>1.27</v>
      </c>
      <c r="G52">
        <v>-1.6</v>
      </c>
      <c r="H52">
        <v>22.48</v>
      </c>
    </row>
    <row r="53" spans="1:8" x14ac:dyDescent="0.2">
      <c r="A53" t="s">
        <v>117</v>
      </c>
      <c r="B53">
        <v>32.119999999999997</v>
      </c>
      <c r="C53">
        <v>1.1200000000000001</v>
      </c>
      <c r="D53">
        <v>9.59</v>
      </c>
      <c r="E53">
        <v>1.45</v>
      </c>
      <c r="F53">
        <v>1.1599999999999999</v>
      </c>
      <c r="G53">
        <v>-1.55</v>
      </c>
      <c r="H53">
        <v>20.34</v>
      </c>
    </row>
    <row r="54" spans="1:8" x14ac:dyDescent="0.2">
      <c r="A54" t="s">
        <v>118</v>
      </c>
      <c r="B54">
        <v>32.24</v>
      </c>
      <c r="C54">
        <v>1.04</v>
      </c>
      <c r="D54">
        <v>10.33</v>
      </c>
      <c r="E54">
        <v>1.36</v>
      </c>
      <c r="F54">
        <v>1.36</v>
      </c>
      <c r="G54">
        <v>-1.41</v>
      </c>
      <c r="H54">
        <v>19.559999999999999</v>
      </c>
    </row>
    <row r="55" spans="1:8" x14ac:dyDescent="0.2">
      <c r="A55" t="s">
        <v>119</v>
      </c>
      <c r="B55">
        <v>31.09</v>
      </c>
      <c r="C55">
        <v>1.1200000000000001</v>
      </c>
      <c r="D55">
        <v>11.06</v>
      </c>
      <c r="E55">
        <v>1.28</v>
      </c>
      <c r="F55">
        <v>0.84</v>
      </c>
      <c r="G55">
        <v>-1.17</v>
      </c>
      <c r="H55">
        <v>17.97</v>
      </c>
    </row>
    <row r="56" spans="1:8" x14ac:dyDescent="0.2">
      <c r="A56" t="s">
        <v>120</v>
      </c>
      <c r="B56">
        <v>31.35</v>
      </c>
      <c r="C56">
        <v>1.1200000000000001</v>
      </c>
      <c r="D56">
        <v>10.65</v>
      </c>
      <c r="E56">
        <v>1.4</v>
      </c>
      <c r="F56">
        <v>0.87</v>
      </c>
      <c r="G56">
        <v>-0.79</v>
      </c>
      <c r="H56">
        <v>18.11</v>
      </c>
    </row>
    <row r="57" spans="1:8" x14ac:dyDescent="0.2">
      <c r="A57" t="s">
        <v>121</v>
      </c>
      <c r="B57">
        <v>32.07</v>
      </c>
      <c r="C57">
        <v>1.39</v>
      </c>
      <c r="D57">
        <v>10.34</v>
      </c>
      <c r="E57">
        <v>1.39</v>
      </c>
      <c r="F57">
        <v>0.88</v>
      </c>
      <c r="G57">
        <v>-1.22</v>
      </c>
      <c r="H57">
        <v>19.29</v>
      </c>
    </row>
    <row r="58" spans="1:8" x14ac:dyDescent="0.2">
      <c r="A58" t="s">
        <v>122</v>
      </c>
      <c r="B58">
        <v>31.75</v>
      </c>
      <c r="C58">
        <v>1.33</v>
      </c>
      <c r="D58">
        <v>9.58</v>
      </c>
      <c r="E58">
        <v>0.94</v>
      </c>
      <c r="F58">
        <v>0.93</v>
      </c>
      <c r="G58">
        <v>-1.37</v>
      </c>
      <c r="H58">
        <v>20.34</v>
      </c>
    </row>
    <row r="59" spans="1:8" x14ac:dyDescent="0.2">
      <c r="A59" t="s">
        <v>123</v>
      </c>
      <c r="B59">
        <v>29.55</v>
      </c>
      <c r="C59">
        <v>1.45</v>
      </c>
      <c r="D59">
        <v>9.15</v>
      </c>
      <c r="E59">
        <v>1.56</v>
      </c>
      <c r="F59">
        <v>1.05</v>
      </c>
      <c r="G59">
        <v>-2.79</v>
      </c>
      <c r="H59">
        <v>19.13</v>
      </c>
    </row>
    <row r="60" spans="1:8" x14ac:dyDescent="0.2">
      <c r="A60" t="s">
        <v>8</v>
      </c>
      <c r="B60">
        <v>29.15</v>
      </c>
      <c r="C60">
        <v>1.18</v>
      </c>
      <c r="D60">
        <v>9.34</v>
      </c>
      <c r="E60">
        <v>1.41</v>
      </c>
      <c r="F60">
        <v>1.18</v>
      </c>
      <c r="G60">
        <v>-6.66</v>
      </c>
      <c r="H60">
        <v>22.69</v>
      </c>
    </row>
    <row r="61" spans="1:8" x14ac:dyDescent="0.2">
      <c r="A61" t="s">
        <v>9</v>
      </c>
      <c r="B61">
        <v>31.2</v>
      </c>
      <c r="C61">
        <v>1.32</v>
      </c>
      <c r="D61">
        <v>10.26</v>
      </c>
      <c r="E61">
        <v>1.52</v>
      </c>
      <c r="F61">
        <v>0.98</v>
      </c>
      <c r="G61">
        <v>-2.98</v>
      </c>
      <c r="H61">
        <v>20.100000000000001</v>
      </c>
    </row>
    <row r="62" spans="1:8" x14ac:dyDescent="0.2">
      <c r="A62" t="s">
        <v>11</v>
      </c>
      <c r="B62">
        <v>30.66</v>
      </c>
      <c r="C62">
        <v>1.23</v>
      </c>
      <c r="D62">
        <v>9.83</v>
      </c>
      <c r="E62">
        <v>1.73</v>
      </c>
      <c r="F62">
        <v>1.1399999999999999</v>
      </c>
      <c r="G62">
        <v>-1.91</v>
      </c>
      <c r="H62">
        <v>18.63</v>
      </c>
    </row>
    <row r="63" spans="1:8" x14ac:dyDescent="0.2">
      <c r="A63" t="s">
        <v>1270</v>
      </c>
      <c r="B63">
        <v>30.74</v>
      </c>
      <c r="C63">
        <v>1.51</v>
      </c>
      <c r="D63">
        <v>9.5399999999999991</v>
      </c>
      <c r="E63">
        <v>1.39</v>
      </c>
      <c r="F63">
        <v>1.1100000000000001</v>
      </c>
      <c r="G63">
        <v>-0.95</v>
      </c>
      <c r="H63">
        <v>18.13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P25"/>
  <sheetViews>
    <sheetView topLeftCell="A16" workbookViewId="0">
      <selection activeCell="C8" sqref="C8"/>
    </sheetView>
  </sheetViews>
  <sheetFormatPr baseColWidth="10" defaultRowHeight="16" x14ac:dyDescent="0.2"/>
  <cols>
    <col min="1" max="1" width="70.5" bestFit="1" customWidth="1"/>
    <col min="2" max="7" width="13.1640625" bestFit="1" customWidth="1"/>
    <col min="8" max="8" width="17.5" bestFit="1" customWidth="1"/>
    <col min="9" max="10" width="13.1640625" bestFit="1" customWidth="1"/>
    <col min="11" max="11" width="13.83203125" bestFit="1" customWidth="1"/>
    <col min="12" max="15" width="13.1640625" bestFit="1" customWidth="1"/>
    <col min="16" max="16" width="13.1640625" style="48" bestFit="1" customWidth="1"/>
  </cols>
  <sheetData>
    <row r="1" spans="1:16" x14ac:dyDescent="0.2">
      <c r="A1" t="s">
        <v>248</v>
      </c>
      <c r="H1" t="s">
        <v>1427</v>
      </c>
      <c r="I1">
        <f>300*10^6</f>
        <v>300000000</v>
      </c>
    </row>
    <row r="2" spans="1:16" x14ac:dyDescent="0.2">
      <c r="A2" t="s">
        <v>225</v>
      </c>
    </row>
    <row r="3" spans="1:16" x14ac:dyDescent="0.2">
      <c r="B3" t="s">
        <v>115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  <c r="L3" t="s">
        <v>197</v>
      </c>
      <c r="M3" t="s">
        <v>1204</v>
      </c>
      <c r="N3" t="s">
        <v>1426</v>
      </c>
    </row>
    <row r="4" spans="1:16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  <c r="L4" s="7">
        <v>76480905.200000003</v>
      </c>
      <c r="M4" s="7">
        <v>87715732</v>
      </c>
      <c r="N4" s="7">
        <v>94681153.900000006</v>
      </c>
      <c r="P4" s="48">
        <f>N4/$I$1</f>
        <v>0.31560384633333333</v>
      </c>
    </row>
    <row r="5" spans="1:16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  <c r="L5" s="7">
        <v>2849880.1</v>
      </c>
      <c r="M5" s="7">
        <v>5275249</v>
      </c>
      <c r="N5" s="7">
        <v>2089294.8</v>
      </c>
      <c r="P5" s="48">
        <f t="shared" ref="P5:P23" si="0">N5/$I$1</f>
        <v>6.9643159999999999E-3</v>
      </c>
    </row>
    <row r="6" spans="1:16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  <c r="L6" s="7">
        <v>73631025.099999994</v>
      </c>
      <c r="M6" s="7">
        <v>82440483</v>
      </c>
      <c r="N6" s="7">
        <v>92591859</v>
      </c>
      <c r="P6" s="48">
        <f t="shared" si="0"/>
        <v>0.30863953</v>
      </c>
    </row>
    <row r="7" spans="1:16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  <c r="L7" s="7">
        <v>27331260.100000001</v>
      </c>
      <c r="M7" s="7">
        <v>29763748.5</v>
      </c>
      <c r="N7" s="7">
        <v>33289470.100000001</v>
      </c>
      <c r="P7" s="48">
        <f t="shared" si="0"/>
        <v>0.11096490033333334</v>
      </c>
    </row>
    <row r="8" spans="1:16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  <c r="L8" s="7">
        <v>3124074.4</v>
      </c>
      <c r="M8" s="7">
        <v>3318674.5</v>
      </c>
      <c r="N8" s="7">
        <v>4540134.2</v>
      </c>
      <c r="P8" s="48">
        <f t="shared" si="0"/>
        <v>1.5133780666666668E-2</v>
      </c>
    </row>
    <row r="9" spans="1:16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  <c r="L9" s="7">
        <v>579402</v>
      </c>
      <c r="M9" s="7">
        <v>674169.6</v>
      </c>
      <c r="N9" s="7">
        <v>775555.4</v>
      </c>
      <c r="P9" s="48">
        <f t="shared" si="0"/>
        <v>2.5851846666666667E-3</v>
      </c>
    </row>
    <row r="10" spans="1:16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  <c r="L10" s="7">
        <v>2544672.4</v>
      </c>
      <c r="M10" s="7">
        <v>2644504.9</v>
      </c>
      <c r="N10" s="7">
        <v>3764578.8</v>
      </c>
      <c r="P10" s="48">
        <f t="shared" si="0"/>
        <v>1.2548595999999999E-2</v>
      </c>
    </row>
    <row r="11" spans="1:16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  <c r="L11" s="7">
        <v>24207185.699999999</v>
      </c>
      <c r="M11" s="7">
        <v>26445074</v>
      </c>
      <c r="N11" s="7">
        <v>28749336</v>
      </c>
      <c r="P11" s="48">
        <f t="shared" si="0"/>
        <v>9.5831120000000006E-2</v>
      </c>
    </row>
    <row r="12" spans="1:16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  <c r="L12" s="7">
        <v>5910022.2000000002</v>
      </c>
      <c r="M12" s="7">
        <v>7698213.4000000004</v>
      </c>
      <c r="N12" s="7">
        <v>7549132</v>
      </c>
      <c r="P12" s="48">
        <f t="shared" si="0"/>
        <v>2.5163773333333334E-2</v>
      </c>
    </row>
    <row r="13" spans="1:16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  <c r="L13" s="7">
        <v>3595675.6</v>
      </c>
      <c r="M13" s="7">
        <v>4642213.8</v>
      </c>
      <c r="N13" s="7">
        <v>4193976.4</v>
      </c>
      <c r="P13" s="48">
        <f t="shared" si="0"/>
        <v>1.3979921333333332E-2</v>
      </c>
    </row>
    <row r="14" spans="1:16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  <c r="L14" s="7">
        <v>65716</v>
      </c>
      <c r="M14" s="7">
        <v>67231.100000000006</v>
      </c>
      <c r="N14" s="7">
        <v>70740.2</v>
      </c>
      <c r="P14" s="48">
        <f t="shared" si="0"/>
        <v>2.3580066666666665E-4</v>
      </c>
    </row>
    <row r="15" spans="1:16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  <c r="L15" s="7">
        <v>3529959.6</v>
      </c>
      <c r="M15" s="7">
        <v>4574982.7</v>
      </c>
      <c r="N15" s="7">
        <v>4123236.2</v>
      </c>
      <c r="P15" s="48">
        <f t="shared" si="0"/>
        <v>1.3744120666666667E-2</v>
      </c>
    </row>
    <row r="16" spans="1:16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  <c r="L16" s="7">
        <v>2314346.6</v>
      </c>
      <c r="M16" s="7">
        <v>3055999.6</v>
      </c>
      <c r="N16" s="7">
        <v>3355155.6</v>
      </c>
      <c r="P16" s="48">
        <f t="shared" si="0"/>
        <v>1.1183852000000001E-2</v>
      </c>
    </row>
    <row r="17" spans="1:16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  <c r="L17" s="7">
        <v>-7033589.9000000004</v>
      </c>
      <c r="M17" s="7">
        <v>-5126224.2</v>
      </c>
      <c r="N17" s="7">
        <v>-2859337.9</v>
      </c>
      <c r="P17" s="48">
        <f t="shared" si="0"/>
        <v>-9.5311263333333323E-3</v>
      </c>
    </row>
    <row r="18" spans="1:16" x14ac:dyDescent="0.2">
      <c r="A18" s="21" t="s">
        <v>257</v>
      </c>
      <c r="B18" s="47">
        <v>20655660</v>
      </c>
      <c r="C18" s="47">
        <v>22352800</v>
      </c>
      <c r="D18" s="47">
        <v>22853010</v>
      </c>
      <c r="E18" s="47">
        <v>24391040</v>
      </c>
      <c r="F18" s="47">
        <v>24749130</v>
      </c>
      <c r="G18" s="47">
        <v>27871340</v>
      </c>
      <c r="H18" s="47">
        <v>32965960</v>
      </c>
      <c r="I18" s="47">
        <v>38445820</v>
      </c>
      <c r="J18" s="47">
        <v>39291480</v>
      </c>
      <c r="K18" s="47">
        <v>43905840</v>
      </c>
      <c r="L18" s="47">
        <v>47423332.700000003</v>
      </c>
      <c r="M18" s="47">
        <v>50104750</v>
      </c>
      <c r="N18" s="47">
        <v>54612590</v>
      </c>
      <c r="P18" s="48">
        <f t="shared" si="0"/>
        <v>0.18204196666666667</v>
      </c>
    </row>
    <row r="19" spans="1:16" x14ac:dyDescent="0.2">
      <c r="A19" s="21" t="s">
        <v>266</v>
      </c>
      <c r="B19" s="47">
        <v>6426090</v>
      </c>
      <c r="C19" s="47">
        <v>7336160</v>
      </c>
      <c r="D19" s="47">
        <v>8320910</v>
      </c>
      <c r="E19" s="47">
        <v>8804160</v>
      </c>
      <c r="F19" s="47">
        <v>11108450</v>
      </c>
      <c r="G19" s="47">
        <v>11460290</v>
      </c>
      <c r="H19" s="47">
        <v>13057050</v>
      </c>
      <c r="I19" s="47">
        <v>14924450</v>
      </c>
      <c r="J19" s="47">
        <v>16124680</v>
      </c>
      <c r="K19" s="47">
        <v>23037080</v>
      </c>
      <c r="L19" s="47">
        <v>17127035.699999999</v>
      </c>
      <c r="M19" s="47">
        <v>13311200</v>
      </c>
      <c r="N19" s="47">
        <v>15516410</v>
      </c>
      <c r="P19" s="48">
        <f t="shared" si="0"/>
        <v>5.1721366666666664E-2</v>
      </c>
    </row>
    <row r="20" spans="1:16" x14ac:dyDescent="0.2">
      <c r="A20" s="21" t="s">
        <v>258</v>
      </c>
      <c r="B20" s="47">
        <v>9327290</v>
      </c>
      <c r="C20" s="47">
        <v>10640410</v>
      </c>
      <c r="D20" s="47">
        <v>11907700</v>
      </c>
      <c r="E20" s="47">
        <v>12572470</v>
      </c>
      <c r="F20" s="47">
        <v>14962320</v>
      </c>
      <c r="G20" s="47">
        <v>16146770</v>
      </c>
      <c r="H20" s="47">
        <v>20564050</v>
      </c>
      <c r="I20" s="47">
        <v>22636900</v>
      </c>
      <c r="J20" s="47">
        <v>23990870</v>
      </c>
      <c r="K20" s="47">
        <v>31089970</v>
      </c>
      <c r="L20" s="47">
        <v>26119738.100000001</v>
      </c>
      <c r="M20" s="47">
        <v>29276040</v>
      </c>
      <c r="N20" s="47">
        <v>34306400</v>
      </c>
      <c r="P20" s="48">
        <f t="shared" si="0"/>
        <v>0.11435466666666666</v>
      </c>
    </row>
    <row r="21" spans="1:16" x14ac:dyDescent="0.2">
      <c r="A21" s="21" t="s">
        <v>259</v>
      </c>
      <c r="B21" s="47">
        <v>2901200</v>
      </c>
      <c r="C21" s="47">
        <v>3304250</v>
      </c>
      <c r="D21" s="47">
        <v>3586790</v>
      </c>
      <c r="E21" s="47">
        <v>3768320</v>
      </c>
      <c r="F21" s="47">
        <v>3853880</v>
      </c>
      <c r="G21" s="47">
        <v>4686480</v>
      </c>
      <c r="H21" s="47">
        <v>7507000</v>
      </c>
      <c r="I21" s="47">
        <v>7712450</v>
      </c>
      <c r="J21" s="47">
        <v>7866190</v>
      </c>
      <c r="K21" s="47">
        <v>8052890</v>
      </c>
      <c r="L21" s="47">
        <v>8992702.4000000004</v>
      </c>
      <c r="M21" s="47">
        <v>15964850</v>
      </c>
      <c r="N21" s="47">
        <v>18789990</v>
      </c>
      <c r="P21" s="48">
        <f t="shared" si="0"/>
        <v>6.2633300000000003E-2</v>
      </c>
    </row>
    <row r="22" spans="1:16" x14ac:dyDescent="0.2">
      <c r="A22" s="21" t="s">
        <v>260</v>
      </c>
      <c r="B22" s="47">
        <v>13893220</v>
      </c>
      <c r="C22" s="47">
        <v>14650130</v>
      </c>
      <c r="D22" s="47">
        <v>14164280</v>
      </c>
      <c r="E22" s="47">
        <v>15131270</v>
      </c>
      <c r="F22" s="47">
        <v>13175990</v>
      </c>
      <c r="G22" s="47">
        <v>15945730</v>
      </c>
      <c r="H22" s="47">
        <v>19442260</v>
      </c>
      <c r="I22" s="47">
        <v>23094630</v>
      </c>
      <c r="J22" s="47">
        <v>22735440</v>
      </c>
      <c r="K22" s="47">
        <v>20484320</v>
      </c>
      <c r="L22" s="47">
        <v>29683023.899999999</v>
      </c>
      <c r="M22" s="47">
        <v>36148510</v>
      </c>
      <c r="N22" s="47">
        <v>38445150</v>
      </c>
      <c r="P22" s="48">
        <f t="shared" si="0"/>
        <v>0.1281505</v>
      </c>
    </row>
    <row r="23" spans="1:16" x14ac:dyDescent="0.2">
      <c r="A23" s="21" t="s">
        <v>261</v>
      </c>
      <c r="B23" s="47">
        <v>336350</v>
      </c>
      <c r="C23" s="47">
        <v>366500</v>
      </c>
      <c r="D23" s="47">
        <v>367820</v>
      </c>
      <c r="E23" s="47">
        <v>455620</v>
      </c>
      <c r="F23" s="47">
        <v>464690</v>
      </c>
      <c r="G23" s="47">
        <v>465320</v>
      </c>
      <c r="H23" s="47">
        <v>466650</v>
      </c>
      <c r="I23" s="47">
        <v>426730</v>
      </c>
      <c r="J23" s="47">
        <v>431360</v>
      </c>
      <c r="K23" s="47">
        <v>384440</v>
      </c>
      <c r="L23" s="47">
        <v>613273.1</v>
      </c>
      <c r="M23" s="47">
        <v>645040</v>
      </c>
      <c r="N23" s="47">
        <v>651040</v>
      </c>
      <c r="P23" s="48">
        <f t="shared" si="0"/>
        <v>2.1701333333333335E-3</v>
      </c>
    </row>
    <row r="25" spans="1:16" x14ac:dyDescent="0.2">
      <c r="N25" s="7">
        <f>N20-N21</f>
        <v>15516410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workbookViewId="0">
      <selection activeCell="D3" sqref="D3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148" workbookViewId="0">
      <selection activeCell="C1" sqref="C1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G1" sqref="G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50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50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50"/>
      <c r="B3" s="49" t="s">
        <v>133</v>
      </c>
      <c r="C3" s="51">
        <f>SUM(E3:E5)</f>
        <v>55237236.5</v>
      </c>
      <c r="D3" s="8" t="s">
        <v>124</v>
      </c>
      <c r="E3" s="7">
        <v>52640733.700000003</v>
      </c>
    </row>
    <row r="4" spans="1:5" x14ac:dyDescent="0.2">
      <c r="A4" s="50"/>
      <c r="B4" s="49"/>
      <c r="C4" s="51"/>
      <c r="D4" s="8" t="s">
        <v>125</v>
      </c>
      <c r="E4" s="7">
        <v>-117639.5</v>
      </c>
    </row>
    <row r="5" spans="1:5" x14ac:dyDescent="0.2">
      <c r="A5" s="50"/>
      <c r="B5" s="49"/>
      <c r="C5" s="51"/>
      <c r="D5" s="8" t="s">
        <v>126</v>
      </c>
      <c r="E5" s="7">
        <v>2714142.3</v>
      </c>
    </row>
    <row r="6" spans="1:5" x14ac:dyDescent="0.2">
      <c r="A6" s="50"/>
      <c r="B6" s="49" t="s">
        <v>134</v>
      </c>
      <c r="C6" s="52">
        <f>SUM(E6:E9)</f>
        <v>-767400</v>
      </c>
      <c r="D6" s="8" t="s">
        <v>127</v>
      </c>
      <c r="E6" s="7">
        <v>21762970</v>
      </c>
    </row>
    <row r="7" spans="1:5" x14ac:dyDescent="0.2">
      <c r="A7" s="50"/>
      <c r="B7" s="49"/>
      <c r="C7" s="53"/>
      <c r="D7" s="8" t="s">
        <v>128</v>
      </c>
      <c r="E7" s="7">
        <v>15282360</v>
      </c>
    </row>
    <row r="8" spans="1:5" x14ac:dyDescent="0.2">
      <c r="A8" s="50"/>
      <c r="B8" s="49"/>
      <c r="C8" s="53"/>
      <c r="D8" s="8" t="s">
        <v>129</v>
      </c>
      <c r="E8" s="7">
        <v>-29099370</v>
      </c>
    </row>
    <row r="9" spans="1:5" x14ac:dyDescent="0.2">
      <c r="A9" s="50"/>
      <c r="B9" s="49"/>
      <c r="C9" s="54"/>
      <c r="D9" s="8" t="s">
        <v>130</v>
      </c>
      <c r="E9" s="7">
        <v>-8713360</v>
      </c>
    </row>
    <row r="10" spans="1:5" x14ac:dyDescent="0.2">
      <c r="A10" s="50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5" t="s">
        <v>0</v>
      </c>
      <c r="B1" s="55"/>
      <c r="C1" s="55"/>
      <c r="D1" s="55"/>
      <c r="E1" s="55"/>
      <c r="F1" s="55"/>
      <c r="G1" s="55"/>
      <c r="H1" s="55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5" t="s">
        <v>15</v>
      </c>
      <c r="B1" s="55"/>
      <c r="C1" s="55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RBI-Policy-Rates</vt:lpstr>
      <vt:lpstr>Savings-PercentGDP</vt:lpstr>
      <vt:lpstr>Savings-Rates-India</vt:lpstr>
      <vt:lpstr>Savings-Rates-Institutions</vt:lpstr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2025-11-17T07:40:53Z</dcterms:modified>
</cp:coreProperties>
</file>