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+xml"/>
  <Override PartName="/xl/charts/chart26.xml" ContentType="application/vnd.openxmlformats-officedocument.drawingml.chart+xml"/>
  <Override PartName="/xl/drawings/drawing21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3.xml" ContentType="application/vnd.openxmlformats-officedocument.drawing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4.xml" ContentType="application/vnd.openxmlformats-officedocument.drawing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48" documentId="8_{28FFCAC0-0054-E748-A16F-43803246E076}" xr6:coauthVersionLast="47" xr6:coauthVersionMax="47" xr10:uidLastSave="{0C5DDC0F-21A0-A043-8476-B83348D5FDB6}"/>
  <bookViews>
    <workbookView xWindow="0" yWindow="680" windowWidth="29400" windowHeight="16220" activeTab="1" xr2:uid="{76B7034E-9A87-8443-BB0E-07AC5642BFDE}"/>
  </bookViews>
  <sheets>
    <sheet name="GCF-Financing" sheetId="8" r:id="rId1"/>
    <sheet name="RBI-Rates" sheetId="48" r:id="rId2"/>
    <sheet name="WPI-Inflation" sheetId="47" r:id="rId3"/>
    <sheet name="CPI-Level" sheetId="46" r:id="rId4"/>
    <sheet name="CPI-Inflation" sheetId="45" r:id="rId5"/>
    <sheet name="REER-CPI" sheetId="43" r:id="rId6"/>
    <sheet name="Textile-Apparel-Imports" sheetId="42" r:id="rId7"/>
    <sheet name="Textile-Apparel-Exports" sheetId="41" r:id="rId8"/>
    <sheet name="Trade Balance" sheetId="40" r:id="rId9"/>
    <sheet name="WPI-Textiles" sheetId="39" r:id="rId10"/>
    <sheet name="Inflation-Clothing" sheetId="38" r:id="rId11"/>
    <sheet name="InstitutionalCredit-Industry" sheetId="37" r:id="rId12"/>
    <sheet name="GDP growth rate" sheetId="28" r:id="rId13"/>
    <sheet name="country-code" sheetId="30" r:id="rId14"/>
    <sheet name="GDP-Per Cap" sheetId="29" r:id="rId15"/>
    <sheet name="GDP-10-ConstUSD" sheetId="27" r:id="rId16"/>
    <sheet name="IIP" sheetId="16" r:id="rId17"/>
    <sheet name="ASI-Tex-Apparel" sheetId="35" r:id="rId18"/>
    <sheet name="IIP-Textiles-Apparel" sheetId="32" r:id="rId19"/>
    <sheet name="OBICUS-Order-Books" sheetId="34" r:id="rId20"/>
    <sheet name="OBICUS-Survey" sheetId="17" r:id="rId21"/>
    <sheet name="RCA - Textiles" sheetId="36" r:id="rId22"/>
    <sheet name="BOP-FinAcct" sheetId="25" r:id="rId23"/>
    <sheet name="Unemp-rate" sheetId="24" r:id="rId24"/>
    <sheet name="LFPR" sheetId="23" r:id="rId25"/>
    <sheet name="Corp-Gov-vs-Pvt" sheetId="20" r:id="rId26"/>
    <sheet name="Corporate-Pvt-Perf" sheetId="21" r:id="rId27"/>
    <sheet name="Corporate-Gov-Perf" sheetId="19" r:id="rId28"/>
    <sheet name="Corp-Fin-Perf" sheetId="18" r:id="rId29"/>
    <sheet name="CG-Tax-Rev" sheetId="15" r:id="rId30"/>
    <sheet name="CG-Deficit-Financing" sheetId="14" r:id="rId31"/>
    <sheet name="Power SourcesCoal_x000a__x000a_203,775_x000a__x000a_49." sheetId="31" r:id="rId32"/>
    <sheet name="C-GOVT-FINANCES" sheetId="13" r:id="rId33"/>
    <sheet name="House-Price-Index" sheetId="11" r:id="rId34"/>
    <sheet name="WPI" sheetId="10" r:id="rId35"/>
    <sheet name="GCF-Public &amp; Private" sheetId="7" r:id="rId36"/>
    <sheet name="GVA" sheetId="6" r:id="rId37"/>
    <sheet name="GDP-Nominal" sheetId="4" r:id="rId38"/>
    <sheet name="GDp-Components" sheetId="5" r:id="rId39"/>
    <sheet name="CPI" sheetId="2" r:id="rId40"/>
    <sheet name="GDP Projection" sheetId="3" r:id="rId41"/>
  </sheets>
  <definedNames>
    <definedName name="_xlnm._FilterDatabase" localSheetId="35" hidden="1">'GCF-Public &amp; Private'!$AC$1:$AC$34</definedName>
    <definedName name="_xlnm._FilterDatabase" localSheetId="36" hidden="1">GVA!$BK$1:$BK$29</definedName>
    <definedName name="_xlchart.v1.0" hidden="1">'GDp-Components'!$A$1:$D$10</definedName>
    <definedName name="_xlchart.v1.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<sst xmlns="http://schemas.openxmlformats.org/spreadsheetml/2006/main" count="4030" uniqueCount="1413">
  <si>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</si>
  <si>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</si>
  <si>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</si>
  <si>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</si>
  <si>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</si>
  <si>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</si>
  <si>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</si>
  <si>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</si>
  <si>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</si>
  <si>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</si>
  <si>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</si>
  <si>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</si>
  <si>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</si>
  <si>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</si>
  <si>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</si>
  <si>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</si>
  <si>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</si>
  <si>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</si>
  <si>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</si>
  <si>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</si>
  <si>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</si>
  <si>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</si>
  <si>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</si>
  <si>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</si>
  <si>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</si>
  <si>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</si>
  <si>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</si>
  <si>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</si>
  <si>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</si>
  <si>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</si>
  <si>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</si>
  <si>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</si>
  <si>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</si>
  <si>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</si>
  <si>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</si>
  <si>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</si>
  <si>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</si>
  <si>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</si>
  <si>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</si>
  <si>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</si>
  <si>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</si>
  <si>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</si>
  <si>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</si>
  <si>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</si>
  <si>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</si>
  <si>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</si>
  <si>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</si>
  <si>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</si>
  <si>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</si>
  <si>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</si>
  <si>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</si>
  <si>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</si>
  <si>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</si>
  <si>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</si>
  <si>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</si>
  <si>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</si>
  <si>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</si>
  <si>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</si>
  <si>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</si>
  <si>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</si>
  <si>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</si>
  <si>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</si>
  <si>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</si>
  <si>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</si>
  <si>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</si>
  <si>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</si>
  <si>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</si>
  <si>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</si>
  <si>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</si>
  <si>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</si>
  <si>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</si>
  <si>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</si>
  <si>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</si>
  <si>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</si>
  <si>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</si>
  <si>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</si>
  <si>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</si>
  <si>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</si>
  <si>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</si>
  <si>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</si>
  <si>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</si>
  <si>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</si>
  <si>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</si>
  <si>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</si>
  <si>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</si>
  <si>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</si>
  <si>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</si>
  <si>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</si>
  <si>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</si>
  <si>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</si>
  <si>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</si>
  <si>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</si>
  <si>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</si>
  <si>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</si>
  <si>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</si>
  <si>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</si>
  <si>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</si>
  <si>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</si>
  <si>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</si>
  <si>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</si>
  <si>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</si>
  <si>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</si>
  <si>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</si>
  <si>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</si>
  <si>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</si>
  <si>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</si>
  <si>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</si>
  <si>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</si>
  <si>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</si>
  <si>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</si>
  <si>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</si>
  <si>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</si>
  <si>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</si>
  <si>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</si>
  <si>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</si>
  <si>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</si>
  <si>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</si>
  <si>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</si>
  <si>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</si>
  <si>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</si>
  <si>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</si>
  <si>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</si>
  <si>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</si>
  <si>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</si>
  <si>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</si>
  <si>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</si>
  <si>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</si>
  <si>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</si>
  <si>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</si>
  <si>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</si>
  <si>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</si>
  <si>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</si>
  <si>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</si>
  <si>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</si>
  <si>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</si>
  <si>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</si>
  <si>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</si>
  <si>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</si>
  <si>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</si>
  <si>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</si>
  <si>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</si>
  <si>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</si>
  <si>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</si>
  <si>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</si>
  <si>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</si>
  <si>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</si>
  <si>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</si>
  <si>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</si>
  <si>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</si>
  <si>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</si>
  <si>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</si>
  <si>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</si>
  <si>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</si>
  <si>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</si>
  <si>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</si>
  <si>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</si>
  <si>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</si>
  <si>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</si>
  <si>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</si>
  <si>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</si>
  <si>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</si>
  <si>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</si>
  <si>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</si>
  <si>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</si>
  <si>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</si>
  <si>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</si>
  <si>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</si>
  <si>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</si>
  <si>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</si>
  <si>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</si>
  <si>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</si>
  <si>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</si>
  <si>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</si>
  <si>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</si>
  <si>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</si>
  <si>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</si>
  <si>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</si>
  <si>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</si>
  <si>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</si>
  <si>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</si>
  <si>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</si>
  <si>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</si>
  <si>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</si>
  <si>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</si>
  <si>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</si>
  <si>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</si>
  <si>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</si>
  <si>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</si>
  <si>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</si>
  <si>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</si>
  <si>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</si>
  <si>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</si>
  <si>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</si>
  <si>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</si>
  <si>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</si>
  <si>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</si>
  <si>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</si>
  <si>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</si>
  <si>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</si>
  <si>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</si>
  <si>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</si>
  <si>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</si>
  <si>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</si>
  <si>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</si>
  <si>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</si>
  <si>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</si>
  <si>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</si>
  <si>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</si>
  <si>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</si>
  <si>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</si>
  <si>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</si>
  <si>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</si>
  <si>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</si>
  <si>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</si>
  <si>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</si>
  <si>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</si>
  <si>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</si>
  <si>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</si>
  <si>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</si>
  <si>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</si>
  <si>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</si>
  <si>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</si>
  <si>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</si>
  <si>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</si>
  <si>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</si>
  <si>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</si>
  <si>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</si>
  <si>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</si>
  <si>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</si>
  <si>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</si>
  <si>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</si>
  <si>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</si>
  <si>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</si>
  <si>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</si>
  <si>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</si>
  <si>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</si>
  <si>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</si>
  <si>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</si>
  <si>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</si>
  <si>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</si>
  <si>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</si>
  <si>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</si>
  <si>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</si>
  <si>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</si>
  <si>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</si>
  <si>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</si>
  <si>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</si>
  <si>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</si>
  <si>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</si>
  <si>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</si>
  <si>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</si>
  <si>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</si>
  <si>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</si>
  <si>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</si>
  <si>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</si>
  <si>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</si>
  <si>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</si>
  <si>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</si>
  <si>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</si>
  <si>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</si>
  <si>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</si>
  <si>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</si>
  <si>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</si>
  <si>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</si>
  <si>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</si>
  <si>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</si>
  <si>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</si>
  <si>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</si>
  <si>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</si>
  <si>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</si>
  <si>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</si>
  <si>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</si>
  <si>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</si>
  <si>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</si>
  <si>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</si>
  <si>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</si>
  <si>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</si>
  <si>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</si>
  <si>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</si>
  <si>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</si>
  <si>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</si>
  <si>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</si>
  <si>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</si>
  <si>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</si>
  <si>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</si>
  <si>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</si>
  <si>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</si>
  <si>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</si>
  <si>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</si>
  <si>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</si>
  <si>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</si>
  <si>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</si>
  <si>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</si>
  <si>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</si>
  <si>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</si>
  <si>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</si>
  <si>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</si>
  <si>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</si>
  <si>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</si>
  <si>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</si>
  <si>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</si>
  <si>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</si>
  <si>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</si>
  <si>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</si>
  <si>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</si>
  <si>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</si>
  <si>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</si>
  <si>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</si>
  <si>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</si>
  <si>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</si>
  <si>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</si>
  <si>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</si>
  <si>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</si>
  <si>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</si>
  <si>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</si>
  <si>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</si>
  <si>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</si>
  <si>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</si>
  <si>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</si>
  <si>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</si>
  <si>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</si>
  <si>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</si>
  <si>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</si>
  <si>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</si>
  <si>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</si>
  <si>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</si>
  <si>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</si>
  <si>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</si>
  <si>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</si>
  <si>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</si>
  <si>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</si>
  <si>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</si>
  <si>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</si>
  <si>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</si>
  <si>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</si>
  <si>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</si>
  <si>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</si>
  <si>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</si>
  <si>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</si>
  <si>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</si>
  <si>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</si>
  <si>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</si>
  <si>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</si>
  <si>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</si>
  <si>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</si>
  <si>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</si>
  <si>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</si>
  <si>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</si>
  <si>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</si>
  <si>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</si>
  <si>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</si>
  <si>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</si>
  <si>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</si>
  <si>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</si>
  <si>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</si>
  <si>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</si>
  <si>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</si>
  <si>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</si>
  <si>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</si>
  <si>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</si>
  <si>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</si>
  <si>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</si>
  <si>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</si>
  <si>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</si>
  <si>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</si>
  <si>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</si>
  <si>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</si>
  <si>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</si>
  <si>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</si>
  <si>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</si>
  <si>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</si>
  <si>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</si>
  <si>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</si>
  <si>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</si>
  <si>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</si>
  <si>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</si>
  <si>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</si>
  <si>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</si>
  <si>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</si>
  <si>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</si>
  <si>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</si>
  <si>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</si>
  <si>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</si>
  <si>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</si>
  <si>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</si>
  <si>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</si>
  <si>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</si>
  <si>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</si>
  <si>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</si>
  <si>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</si>
  <si>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</si>
  <si>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</si>
  <si>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</si>
  <si>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</si>
  <si>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</si>
  <si>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</si>
  <si>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</si>
  <si>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</si>
  <si>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</si>
  <si>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</si>
  <si>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</si>
  <si>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</si>
  <si>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</si>
  <si>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</si>
  <si>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</si>
  <si>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</si>
  <si>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</si>
  <si>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</si>
  <si>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</si>
  <si>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</si>
  <si>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</si>
  <si>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</si>
  <si>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</si>
  <si>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</si>
  <si>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</si>
  <si>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</si>
  <si>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</si>
  <si>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</si>
  <si>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</si>
  <si>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</si>
  <si>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</si>
  <si>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</si>
  <si>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</si>
  <si>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</si>
  <si>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</si>
  <si>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</si>
  <si>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</si>
  <si>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</si>
  <si>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</si>
  <si>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</si>
  <si>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</si>
  <si>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</si>
  <si>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</si>
  <si>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</si>
  <si>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</si>
  <si>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</si>
  <si>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</si>
  <si>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</si>
  <si>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</si>
  <si>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</si>
  <si>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</si>
  <si>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</si>
  <si>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</si>
  <si>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</si>
  <si>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</si>
  <si>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</si>
  <si>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</si>
  <si>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</si>
  <si>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</si>
  <si>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</si>
  <si>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</si>
  <si>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</si>
  <si>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</si>
  <si>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</si>
  <si>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</si>
  <si>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</si>
  <si>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</si>
  <si>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</si>
  <si>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</si>
  <si>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</si>
  <si>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</si>
  <si>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</si>
  <si>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</si>
  <si>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</si>
  <si>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</si>
  <si>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</si>
  <si>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</si>
  <si>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</si>
  <si>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</si>
  <si>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</si>
  <si>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</si>
  <si>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</si>
  <si>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</si>
  <si>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</si>
  <si>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</si>
  <si>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</si>
  <si>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</si>
  <si>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</si>
  <si>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</si>
  <si>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</si>
  <si>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</si>
  <si>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</si>
  <si>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</si>
  <si>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</si>
  <si>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</si>
  <si>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</si>
  <si>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</si>
  <si>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</si>
  <si>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</si>
  <si>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</si>
  <si>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</si>
  <si>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</si>
  <si>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</si>
  <si>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</si>
  <si>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</si>
  <si>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</si>
  <si>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</si>
  <si>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</si>
  <si>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</si>
  <si>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</si>
  <si>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</si>
  <si>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</si>
  <si>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</si>
  <si>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</si>
  <si>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</si>
  <si>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</si>
  <si>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</si>
  <si>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</si>
  <si>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</si>
  <si>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</si>
  <si>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</si>
  <si>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</si>
  <si>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</si>
  <si>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</si>
  <si>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</si>
  <si>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</si>
  <si>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</si>
  <si>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</si>
  <si>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</si>
  <si>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</si>
  <si>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</si>
  <si>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</si>
  <si>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</si>
  <si>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</si>
  <si>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</si>
  <si>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</si>
  <si>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</si>
  <si>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</si>
  <si>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</si>
  <si>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</si>
  <si>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</si>
  <si>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</si>
  <si>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</si>
  <si>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</si>
  <si>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</si>
  <si>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</si>
  <si>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</si>
  <si>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</si>
  <si>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</si>
  <si>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</si>
  <si>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</si>
  <si>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</si>
  <si>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</si>
  <si>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</si>
  <si>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</si>
  <si>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</si>
  <si>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</si>
  <si>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</si>
  <si>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</si>
  <si>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</si>
  <si>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</si>
  <si>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</si>
  <si>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</si>
  <si>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</si>
  <si>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</si>
  <si>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</si>
  <si>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</si>
  <si>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</si>
  <si>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</si>
  <si>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</si>
  <si>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</si>
  <si>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</si>
  <si>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</si>
  <si>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</si>
  <si>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</si>
  <si>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</si>
  <si>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</si>
  <si>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</si>
  <si>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</si>
  <si>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</si>
  <si>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</si>
  <si>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</si>
  <si>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</si>
  <si>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</si>
  <si>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</si>
  <si>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</si>
  <si>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</si>
  <si>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</si>
  <si>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</si>
  <si>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</si>
  <si>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</si>
  <si>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</si>
  <si>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</si>
  <si>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</si>
  <si>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</si>
  <si>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</si>
  <si>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</si>
  <si>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</si>
  <si>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</si>
  <si>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</si>
  <si>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</si>
  <si>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</si>
  <si>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</si>
  <si>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</si>
  <si>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</si>
  <si>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</si>
  <si>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</si>
  <si>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</si>
  <si>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</si>
  <si>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</si>
  <si>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</si>
  <si>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</si>
  <si>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</si>
  <si>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</si>
  <si>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</si>
  <si>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</si>
  <si>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</si>
  <si>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</si>
  <si>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</si>
  <si>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</si>
  <si>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</si>
  <si>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</si>
  <si>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</si>
  <si>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</si>
  <si>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</si>
  <si>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</si>
  <si>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</si>
  <si>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</si>
  <si>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</si>
  <si>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</si>
  <si>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</si>
  <si>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</si>
  <si>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</si>
  <si>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</si>
  <si>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</si>
  <si>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</si>
  <si>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</si>
  <si>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</si>
  <si>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</si>
  <si>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</si>
  <si>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</si>
  <si>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</si>
  <si>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</si>
  <si>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</si>
  <si>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</si>
  <si>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</si>
  <si>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</si>
  <si>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</si>
  <si>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</si>
  <si>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</si>
  <si>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</si>
  <si>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</si>
  <si>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</si>
  <si>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</si>
  <si>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</si>
  <si>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</si>
  <si>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</si>
  <si>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</si>
  <si>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</si>
  <si>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</si>
  <si>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</si>
  <si>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</si>
  <si>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</si>
  <si>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</si>
  <si>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</si>
  <si>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</si>
  <si>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</si>
  <si>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</si>
  <si>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</si>
  <si>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</si>
  <si>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</si>
  <si>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</si>
  <si>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</si>
  <si>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</si>
  <si>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</si>
  <si>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</si>
  <si>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</si>
  <si>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</si>
  <si>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</si>
  <si>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</si>
  <si>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</si>
  <si>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</si>
  <si>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</si>
  <si>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</si>
  <si>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</si>
  <si>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</si>
  <si>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</si>
  <si>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</si>
  <si>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</si>
  <si>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</si>
  <si>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</si>
  <si>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</si>
  <si>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</si>
  <si>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</si>
  <si>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</si>
  <si>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</si>
  <si>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</si>
  <si>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</si>
  <si>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</si>
  <si>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</si>
  <si>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</si>
  <si>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</si>
  <si>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</si>
  <si>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</si>
  <si>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</si>
  <si>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</si>
  <si>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</si>
  <si>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</si>
  <si>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</si>
  <si>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</si>
  <si>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</si>
  <si>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</si>
  <si>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</si>
  <si>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</si>
  <si>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</si>
  <si>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</si>
  <si>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</si>
  <si>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</si>
  <si>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</si>
  <si>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</si>
  <si>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</si>
  <si>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</si>
  <si>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</si>
  <si>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</si>
  <si>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</si>
  <si>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</si>
  <si>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</si>
  <si>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</si>
  <si>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</si>
  <si>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</si>
  <si>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</si>
  <si>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</si>
  <si>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</si>
  <si>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</si>
  <si>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</si>
  <si>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</si>
  <si>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</si>
  <si>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</si>
  <si>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</si>
  <si>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</si>
  <si>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</si>
  <si>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</si>
  <si>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</si>
  <si>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</si>
  <si>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</si>
  <si>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</si>
  <si>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</si>
  <si>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</si>
  <si>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</si>
  <si>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</si>
  <si>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</si>
  <si>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</si>
  <si>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</si>
  <si>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</si>
  <si>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</si>
  <si>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</si>
  <si>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</si>
  <si>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</si>
  <si>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</si>
  <si>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</si>
  <si>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</si>
  <si>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</si>
  <si>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</si>
  <si>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</si>
  <si>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</si>
  <si>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</si>
  <si>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</si>
  <si>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</si>
  <si>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</si>
  <si>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</si>
  <si>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</si>
  <si>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</si>
  <si>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</si>
  <si>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</si>
  <si>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</si>
  <si>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</si>
  <si>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</si>
  <si>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</si>
  <si>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</si>
  <si>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</si>
  <si>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</si>
  <si>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</si>
  <si>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</si>
  <si>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</si>
  <si>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</si>
  <si>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</si>
  <si>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</si>
  <si>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</si>
  <si>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</si>
  <si>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</si>
  <si>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</si>
  <si>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</si>
  <si>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</si>
  <si>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</si>
  <si>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</si>
  <si>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</si>
  <si>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</si>
  <si>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</si>
  <si>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</si>
  <si>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</si>
  <si>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</si>
  <si>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</si>
  <si>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</si>
  <si>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</si>
  <si>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</si>
  <si>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</si>
  <si>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</si>
  <si>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</si>
  <si>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</si>
  <si>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</si>
  <si>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</si>
  <si>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</si>
  <si>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</si>
  <si>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</si>
  <si>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</si>
  <si>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</si>
  <si>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</si>
  <si>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</si>
  <si>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</si>
  <si>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</si>
  <si>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</si>
  <si>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</si>
  <si>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</si>
  <si>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</si>
  <si>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</si>
  <si>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</si>
  <si>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</si>
  <si>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</si>
  <si>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</si>
  <si>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</si>
  <si>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</si>
  <si>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</si>
  <si>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</si>
  <si>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</si>
  <si>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</si>
  <si>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</si>
  <si>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</si>
  <si>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</si>
  <si>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</si>
  <si>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</si>
  <si>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</si>
  <si>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</si>
  <si>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</si>
  <si>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</si>
  <si>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</si>
  <si>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</si>
  <si>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</si>
  <si>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</si>
  <si>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</si>
  <si>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</si>
  <si>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</si>
  <si>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</si>
  <si>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</si>
  <si>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</si>
  <si>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</si>
  <si>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</si>
  <si>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</si>
  <si>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</si>
  <si>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</si>
  <si>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</si>
  <si>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</si>
  <si>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</si>
  <si>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</si>
  <si>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</si>
  <si>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</si>
  <si>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</si>
  <si>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</si>
  <si>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</si>
  <si>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</si>
  <si>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</si>
  <si>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</si>
  <si>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</si>
  <si>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</si>
  <si>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</si>
  <si>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</si>
  <si>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</si>
  <si>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</si>
  <si>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</si>
  <si>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</si>
  <si>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</si>
  <si>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</si>
  <si>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</si>
  <si>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</si>
  <si>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</si>
  <si>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</si>
  <si>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</si>
  <si>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</si>
  <si>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</si>
  <si>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</si>
  <si>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</si>
  <si>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</si>
  <si>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</si>
  <si>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</si>
  <si>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</si>
  <si>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</si>
  <si>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</si>
  <si>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</si>
  <si>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</si>
  <si>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</si>
  <si>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</si>
  <si>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</si>
  <si>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</si>
  <si>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</si>
  <si>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</si>
  <si>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</si>
  <si>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</si>
  <si>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</si>
  <si>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</si>
  <si>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</si>
  <si>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</si>
  <si>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</si>
  <si>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</si>
  <si>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</si>
  <si>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</si>
  <si>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</si>
  <si>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</si>
  <si>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</si>
  <si>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</si>
  <si>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</si>
  <si>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</si>
  <si>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</si>
  <si>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</si>
  <si>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</si>
  <si>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</si>
  <si>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</si>
  <si>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</si>
  <si>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</si>
  <si>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</si>
  <si>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</si>
  <si>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</si>
  <si>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</si>
  <si>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</si>
  <si>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</si>
  <si>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</si>
  <si>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</si>
  <si>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</si>
  <si>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</si>
  <si>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</si>
  <si>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</si>
  <si>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</si>
  <si>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</si>
  <si>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</si>
  <si>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</si>
  <si>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</si>
  <si>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</si>
  <si>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</si>
  <si>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</si>
  <si>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</si>
  <si>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</si>
  <si>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</si>
  <si>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</si>
  <si>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</si>
  <si>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</si>
  <si>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</si>
  <si>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</si>
  <si>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</si>
  <si>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</si>
  <si>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</si>
  <si>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</si>
  <si>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</si>
  <si>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</si>
  <si>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</si>
  <si>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</si>
  <si>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</si>
  <si>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</si>
  <si>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</si>
  <si>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</si>
  <si>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</si>
  <si>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</si>
  <si>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</si>
  <si>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</si>
  <si>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</si>
  <si>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</si>
  <si>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</si>
  <si>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</si>
  <si>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</si>
  <si>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</si>
  <si>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</si>
  <si>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</si>
  <si>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</si>
  <si>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</si>
  <si>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</si>
  <si>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</si>
  <si>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</si>
  <si>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</si>
  <si>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</si>
  <si>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</si>
  <si>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</si>
  <si>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</si>
  <si>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</si>
  <si>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</si>
  <si>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</si>
  <si>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</si>
  <si>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</si>
  <si>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</si>
  <si>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</si>
  <si>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</si>
  <si>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</si>
  <si>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</si>
  <si>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</si>
  <si>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</si>
  <si>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</si>
  <si>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</si>
  <si>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</si>
  <si>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</si>
  <si>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</si>
  <si>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</si>
  <si>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</si>
  <si>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</si>
  <si>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</si>
  <si>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</si>
  <si>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</si>
  <si>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</si>
  <si>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</si>
  <si>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</si>
  <si>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</si>
  <si>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</si>
  <si>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</si>
  <si>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</si>
  <si>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</si>
  <si>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</si>
  <si>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</si>
  <si>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</si>
  <si>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</si>
  <si>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</si>
  <si>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</si>
  <si>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</si>
  <si>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</si>
  <si>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</si>
  <si>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</si>
  <si>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</si>
  <si>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</si>
  <si>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</si>
  <si>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</si>
  <si>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</si>
  <si>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</si>
  <si>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</si>
  <si>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</si>
  <si>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</si>
  <si>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</si>
  <si>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</si>
  <si>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</si>
  <si>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</si>
  <si>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</si>
  <si>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</si>
  <si>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</si>
  <si>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</si>
  <si>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</si>
  <si>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</si>
  <si>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</si>
  <si>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</si>
  <si>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</si>
  <si>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</si>
  <si>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</si>
  <si>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</si>
  <si>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</si>
  <si>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</si>
  <si>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</si>
  <si>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</si>
  <si>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</si>
  <si>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</si>
  <si>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</si>
  <si>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</si>
  <si>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</si>
  <si>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</si>
  <si>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</si>
  <si>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</si>
  <si>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</si>
  <si>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</si>
  <si>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</si>
  <si>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</si>
  <si>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</si>
  <si>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</si>
  <si>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</si>
  <si>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</si>
  <si>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</si>
  <si>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</si>
  <si>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</si>
  <si>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</si>
  <si>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</si>
  <si>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</si>
  <si>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</si>
  <si>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</si>
  <si>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</si>
  <si>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</si>
  <si>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</si>
  <si>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</si>
  <si>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</si>
  <si>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</si>
  <si>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</si>
  <si>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</si>
  <si>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</si>
  <si>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</si>
  <si>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</si>
  <si>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</si>
  <si>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</si>
  <si>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</si>
  <si>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</si>
  <si>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</si>
  <si>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</si>
  <si>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</si>
  <si>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</si>
  <si>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</si>
  <si>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</si>
  <si>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</si>
  <si>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</si>
  <si>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</si>
  <si>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</si>
  <si>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</si>
  <si>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</si>
  <si>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</si>
  <si>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</si>
  <si>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</si>
  <si>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</si>
  <si>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</si>
  <si>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</si>
  <si>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</si>
  <si>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</si>
  <si>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</si>
  <si>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</si>
  <si>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</si>
  <si>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</si>
  <si>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</si>
  <si>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</si>
  <si>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</si>
  <si>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</si>
  <si>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</si>
  <si>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</si>
  <si>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</si>
  <si>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</si>
  <si>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</si>
  <si>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</si>
  <si>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</si>
  <si>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</si>
  <si>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</si>
  <si>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</si>
  <si>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</si>
  <si>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</si>
  <si>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</si>
  <si>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</si>
  <si>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</si>
  <si>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</si>
  <si>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</si>
  <si>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</si>
  <si>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</si>
  <si>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</si>
  <si>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</si>
  <si>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</si>
  <si>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</si>
  <si>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</si>
  <si>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</si>
  <si>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</si>
  <si>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</si>
  <si>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</si>
  <si>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</si>
  <si>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</si>
  <si>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</si>
  <si>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</si>
  <si>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</si>
  <si>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</si>
  <si>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</si>
  <si>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</si>
  <si>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</si>
  <si>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</si>
  <si>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</si>
  <si>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</si>
  <si>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</si>
  <si>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</si>
  <si>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</si>
  <si>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</si>
  <si>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</si>
  <si>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</si>
  <si>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</si>
  <si>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</si>
  <si>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</si>
  <si>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</si>
  <si>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</si>
  <si>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</si>
  <si>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</si>
  <si>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</si>
  <si>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</si>
  <si>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</si>
  <si>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</si>
  <si>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</si>
  <si>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</si>
  <si>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</si>
  <si>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</si>
  <si>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</si>
  <si>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</si>
  <si>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</si>
  <si>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</si>
  <si>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</si>
  <si>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</si>
  <si>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</si>
  <si>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</si>
  <si>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</si>
  <si>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</si>
  <si>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</si>
  <si>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</si>
  <si>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</si>
  <si>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</si>
  <si>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</si>
  <si>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</si>
  <si>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</si>
  <si>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</si>
  <si>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</si>
  <si>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</si>
  <si>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</si>
  <si>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</si>
  <si>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</si>
  <si>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</si>
  <si>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</si>
  <si>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</si>
  <si>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</si>
  <si>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</si>
  <si>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</si>
  <si>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</si>
  <si>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</si>
  <si>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</si>
  <si>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</si>
  <si>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</si>
  <si>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</si>
  <si>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</si>
  <si>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</si>
  <si>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</si>
  <si>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</si>
  <si>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</si>
  <si>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</si>
  <si>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</si>
  <si>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</si>
  <si>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</si>
  <si>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</si>
  <si>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</si>
  <si>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</si>
  <si>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</si>
  <si>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</si>
  <si>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</si>
  <si>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</si>
  <si>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</si>
  <si>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</si>
  <si>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</si>
  <si>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</si>
  <si>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</si>
  <si>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</si>
  <si>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</si>
  <si>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</si>
  <si>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</si>
  <si>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</si>
  <si>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</si>
  <si>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</si>
  <si>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</si>
  <si>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</si>
  <si>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</si>
  <si>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</si>
  <si>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</si>
  <si>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</si>
  <si>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</si>
  <si>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</si>
  <si>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</si>
  <si>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</si>
  <si>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</si>
  <si>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</si>
  <si>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</si>
  <si>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</si>
  <si>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</si>
  <si>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</si>
  <si>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</si>
  <si>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</si>
  <si>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</si>
  <si>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</si>
  <si>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</si>
  <si>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</si>
  <si>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</si>
  <si>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</si>
  <si>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</si>
  <si>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</si>
  <si>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</si>
  <si>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</si>
  <si>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</si>
  <si>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</si>
  <si>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</si>
  <si>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</si>
  <si>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</si>
  <si>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</si>
  <si>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</si>
  <si>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</si>
  <si>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</si>
  <si>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</si>
  <si>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</si>
  <si>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</si>
  <si>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</si>
  <si>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</si>
  <si>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</si>
  <si>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</si>
  <si>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</si>
  <si>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</si>
  <si>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</si>
  <si>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</si>
  <si>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</si>
  <si>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</si>
  <si>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</si>
  <si>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</si>
  <si>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</si>
  <si>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</si>
  <si>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</si>
  <si>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</si>
  <si>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</si>
  <si>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</si>
  <si>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</si>
  <si>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</si>
  <si>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</si>
  <si>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</si>
  <si>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</si>
  <si>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</si>
  <si>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</si>
  <si>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</si>
  <si>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</si>
  <si>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</si>
  <si>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</si>
  <si>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</si>
  <si>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</si>
  <si>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</si>
  <si>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</si>
  <si>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</si>
  <si>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</si>
  <si>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</si>
  <si>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</si>
  <si>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</si>
  <si>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</si>
  <si>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</si>
  <si>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</si>
  <si>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</si>
  <si>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</si>
  <si>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</si>
  <si>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</si>
  <si>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</si>
  <si>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</si>
  <si>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</si>
  <si>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</si>
  <si>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</si>
  <si>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</si>
  <si>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</si>
  <si>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</si>
  <si>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</si>
  <si>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</si>
  <si>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</si>
  <si>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</si>
  <si>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</si>
  <si>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</si>
  <si>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</si>
  <si>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</si>
  <si>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</si>
  <si>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</si>
  <si>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</si>
  <si>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</si>
  <si>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</si>
  <si>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</si>
  <si>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</si>
  <si>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</si>
  <si>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</si>
  <si>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</si>
  <si>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</si>
  <si>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</si>
  <si>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</si>
  <si>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</si>
  <si>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</si>
  <si>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</si>
  <si>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</si>
  <si>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</si>
  <si>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</si>
  <si>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</si>
  <si>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</si>
  <si>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</si>
  <si>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</si>
  <si>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</si>
  <si>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</si>
  <si>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</si>
  <si>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</si>
  <si>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</si>
  <si>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</si>
  <si>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</si>
  <si>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</si>
  <si>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</si>
  <si>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</si>
  <si>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</si>
  <si>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</si>
  <si>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</si>
  <si>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</si>
  <si>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</si>
  <si>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</si>
  <si>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</si>
  <si>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</si>
  <si>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</si>
  <si>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</si>
  <si>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</si>
  <si>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</si>
  <si>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</si>
  <si>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</si>
  <si>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</si>
  <si>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</si>
  <si>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</si>
  <si>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</si>
  <si>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</si>
  <si>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</si>
  <si>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</si>
  <si>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</si>
  <si>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</si>
  <si>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</si>
  <si>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</si>
  <si>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</si>
  <si>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</si>
  <si>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</si>
  <si>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</si>
  <si>
    <t>CRR, SLR, Repo, Reverse Repo and Bank Rate</t>
  </si>
  <si>
    <t>Per cent : Oct 2020 to Sep 2025</t>
  </si>
  <si>
    <t xml:space="preserve">CRR </t>
  </si>
  <si>
    <t xml:space="preserve">SLR </t>
  </si>
  <si>
    <t xml:space="preserve">Repo rate </t>
  </si>
  <si>
    <t xml:space="preserve">Reverse repo rate </t>
  </si>
  <si>
    <t xml:space="preserve">SDF </t>
  </si>
  <si>
    <t xml:space="preserve">MSF </t>
  </si>
  <si>
    <t xml:space="preserve">Bank rate </t>
  </si>
  <si>
    <t>Source: WDI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</si>
</sst>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330200</xdr:colOff>
      <xdr:row>7</xdr:row>
      <xdr:rowOff>76200</xdr:rowOff>
    </xdr:from>
    <xdr:to>
      <xdr:col>25</xdr:col>
      <xdr:colOff>228600</xdr:colOff>
      <xdr:row>29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1981200</xdr:colOff>
      <xdr:row>4</xdr:row>
      <xdr:rowOff>165106</xdr:rowOff>
    </xdr:from>
    <xdr:to>
      <xdr:col>22</xdr:col>
      <xdr:colOff>660400</xdr:colOff>
      <xdr:row>27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workbookViewId="0">
      <selection activeCell="G35" sqref="G35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7502-F586-8E4A-945A-7B3843294864}">
  <dimension ref="A1:H63"/>
  <sheetViews>
    <sheetView tabSelected="1" workbookViewId="0">
      <selection activeCell="C7" sqref="C7"/>
    </sheetView>
  </sheetViews>
  <sheetFormatPr baseColWidth="10" defaultRowHeight="16" x14ac:dyDescent="0.2"/>
  <cols>
    <col min="5" max="5" width="16.33203125" bestFit="1" customWidth="1"/>
  </cols>
  <sheetData>
    <row r="1" spans="1:8" x14ac:dyDescent="0.2">
      <c r="A1" t="s">
        <v>1403</v>
      </c>
    </row>
    <row r="2" spans="1:8" x14ac:dyDescent="0.2">
      <c r="A2" t="s">
        <v>1404</v>
      </c>
    </row>
    <row r="3" spans="1:8" x14ac:dyDescent="0.2">
      <c r="A3" t="s">
        <v>516</v>
      </c>
      <c r="B3" t="s">
        <v>1405</v>
      </c>
      <c r="C3" t="s">
        <v>1406</v>
      </c>
      <c r="D3" t="s">
        <v>1407</v>
      </c>
      <c r="E3" t="s">
        <v>1408</v>
      </c>
      <c r="F3" t="s">
        <v>1409</v>
      </c>
      <c r="G3" t="s">
        <v>1410</v>
      </c>
      <c r="H3" t="s">
        <v>1411</v>
      </c>
    </row>
    <row r="4" spans="1:8" x14ac:dyDescent="0.2">
      <c r="A4" s="11">
        <v>44105</v>
      </c>
      <c r="B4">
        <v>3</v>
      </c>
      <c r="C4">
        <v>18</v>
      </c>
      <c r="D4">
        <v>4</v>
      </c>
      <c r="E4">
        <v>3.35</v>
      </c>
      <c r="G4">
        <v>4.25</v>
      </c>
      <c r="H4">
        <v>4.25</v>
      </c>
    </row>
    <row r="5" spans="1:8" x14ac:dyDescent="0.2">
      <c r="A5" s="11">
        <v>44136</v>
      </c>
      <c r="B5">
        <v>3</v>
      </c>
      <c r="C5">
        <v>18</v>
      </c>
      <c r="D5">
        <v>4</v>
      </c>
      <c r="E5">
        <v>3.35</v>
      </c>
      <c r="G5">
        <v>4.25</v>
      </c>
      <c r="H5">
        <v>4.25</v>
      </c>
    </row>
    <row r="6" spans="1:8" x14ac:dyDescent="0.2">
      <c r="A6" s="11">
        <v>44166</v>
      </c>
      <c r="B6">
        <v>3</v>
      </c>
      <c r="C6">
        <v>18</v>
      </c>
      <c r="D6">
        <v>4</v>
      </c>
      <c r="E6">
        <v>3.35</v>
      </c>
      <c r="G6">
        <v>4.25</v>
      </c>
      <c r="H6">
        <v>4.25</v>
      </c>
    </row>
    <row r="7" spans="1:8" x14ac:dyDescent="0.2">
      <c r="A7" s="11">
        <v>44197</v>
      </c>
      <c r="B7">
        <v>3</v>
      </c>
      <c r="C7">
        <v>18</v>
      </c>
      <c r="D7">
        <v>4</v>
      </c>
      <c r="E7">
        <v>3.35</v>
      </c>
      <c r="G7">
        <v>4.25</v>
      </c>
      <c r="H7">
        <v>4.25</v>
      </c>
    </row>
    <row r="8" spans="1:8" x14ac:dyDescent="0.2">
      <c r="A8" s="11">
        <v>44228</v>
      </c>
      <c r="B8">
        <v>3</v>
      </c>
      <c r="C8">
        <v>18</v>
      </c>
      <c r="D8">
        <v>4</v>
      </c>
      <c r="E8">
        <v>3.35</v>
      </c>
      <c r="G8">
        <v>4.25</v>
      </c>
      <c r="H8">
        <v>4.25</v>
      </c>
    </row>
    <row r="9" spans="1:8" x14ac:dyDescent="0.2">
      <c r="A9" s="11">
        <v>44256</v>
      </c>
      <c r="B9">
        <v>3</v>
      </c>
      <c r="C9">
        <v>18</v>
      </c>
      <c r="D9">
        <v>4</v>
      </c>
      <c r="E9">
        <v>3.35</v>
      </c>
      <c r="G9">
        <v>4.25</v>
      </c>
      <c r="H9">
        <v>4.25</v>
      </c>
    </row>
    <row r="10" spans="1:8" x14ac:dyDescent="0.2">
      <c r="A10" s="11">
        <v>44287</v>
      </c>
      <c r="B10">
        <v>3.5</v>
      </c>
      <c r="C10">
        <v>18</v>
      </c>
      <c r="D10">
        <v>4</v>
      </c>
      <c r="E10">
        <v>3.35</v>
      </c>
      <c r="G10">
        <v>4.25</v>
      </c>
      <c r="H10">
        <v>4.25</v>
      </c>
    </row>
    <row r="11" spans="1:8" x14ac:dyDescent="0.2">
      <c r="A11" s="11">
        <v>44317</v>
      </c>
      <c r="B11">
        <v>4</v>
      </c>
      <c r="C11">
        <v>18</v>
      </c>
      <c r="D11">
        <v>4</v>
      </c>
      <c r="E11">
        <v>3.35</v>
      </c>
      <c r="G11">
        <v>4.25</v>
      </c>
      <c r="H11">
        <v>4.25</v>
      </c>
    </row>
    <row r="12" spans="1:8" x14ac:dyDescent="0.2">
      <c r="A12" s="11">
        <v>44348</v>
      </c>
      <c r="B12">
        <v>4</v>
      </c>
      <c r="C12">
        <v>18</v>
      </c>
      <c r="D12">
        <v>4</v>
      </c>
      <c r="E12">
        <v>3.35</v>
      </c>
      <c r="G12">
        <v>4.25</v>
      </c>
      <c r="H12">
        <v>4.25</v>
      </c>
    </row>
    <row r="13" spans="1:8" x14ac:dyDescent="0.2">
      <c r="A13" s="11">
        <v>44378</v>
      </c>
      <c r="B13">
        <v>4</v>
      </c>
      <c r="C13">
        <v>18</v>
      </c>
      <c r="D13">
        <v>4</v>
      </c>
      <c r="E13">
        <v>3.35</v>
      </c>
      <c r="G13">
        <v>4.25</v>
      </c>
      <c r="H13">
        <v>4.25</v>
      </c>
    </row>
    <row r="14" spans="1:8" x14ac:dyDescent="0.2">
      <c r="A14" s="11">
        <v>44409</v>
      </c>
      <c r="B14">
        <v>4</v>
      </c>
      <c r="C14">
        <v>18</v>
      </c>
      <c r="D14">
        <v>4</v>
      </c>
      <c r="E14">
        <v>3.35</v>
      </c>
      <c r="G14">
        <v>4.25</v>
      </c>
      <c r="H14">
        <v>4.25</v>
      </c>
    </row>
    <row r="15" spans="1:8" x14ac:dyDescent="0.2">
      <c r="A15" s="11">
        <v>44440</v>
      </c>
      <c r="B15">
        <v>4</v>
      </c>
      <c r="C15">
        <v>18</v>
      </c>
      <c r="D15">
        <v>4</v>
      </c>
      <c r="E15">
        <v>3.35</v>
      </c>
      <c r="G15">
        <v>4.25</v>
      </c>
      <c r="H15">
        <v>4.25</v>
      </c>
    </row>
    <row r="16" spans="1:8" x14ac:dyDescent="0.2">
      <c r="A16" s="11">
        <v>44470</v>
      </c>
      <c r="B16">
        <v>4</v>
      </c>
      <c r="C16">
        <v>18</v>
      </c>
      <c r="D16">
        <v>4</v>
      </c>
      <c r="E16">
        <v>3.35</v>
      </c>
      <c r="G16">
        <v>4.25</v>
      </c>
      <c r="H16">
        <v>4.25</v>
      </c>
    </row>
    <row r="17" spans="1:8" x14ac:dyDescent="0.2">
      <c r="A17" s="11">
        <v>44501</v>
      </c>
      <c r="B17">
        <v>4</v>
      </c>
      <c r="C17">
        <v>18</v>
      </c>
      <c r="D17">
        <v>4</v>
      </c>
      <c r="E17">
        <v>3.35</v>
      </c>
      <c r="G17">
        <v>4.25</v>
      </c>
      <c r="H17">
        <v>4.25</v>
      </c>
    </row>
    <row r="18" spans="1:8" x14ac:dyDescent="0.2">
      <c r="A18" s="11">
        <v>44531</v>
      </c>
      <c r="B18">
        <v>4</v>
      </c>
      <c r="C18">
        <v>18</v>
      </c>
      <c r="D18">
        <v>4</v>
      </c>
      <c r="E18">
        <v>3.35</v>
      </c>
      <c r="G18">
        <v>4.25</v>
      </c>
      <c r="H18">
        <v>4.25</v>
      </c>
    </row>
    <row r="19" spans="1:8" x14ac:dyDescent="0.2">
      <c r="A19" s="11">
        <v>44562</v>
      </c>
      <c r="B19">
        <v>4</v>
      </c>
      <c r="C19">
        <v>18</v>
      </c>
      <c r="D19">
        <v>4</v>
      </c>
      <c r="E19">
        <v>3.35</v>
      </c>
      <c r="G19">
        <v>4.25</v>
      </c>
      <c r="H19">
        <v>4.25</v>
      </c>
    </row>
    <row r="20" spans="1:8" x14ac:dyDescent="0.2">
      <c r="A20" s="11">
        <v>44593</v>
      </c>
      <c r="B20">
        <v>4</v>
      </c>
      <c r="C20">
        <v>18</v>
      </c>
      <c r="D20">
        <v>4</v>
      </c>
      <c r="E20">
        <v>3.35</v>
      </c>
      <c r="G20">
        <v>4.25</v>
      </c>
      <c r="H20">
        <v>4.25</v>
      </c>
    </row>
    <row r="21" spans="1:8" x14ac:dyDescent="0.2">
      <c r="A21" s="11">
        <v>44621</v>
      </c>
      <c r="B21">
        <v>4</v>
      </c>
      <c r="C21">
        <v>18</v>
      </c>
      <c r="D21">
        <v>4</v>
      </c>
      <c r="E21">
        <v>3.35</v>
      </c>
      <c r="G21">
        <v>4.25</v>
      </c>
      <c r="H21">
        <v>4.25</v>
      </c>
    </row>
    <row r="22" spans="1:8" x14ac:dyDescent="0.2">
      <c r="A22" s="11">
        <v>44652</v>
      </c>
      <c r="B22">
        <v>4</v>
      </c>
      <c r="C22">
        <v>18</v>
      </c>
      <c r="D22">
        <v>4</v>
      </c>
      <c r="E22">
        <v>3.35</v>
      </c>
      <c r="F22">
        <v>3.75</v>
      </c>
      <c r="G22">
        <v>4.25</v>
      </c>
      <c r="H22">
        <v>4.25</v>
      </c>
    </row>
    <row r="23" spans="1:8" x14ac:dyDescent="0.2">
      <c r="A23" s="11">
        <v>44682</v>
      </c>
      <c r="B23">
        <v>4.5</v>
      </c>
      <c r="C23">
        <v>18</v>
      </c>
      <c r="D23">
        <v>4.4000000000000004</v>
      </c>
      <c r="E23">
        <v>3.35</v>
      </c>
      <c r="F23">
        <v>4.1500000000000004</v>
      </c>
      <c r="G23">
        <v>4.6500000000000004</v>
      </c>
      <c r="H23">
        <v>4.6500000000000004</v>
      </c>
    </row>
    <row r="24" spans="1:8" x14ac:dyDescent="0.2">
      <c r="A24" s="11">
        <v>44713</v>
      </c>
      <c r="B24">
        <v>4.5</v>
      </c>
      <c r="C24">
        <v>18</v>
      </c>
      <c r="D24">
        <v>4.9000000000000004</v>
      </c>
      <c r="E24">
        <v>3.35</v>
      </c>
      <c r="F24">
        <v>4.6500000000000004</v>
      </c>
      <c r="G24">
        <v>5.15</v>
      </c>
      <c r="H24">
        <v>5.15</v>
      </c>
    </row>
    <row r="25" spans="1:8" x14ac:dyDescent="0.2">
      <c r="A25" s="11">
        <v>44743</v>
      </c>
      <c r="B25">
        <v>4.5</v>
      </c>
      <c r="C25">
        <v>18</v>
      </c>
      <c r="D25">
        <v>4.9000000000000004</v>
      </c>
      <c r="E25">
        <v>3.35</v>
      </c>
      <c r="F25">
        <v>4.6500000000000004</v>
      </c>
      <c r="G25">
        <v>5.15</v>
      </c>
      <c r="H25">
        <v>5.15</v>
      </c>
    </row>
    <row r="26" spans="1:8" x14ac:dyDescent="0.2">
      <c r="A26" s="11">
        <v>44774</v>
      </c>
      <c r="B26">
        <v>4.5</v>
      </c>
      <c r="C26">
        <v>18</v>
      </c>
      <c r="D26">
        <v>5.4</v>
      </c>
      <c r="E26">
        <v>3.35</v>
      </c>
      <c r="F26">
        <v>5.15</v>
      </c>
      <c r="G26">
        <v>5.65</v>
      </c>
      <c r="H26">
        <v>5.65</v>
      </c>
    </row>
    <row r="27" spans="1:8" x14ac:dyDescent="0.2">
      <c r="A27" s="11">
        <v>44805</v>
      </c>
      <c r="B27">
        <v>4.5</v>
      </c>
      <c r="C27">
        <v>18</v>
      </c>
      <c r="D27">
        <v>5.9</v>
      </c>
      <c r="E27">
        <v>3.35</v>
      </c>
      <c r="F27">
        <v>5.65</v>
      </c>
      <c r="G27">
        <v>6.15</v>
      </c>
      <c r="H27">
        <v>6.15</v>
      </c>
    </row>
    <row r="28" spans="1:8" x14ac:dyDescent="0.2">
      <c r="A28" s="11">
        <v>44835</v>
      </c>
      <c r="B28">
        <v>4.5</v>
      </c>
      <c r="C28">
        <v>18</v>
      </c>
      <c r="D28">
        <v>5.9</v>
      </c>
      <c r="E28">
        <v>3.35</v>
      </c>
      <c r="F28">
        <v>5.65</v>
      </c>
      <c r="G28">
        <v>6.15</v>
      </c>
      <c r="H28">
        <v>6.15</v>
      </c>
    </row>
    <row r="29" spans="1:8" x14ac:dyDescent="0.2">
      <c r="A29" s="11">
        <v>44866</v>
      </c>
      <c r="B29">
        <v>4.5</v>
      </c>
      <c r="C29">
        <v>18</v>
      </c>
      <c r="D29">
        <v>5.9</v>
      </c>
      <c r="E29">
        <v>3.35</v>
      </c>
      <c r="F29">
        <v>5.65</v>
      </c>
      <c r="G29">
        <v>6.15</v>
      </c>
      <c r="H29">
        <v>6.15</v>
      </c>
    </row>
    <row r="30" spans="1:8" x14ac:dyDescent="0.2">
      <c r="A30" s="11">
        <v>44896</v>
      </c>
      <c r="B30">
        <v>4.5</v>
      </c>
      <c r="C30">
        <v>18</v>
      </c>
      <c r="D30">
        <v>6.25</v>
      </c>
      <c r="E30">
        <v>3.35</v>
      </c>
      <c r="F30">
        <v>6</v>
      </c>
      <c r="G30">
        <v>6.5</v>
      </c>
      <c r="H30">
        <v>6.5</v>
      </c>
    </row>
    <row r="31" spans="1:8" x14ac:dyDescent="0.2">
      <c r="A31" s="11">
        <v>44927</v>
      </c>
      <c r="B31">
        <v>4.5</v>
      </c>
      <c r="C31">
        <v>18</v>
      </c>
      <c r="D31">
        <v>6.25</v>
      </c>
      <c r="E31">
        <v>3.35</v>
      </c>
      <c r="F31">
        <v>6</v>
      </c>
      <c r="G31">
        <v>6.5</v>
      </c>
      <c r="H31">
        <v>6.5</v>
      </c>
    </row>
    <row r="32" spans="1:8" x14ac:dyDescent="0.2">
      <c r="A32" s="11">
        <v>44958</v>
      </c>
      <c r="B32">
        <v>4.5</v>
      </c>
      <c r="C32">
        <v>18</v>
      </c>
      <c r="D32">
        <v>6.5</v>
      </c>
      <c r="E32">
        <v>3.35</v>
      </c>
      <c r="F32">
        <v>6.25</v>
      </c>
      <c r="G32">
        <v>6.75</v>
      </c>
      <c r="H32">
        <v>6.75</v>
      </c>
    </row>
    <row r="33" spans="1:8" x14ac:dyDescent="0.2">
      <c r="A33" s="11">
        <v>44986</v>
      </c>
      <c r="B33">
        <v>4.5</v>
      </c>
      <c r="C33">
        <v>18</v>
      </c>
      <c r="D33">
        <v>6.5</v>
      </c>
      <c r="E33">
        <v>3.35</v>
      </c>
      <c r="F33">
        <v>6.25</v>
      </c>
      <c r="G33">
        <v>6.75</v>
      </c>
      <c r="H33">
        <v>6.75</v>
      </c>
    </row>
    <row r="34" spans="1:8" x14ac:dyDescent="0.2">
      <c r="A34" s="11">
        <v>45017</v>
      </c>
      <c r="B34">
        <v>4.5</v>
      </c>
      <c r="C34">
        <v>18</v>
      </c>
      <c r="D34">
        <v>6.5</v>
      </c>
      <c r="E34">
        <v>3.35</v>
      </c>
      <c r="F34">
        <v>6.25</v>
      </c>
      <c r="G34">
        <v>6.75</v>
      </c>
      <c r="H34">
        <v>6.75</v>
      </c>
    </row>
    <row r="35" spans="1:8" x14ac:dyDescent="0.2">
      <c r="A35" s="11">
        <v>45047</v>
      </c>
      <c r="B35">
        <v>4.5</v>
      </c>
      <c r="C35">
        <v>18</v>
      </c>
      <c r="D35">
        <v>6.5</v>
      </c>
      <c r="E35">
        <v>3.35</v>
      </c>
      <c r="F35">
        <v>6.25</v>
      </c>
      <c r="G35">
        <v>6.75</v>
      </c>
      <c r="H35">
        <v>6.75</v>
      </c>
    </row>
    <row r="36" spans="1:8" x14ac:dyDescent="0.2">
      <c r="A36" s="11">
        <v>45078</v>
      </c>
      <c r="B36">
        <v>4.5</v>
      </c>
      <c r="C36">
        <v>18</v>
      </c>
      <c r="D36">
        <v>6.5</v>
      </c>
      <c r="E36">
        <v>3.35</v>
      </c>
      <c r="F36">
        <v>6.25</v>
      </c>
      <c r="G36">
        <v>6.75</v>
      </c>
      <c r="H36">
        <v>6.75</v>
      </c>
    </row>
    <row r="37" spans="1:8" x14ac:dyDescent="0.2">
      <c r="A37" s="11">
        <v>45108</v>
      </c>
      <c r="B37">
        <v>4.5</v>
      </c>
      <c r="C37">
        <v>18</v>
      </c>
      <c r="D37">
        <v>6.5</v>
      </c>
      <c r="E37">
        <v>3.35</v>
      </c>
      <c r="F37">
        <v>6.25</v>
      </c>
      <c r="G37">
        <v>6.75</v>
      </c>
      <c r="H37">
        <v>6.75</v>
      </c>
    </row>
    <row r="38" spans="1:8" x14ac:dyDescent="0.2">
      <c r="A38" s="11">
        <v>45139</v>
      </c>
      <c r="B38">
        <v>4.5</v>
      </c>
      <c r="C38">
        <v>18</v>
      </c>
      <c r="D38">
        <v>6.5</v>
      </c>
      <c r="E38">
        <v>3.35</v>
      </c>
      <c r="F38">
        <v>6.25</v>
      </c>
      <c r="G38">
        <v>6.75</v>
      </c>
      <c r="H38">
        <v>6.75</v>
      </c>
    </row>
    <row r="39" spans="1:8" x14ac:dyDescent="0.2">
      <c r="A39" s="11">
        <v>45170</v>
      </c>
      <c r="B39">
        <v>4.5</v>
      </c>
      <c r="C39">
        <v>18</v>
      </c>
      <c r="D39">
        <v>6.5</v>
      </c>
      <c r="E39">
        <v>3.35</v>
      </c>
      <c r="F39">
        <v>6.25</v>
      </c>
      <c r="G39">
        <v>6.75</v>
      </c>
      <c r="H39">
        <v>6.75</v>
      </c>
    </row>
    <row r="40" spans="1:8" x14ac:dyDescent="0.2">
      <c r="A40" s="11">
        <v>45200</v>
      </c>
      <c r="B40">
        <v>4.5</v>
      </c>
      <c r="C40">
        <v>18</v>
      </c>
      <c r="D40">
        <v>6.5</v>
      </c>
      <c r="E40">
        <v>3.35</v>
      </c>
      <c r="F40">
        <v>6.25</v>
      </c>
      <c r="G40">
        <v>6.75</v>
      </c>
      <c r="H40">
        <v>6.75</v>
      </c>
    </row>
    <row r="41" spans="1:8" x14ac:dyDescent="0.2">
      <c r="A41" s="11">
        <v>45231</v>
      </c>
      <c r="B41">
        <v>4.5</v>
      </c>
      <c r="C41">
        <v>18</v>
      </c>
      <c r="D41">
        <v>6.5</v>
      </c>
      <c r="E41">
        <v>3.35</v>
      </c>
      <c r="F41">
        <v>6.25</v>
      </c>
      <c r="G41">
        <v>6.75</v>
      </c>
      <c r="H41">
        <v>6.75</v>
      </c>
    </row>
    <row r="42" spans="1:8" x14ac:dyDescent="0.2">
      <c r="A42" s="11">
        <v>45261</v>
      </c>
      <c r="B42">
        <v>4.5</v>
      </c>
      <c r="C42">
        <v>18</v>
      </c>
      <c r="D42">
        <v>6.5</v>
      </c>
      <c r="E42">
        <v>3.35</v>
      </c>
      <c r="F42">
        <v>6.25</v>
      </c>
      <c r="G42">
        <v>6.75</v>
      </c>
      <c r="H42">
        <v>6.75</v>
      </c>
    </row>
    <row r="43" spans="1:8" x14ac:dyDescent="0.2">
      <c r="A43" s="11">
        <v>45292</v>
      </c>
      <c r="B43">
        <v>4.5</v>
      </c>
      <c r="C43">
        <v>18</v>
      </c>
      <c r="D43">
        <v>6.5</v>
      </c>
      <c r="E43">
        <v>3.35</v>
      </c>
      <c r="F43">
        <v>6.25</v>
      </c>
      <c r="G43">
        <v>6.75</v>
      </c>
      <c r="H43">
        <v>6.75</v>
      </c>
    </row>
    <row r="44" spans="1:8" x14ac:dyDescent="0.2">
      <c r="A44" s="11">
        <v>45323</v>
      </c>
      <c r="B44">
        <v>4.5</v>
      </c>
      <c r="C44">
        <v>18</v>
      </c>
      <c r="D44">
        <v>6.5</v>
      </c>
      <c r="E44">
        <v>3.35</v>
      </c>
      <c r="F44">
        <v>6.25</v>
      </c>
      <c r="G44">
        <v>6.75</v>
      </c>
      <c r="H44">
        <v>6.75</v>
      </c>
    </row>
    <row r="45" spans="1:8" x14ac:dyDescent="0.2">
      <c r="A45" s="11">
        <v>45352</v>
      </c>
      <c r="B45">
        <v>4.5</v>
      </c>
      <c r="C45">
        <v>18</v>
      </c>
      <c r="D45">
        <v>6.5</v>
      </c>
      <c r="E45">
        <v>3.35</v>
      </c>
      <c r="F45">
        <v>6.25</v>
      </c>
      <c r="G45">
        <v>6.75</v>
      </c>
      <c r="H45">
        <v>6.75</v>
      </c>
    </row>
    <row r="46" spans="1:8" x14ac:dyDescent="0.2">
      <c r="A46" s="11">
        <v>45383</v>
      </c>
      <c r="B46">
        <v>4.5</v>
      </c>
      <c r="C46">
        <v>18</v>
      </c>
      <c r="D46">
        <v>6.5</v>
      </c>
      <c r="E46">
        <v>3.35</v>
      </c>
      <c r="F46">
        <v>6.25</v>
      </c>
      <c r="G46">
        <v>6.75</v>
      </c>
      <c r="H46">
        <v>6.75</v>
      </c>
    </row>
    <row r="47" spans="1:8" x14ac:dyDescent="0.2">
      <c r="A47" s="11">
        <v>45413</v>
      </c>
      <c r="B47">
        <v>4.5</v>
      </c>
      <c r="C47">
        <v>18</v>
      </c>
      <c r="D47">
        <v>6.5</v>
      </c>
      <c r="E47">
        <v>3.35</v>
      </c>
      <c r="F47">
        <v>6.25</v>
      </c>
      <c r="G47">
        <v>6.75</v>
      </c>
      <c r="H47">
        <v>6.75</v>
      </c>
    </row>
    <row r="48" spans="1:8" x14ac:dyDescent="0.2">
      <c r="A48" s="11">
        <v>45444</v>
      </c>
      <c r="B48">
        <v>4.5</v>
      </c>
      <c r="C48">
        <v>18</v>
      </c>
      <c r="D48">
        <v>6.5</v>
      </c>
      <c r="E48">
        <v>3.35</v>
      </c>
      <c r="F48">
        <v>6.25</v>
      </c>
      <c r="G48">
        <v>6.75</v>
      </c>
      <c r="H48">
        <v>6.75</v>
      </c>
    </row>
    <row r="49" spans="1:8" x14ac:dyDescent="0.2">
      <c r="A49" s="11">
        <v>45474</v>
      </c>
      <c r="B49">
        <v>4.5</v>
      </c>
      <c r="C49">
        <v>18</v>
      </c>
      <c r="D49">
        <v>6.5</v>
      </c>
      <c r="E49">
        <v>3.35</v>
      </c>
      <c r="F49">
        <v>6.25</v>
      </c>
      <c r="G49">
        <v>6.75</v>
      </c>
      <c r="H49">
        <v>6.75</v>
      </c>
    </row>
    <row r="50" spans="1:8" x14ac:dyDescent="0.2">
      <c r="A50" s="11">
        <v>45505</v>
      </c>
      <c r="B50">
        <v>4.5</v>
      </c>
      <c r="C50">
        <v>18</v>
      </c>
      <c r="D50">
        <v>6.5</v>
      </c>
      <c r="E50">
        <v>3.35</v>
      </c>
      <c r="F50">
        <v>6.25</v>
      </c>
      <c r="G50">
        <v>6.75</v>
      </c>
      <c r="H50">
        <v>6.75</v>
      </c>
    </row>
    <row r="51" spans="1:8" x14ac:dyDescent="0.2">
      <c r="A51" s="11">
        <v>45536</v>
      </c>
      <c r="B51">
        <v>4.5</v>
      </c>
      <c r="C51">
        <v>18</v>
      </c>
      <c r="D51">
        <v>6.5</v>
      </c>
      <c r="E51">
        <v>3.35</v>
      </c>
      <c r="F51">
        <v>6.25</v>
      </c>
      <c r="G51">
        <v>6.75</v>
      </c>
      <c r="H51">
        <v>6.75</v>
      </c>
    </row>
    <row r="52" spans="1:8" x14ac:dyDescent="0.2">
      <c r="A52" s="11">
        <v>45566</v>
      </c>
      <c r="B52">
        <v>4.5</v>
      </c>
      <c r="C52">
        <v>18</v>
      </c>
      <c r="D52">
        <v>6.5</v>
      </c>
      <c r="E52">
        <v>3.35</v>
      </c>
      <c r="F52">
        <v>6.25</v>
      </c>
      <c r="G52">
        <v>6.75</v>
      </c>
      <c r="H52">
        <v>6.75</v>
      </c>
    </row>
    <row r="53" spans="1:8" x14ac:dyDescent="0.2">
      <c r="A53" s="11">
        <v>45597</v>
      </c>
      <c r="B53">
        <v>4.5</v>
      </c>
      <c r="C53">
        <v>18</v>
      </c>
      <c r="D53">
        <v>6.5</v>
      </c>
      <c r="E53">
        <v>3.35</v>
      </c>
      <c r="F53">
        <v>6.25</v>
      </c>
      <c r="G53">
        <v>6.75</v>
      </c>
      <c r="H53">
        <v>6.75</v>
      </c>
    </row>
    <row r="54" spans="1:8" x14ac:dyDescent="0.2">
      <c r="A54" s="11">
        <v>45627</v>
      </c>
      <c r="B54">
        <v>4.25</v>
      </c>
      <c r="C54">
        <v>18</v>
      </c>
      <c r="D54">
        <v>6.5</v>
      </c>
      <c r="E54">
        <v>3.35</v>
      </c>
      <c r="F54">
        <v>6.25</v>
      </c>
      <c r="G54">
        <v>6.75</v>
      </c>
      <c r="H54">
        <v>6.75</v>
      </c>
    </row>
    <row r="55" spans="1:8" x14ac:dyDescent="0.2">
      <c r="A55" s="11">
        <v>45658</v>
      </c>
      <c r="B55">
        <v>4</v>
      </c>
      <c r="C55">
        <v>18</v>
      </c>
      <c r="D55">
        <v>6.5</v>
      </c>
      <c r="E55">
        <v>3.35</v>
      </c>
      <c r="F55">
        <v>6.25</v>
      </c>
      <c r="G55">
        <v>6.75</v>
      </c>
      <c r="H55">
        <v>6.75</v>
      </c>
    </row>
    <row r="56" spans="1:8" x14ac:dyDescent="0.2">
      <c r="A56" s="11">
        <v>45689</v>
      </c>
      <c r="B56">
        <v>4</v>
      </c>
      <c r="C56">
        <v>18</v>
      </c>
      <c r="D56">
        <v>6.25</v>
      </c>
      <c r="E56">
        <v>3.35</v>
      </c>
      <c r="F56">
        <v>6</v>
      </c>
      <c r="G56">
        <v>6.5</v>
      </c>
      <c r="H56">
        <v>6.5</v>
      </c>
    </row>
    <row r="57" spans="1:8" x14ac:dyDescent="0.2">
      <c r="A57" s="11">
        <v>45717</v>
      </c>
      <c r="B57">
        <v>4</v>
      </c>
      <c r="C57">
        <v>18</v>
      </c>
      <c r="D57">
        <v>6.25</v>
      </c>
      <c r="E57">
        <v>3.35</v>
      </c>
      <c r="F57">
        <v>6</v>
      </c>
      <c r="G57">
        <v>6.5</v>
      </c>
      <c r="H57">
        <v>6.5</v>
      </c>
    </row>
    <row r="58" spans="1:8" x14ac:dyDescent="0.2">
      <c r="A58" s="11">
        <v>45748</v>
      </c>
      <c r="B58">
        <v>4</v>
      </c>
      <c r="C58">
        <v>18</v>
      </c>
      <c r="D58">
        <v>6</v>
      </c>
      <c r="E58">
        <v>3.35</v>
      </c>
      <c r="F58">
        <v>5.75</v>
      </c>
      <c r="G58">
        <v>6.25</v>
      </c>
      <c r="H58">
        <v>6.25</v>
      </c>
    </row>
    <row r="59" spans="1:8" x14ac:dyDescent="0.2">
      <c r="A59" s="11">
        <v>45778</v>
      </c>
      <c r="B59">
        <v>4</v>
      </c>
      <c r="C59">
        <v>18</v>
      </c>
      <c r="D59">
        <v>6</v>
      </c>
      <c r="E59">
        <v>3.35</v>
      </c>
      <c r="F59">
        <v>5.75</v>
      </c>
      <c r="G59">
        <v>6.25</v>
      </c>
      <c r="H59">
        <v>6.25</v>
      </c>
    </row>
    <row r="60" spans="1:8" x14ac:dyDescent="0.2">
      <c r="A60" s="11">
        <v>45809</v>
      </c>
      <c r="B60">
        <v>4</v>
      </c>
      <c r="C60">
        <v>18</v>
      </c>
      <c r="D60">
        <v>5.5</v>
      </c>
      <c r="E60">
        <v>3.35</v>
      </c>
      <c r="F60">
        <v>5.25</v>
      </c>
      <c r="G60">
        <v>5.75</v>
      </c>
      <c r="H60">
        <v>5.75</v>
      </c>
    </row>
    <row r="61" spans="1:8" x14ac:dyDescent="0.2">
      <c r="A61" s="11">
        <v>45839</v>
      </c>
      <c r="B61">
        <v>4</v>
      </c>
      <c r="C61">
        <v>18</v>
      </c>
      <c r="D61">
        <v>5.5</v>
      </c>
      <c r="E61">
        <v>3.35</v>
      </c>
      <c r="F61">
        <v>5.25</v>
      </c>
      <c r="G61">
        <v>5.75</v>
      </c>
      <c r="H61">
        <v>5.75</v>
      </c>
    </row>
    <row r="62" spans="1:8" x14ac:dyDescent="0.2">
      <c r="A62" s="11">
        <v>45870</v>
      </c>
      <c r="B62">
        <v>4</v>
      </c>
      <c r="C62">
        <v>18</v>
      </c>
      <c r="D62">
        <v>5.5</v>
      </c>
      <c r="E62">
        <v>3.35</v>
      </c>
      <c r="F62">
        <v>5.25</v>
      </c>
      <c r="G62">
        <v>5.75</v>
      </c>
      <c r="H62">
        <v>5.75</v>
      </c>
    </row>
    <row r="63" spans="1:8" x14ac:dyDescent="0.2">
      <c r="A63" s="11">
        <v>45901</v>
      </c>
      <c r="B63">
        <v>3.75</v>
      </c>
      <c r="C63">
        <v>18</v>
      </c>
      <c r="D63">
        <v>5.5</v>
      </c>
      <c r="E63">
        <v>3.35</v>
      </c>
      <c r="F63">
        <v>5.25</v>
      </c>
      <c r="G63">
        <v>5.75</v>
      </c>
      <c r="H63">
        <v>5.75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E197-7D27-F44B-96D5-E0882DB27BE4}">
  <dimension ref="A1:M72"/>
  <sheetViews>
    <sheetView topLeftCell="A51" workbookViewId="0">
      <selection activeCell="A66" sqref="A66:XFD66"/>
    </sheetView>
  </sheetViews>
  <sheetFormatPr baseColWidth="10" defaultRowHeight="16" x14ac:dyDescent="0.2"/>
  <sheetData>
    <row r="1" spans="1:13" x14ac:dyDescent="0.2">
      <c r="A1" t="s">
        <v>269</v>
      </c>
    </row>
    <row r="2" spans="1:13" x14ac:dyDescent="0.2">
      <c r="A2" t="s">
        <v>1387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22.617560000000001</v>
      </c>
      <c r="D5">
        <v>15.255850000000001</v>
      </c>
      <c r="E5">
        <v>4.1189400000000003</v>
      </c>
      <c r="F5">
        <v>0.83316999999999997</v>
      </c>
      <c r="G5">
        <v>2.4096000000000002</v>
      </c>
      <c r="H5">
        <v>13.151899999999999</v>
      </c>
      <c r="I5">
        <v>2.1381299999999999</v>
      </c>
      <c r="J5">
        <v>7.9496799999999999</v>
      </c>
      <c r="K5">
        <v>3.0640900000000002</v>
      </c>
      <c r="L5">
        <v>64.230540000000005</v>
      </c>
      <c r="M5">
        <v>24.377579999999998</v>
      </c>
    </row>
    <row r="6" spans="1:13" x14ac:dyDescent="0.2">
      <c r="A6" s="11">
        <v>44075</v>
      </c>
      <c r="B6">
        <v>1.32</v>
      </c>
      <c r="C6">
        <v>4.0599999999999996</v>
      </c>
      <c r="D6">
        <v>8.3699999999999992</v>
      </c>
      <c r="E6">
        <v>-1.81</v>
      </c>
      <c r="F6">
        <v>-6.01</v>
      </c>
      <c r="G6">
        <v>-23.41</v>
      </c>
      <c r="H6">
        <v>-8.65</v>
      </c>
      <c r="I6">
        <v>1.28</v>
      </c>
      <c r="J6">
        <v>-14.36</v>
      </c>
      <c r="K6">
        <v>-4.2699999999999996</v>
      </c>
      <c r="L6">
        <v>1.87</v>
      </c>
      <c r="M6">
        <v>7.19</v>
      </c>
    </row>
    <row r="7" spans="1:13" x14ac:dyDescent="0.2">
      <c r="A7" s="11">
        <v>44105</v>
      </c>
      <c r="B7">
        <v>1.31</v>
      </c>
      <c r="C7">
        <v>4.33</v>
      </c>
      <c r="D7">
        <v>7.05</v>
      </c>
      <c r="E7">
        <v>2.93</v>
      </c>
      <c r="F7">
        <v>-0.2</v>
      </c>
      <c r="G7">
        <v>-22.95</v>
      </c>
      <c r="H7">
        <v>-11.14</v>
      </c>
      <c r="I7">
        <v>-0.08</v>
      </c>
      <c r="J7">
        <v>-18.32</v>
      </c>
      <c r="K7">
        <v>-4.2699999999999996</v>
      </c>
      <c r="L7">
        <v>2.21</v>
      </c>
      <c r="M7">
        <v>6.18</v>
      </c>
    </row>
    <row r="8" spans="1:13" x14ac:dyDescent="0.2">
      <c r="A8" s="11">
        <v>44136</v>
      </c>
      <c r="B8">
        <v>2.29</v>
      </c>
      <c r="C8">
        <v>3.8</v>
      </c>
      <c r="D8">
        <v>4.6100000000000003</v>
      </c>
      <c r="E8">
        <v>8.66</v>
      </c>
      <c r="F8">
        <v>10.38</v>
      </c>
      <c r="G8">
        <v>-21.51</v>
      </c>
      <c r="H8">
        <v>-7.01</v>
      </c>
      <c r="I8">
        <v>0</v>
      </c>
      <c r="J8">
        <v>-15.92</v>
      </c>
      <c r="K8">
        <v>6.73</v>
      </c>
      <c r="L8">
        <v>3.23</v>
      </c>
      <c r="M8">
        <v>4.79</v>
      </c>
    </row>
    <row r="9" spans="1:13" x14ac:dyDescent="0.2">
      <c r="A9" s="11">
        <v>44166</v>
      </c>
      <c r="B9">
        <v>1.95</v>
      </c>
      <c r="C9">
        <v>-0.6</v>
      </c>
      <c r="D9">
        <v>-0.92</v>
      </c>
      <c r="E9">
        <v>2.99</v>
      </c>
      <c r="F9">
        <v>16.670000000000002</v>
      </c>
      <c r="G9">
        <v>-15.99</v>
      </c>
      <c r="H9">
        <v>-6.1</v>
      </c>
      <c r="I9">
        <v>0.4</v>
      </c>
      <c r="J9">
        <v>-11.17</v>
      </c>
      <c r="K9">
        <v>-0.85</v>
      </c>
      <c r="L9">
        <v>4.49</v>
      </c>
      <c r="M9">
        <v>1.1100000000000001</v>
      </c>
    </row>
    <row r="10" spans="1:13" x14ac:dyDescent="0.2">
      <c r="A10" s="11">
        <v>44197</v>
      </c>
      <c r="B10">
        <v>2.5099999999999998</v>
      </c>
      <c r="C10">
        <v>-1.56</v>
      </c>
      <c r="D10">
        <v>-2.93</v>
      </c>
      <c r="E10">
        <v>4.24</v>
      </c>
      <c r="F10">
        <v>12.35</v>
      </c>
      <c r="G10">
        <v>-9.44</v>
      </c>
      <c r="H10">
        <v>-3.82</v>
      </c>
      <c r="I10">
        <v>0.4</v>
      </c>
      <c r="J10">
        <v>-6.82</v>
      </c>
      <c r="K10">
        <v>-0.85</v>
      </c>
      <c r="L10">
        <v>5.47</v>
      </c>
      <c r="M10">
        <v>-0.26</v>
      </c>
    </row>
    <row r="11" spans="1:13" x14ac:dyDescent="0.2">
      <c r="A11" s="11">
        <v>44228</v>
      </c>
      <c r="B11">
        <v>4.83</v>
      </c>
      <c r="C11">
        <v>3.01</v>
      </c>
      <c r="D11">
        <v>1.81</v>
      </c>
      <c r="E11">
        <v>4.0199999999999996</v>
      </c>
      <c r="F11">
        <v>17.09</v>
      </c>
      <c r="G11">
        <v>5.29</v>
      </c>
      <c r="H11">
        <v>2.0299999999999998</v>
      </c>
      <c r="I11">
        <v>0.32</v>
      </c>
      <c r="J11">
        <v>3.14</v>
      </c>
      <c r="K11">
        <v>0.86</v>
      </c>
      <c r="L11">
        <v>6.06</v>
      </c>
      <c r="M11">
        <v>3.58</v>
      </c>
    </row>
    <row r="12" spans="1:13" x14ac:dyDescent="0.2">
      <c r="A12" s="11">
        <v>44256</v>
      </c>
      <c r="B12">
        <v>7.89</v>
      </c>
      <c r="C12">
        <v>7.28</v>
      </c>
      <c r="D12">
        <v>3.44</v>
      </c>
      <c r="E12">
        <v>11.94</v>
      </c>
      <c r="F12">
        <v>19.96</v>
      </c>
      <c r="G12">
        <v>38.49</v>
      </c>
      <c r="H12">
        <v>9.75</v>
      </c>
      <c r="I12">
        <v>0.32</v>
      </c>
      <c r="J12">
        <v>19.61</v>
      </c>
      <c r="K12">
        <v>-2.46</v>
      </c>
      <c r="L12">
        <v>7.84</v>
      </c>
      <c r="M12">
        <v>5.63</v>
      </c>
    </row>
    <row r="13" spans="1:13" x14ac:dyDescent="0.2">
      <c r="A13" s="11">
        <v>44287</v>
      </c>
      <c r="B13">
        <v>10.74</v>
      </c>
      <c r="C13">
        <v>9.94</v>
      </c>
      <c r="D13">
        <v>4.5999999999999996</v>
      </c>
      <c r="E13">
        <v>15.58</v>
      </c>
      <c r="F13">
        <v>20.64</v>
      </c>
      <c r="G13">
        <v>80.760000000000005</v>
      </c>
      <c r="H13">
        <v>21.27</v>
      </c>
      <c r="I13">
        <v>0.63</v>
      </c>
      <c r="J13">
        <v>46.03</v>
      </c>
      <c r="K13">
        <v>-2.46</v>
      </c>
      <c r="L13">
        <v>9.44</v>
      </c>
      <c r="M13">
        <v>7.52</v>
      </c>
    </row>
    <row r="14" spans="1:13" x14ac:dyDescent="0.2">
      <c r="A14" s="11">
        <v>44317</v>
      </c>
      <c r="B14">
        <v>13.11</v>
      </c>
      <c r="C14">
        <v>9.4</v>
      </c>
      <c r="D14">
        <v>4.25</v>
      </c>
      <c r="E14">
        <v>18.37</v>
      </c>
      <c r="F14">
        <v>13.25</v>
      </c>
      <c r="G14">
        <v>59.52</v>
      </c>
      <c r="H14">
        <v>36.74</v>
      </c>
      <c r="I14">
        <v>0.71</v>
      </c>
      <c r="J14">
        <v>83.05</v>
      </c>
      <c r="K14">
        <v>0.19</v>
      </c>
      <c r="L14">
        <v>11.25</v>
      </c>
      <c r="M14">
        <v>8.25</v>
      </c>
    </row>
    <row r="15" spans="1:13" x14ac:dyDescent="0.2">
      <c r="A15" s="11">
        <v>44348</v>
      </c>
      <c r="B15">
        <v>12.07</v>
      </c>
      <c r="C15">
        <v>8.59</v>
      </c>
      <c r="D15">
        <v>3.28</v>
      </c>
      <c r="E15">
        <v>18.63</v>
      </c>
      <c r="F15">
        <v>15.33</v>
      </c>
      <c r="G15">
        <v>46.97</v>
      </c>
      <c r="H15">
        <v>29.32</v>
      </c>
      <c r="I15">
        <v>0.71</v>
      </c>
      <c r="J15">
        <v>61.81</v>
      </c>
      <c r="K15">
        <v>-2.77</v>
      </c>
      <c r="L15">
        <v>10.96</v>
      </c>
      <c r="M15">
        <v>6.72</v>
      </c>
    </row>
    <row r="16" spans="1:13" x14ac:dyDescent="0.2">
      <c r="A16" s="11">
        <v>44378</v>
      </c>
      <c r="B16">
        <v>11.57</v>
      </c>
      <c r="C16">
        <v>6.34</v>
      </c>
      <c r="D16">
        <v>0.12</v>
      </c>
      <c r="E16">
        <v>22.94</v>
      </c>
      <c r="F16">
        <v>12.55</v>
      </c>
      <c r="G16">
        <v>42.25</v>
      </c>
      <c r="H16">
        <v>27.01</v>
      </c>
      <c r="I16">
        <v>0.87</v>
      </c>
      <c r="J16">
        <v>53.7</v>
      </c>
      <c r="K16">
        <v>-2.77</v>
      </c>
      <c r="L16">
        <v>11.46</v>
      </c>
      <c r="M16">
        <v>4.5199999999999996</v>
      </c>
    </row>
    <row r="17" spans="1:13" x14ac:dyDescent="0.2">
      <c r="A17" s="11">
        <v>44409</v>
      </c>
      <c r="B17">
        <v>11.64</v>
      </c>
      <c r="C17">
        <v>5.93</v>
      </c>
      <c r="D17">
        <v>-0.8</v>
      </c>
      <c r="E17">
        <v>28.69</v>
      </c>
      <c r="F17">
        <v>7.16</v>
      </c>
      <c r="G17">
        <v>34.49</v>
      </c>
      <c r="H17">
        <v>28.15</v>
      </c>
      <c r="I17">
        <v>1.03</v>
      </c>
      <c r="J17">
        <v>52.68</v>
      </c>
      <c r="K17">
        <v>2.9</v>
      </c>
      <c r="L17">
        <v>11.56</v>
      </c>
      <c r="M17">
        <v>3.76</v>
      </c>
    </row>
    <row r="18" spans="1:13" x14ac:dyDescent="0.2">
      <c r="A18" s="11">
        <v>44440</v>
      </c>
      <c r="B18">
        <v>11.8</v>
      </c>
      <c r="C18">
        <v>5.98</v>
      </c>
      <c r="D18">
        <v>-2.5499999999999998</v>
      </c>
      <c r="E18">
        <v>29.48</v>
      </c>
      <c r="F18">
        <v>30.79</v>
      </c>
      <c r="G18">
        <v>48.96</v>
      </c>
      <c r="H18">
        <v>29.49</v>
      </c>
      <c r="I18">
        <v>1.03</v>
      </c>
      <c r="J18">
        <v>51.74</v>
      </c>
      <c r="K18">
        <v>10.83</v>
      </c>
      <c r="L18">
        <v>11.57</v>
      </c>
      <c r="M18">
        <v>2.59</v>
      </c>
    </row>
    <row r="19" spans="1:13" x14ac:dyDescent="0.2">
      <c r="A19" s="11">
        <v>44470</v>
      </c>
      <c r="B19">
        <v>13.83</v>
      </c>
      <c r="C19">
        <v>7.38</v>
      </c>
      <c r="D19">
        <v>0.06</v>
      </c>
      <c r="E19">
        <v>18.41</v>
      </c>
      <c r="F19">
        <v>16.57</v>
      </c>
      <c r="G19">
        <v>86.36</v>
      </c>
      <c r="H19">
        <v>38.61</v>
      </c>
      <c r="I19">
        <v>1.98</v>
      </c>
      <c r="J19">
        <v>70.05</v>
      </c>
      <c r="K19">
        <v>10.83</v>
      </c>
      <c r="L19">
        <v>12.87</v>
      </c>
      <c r="M19">
        <v>4.25</v>
      </c>
    </row>
    <row r="20" spans="1:13" x14ac:dyDescent="0.2">
      <c r="A20" s="11">
        <v>44501</v>
      </c>
      <c r="B20">
        <v>14.87</v>
      </c>
      <c r="C20">
        <v>10.210000000000001</v>
      </c>
      <c r="D20">
        <v>4.82</v>
      </c>
      <c r="E20">
        <v>13.41</v>
      </c>
      <c r="F20">
        <v>26.18</v>
      </c>
      <c r="G20">
        <v>71.11</v>
      </c>
      <c r="H20">
        <v>44.37</v>
      </c>
      <c r="I20">
        <v>3.08</v>
      </c>
      <c r="J20">
        <v>81.849999999999994</v>
      </c>
      <c r="K20">
        <v>12.01</v>
      </c>
      <c r="L20">
        <v>12.34</v>
      </c>
      <c r="M20">
        <v>6.83</v>
      </c>
    </row>
    <row r="21" spans="1:13" x14ac:dyDescent="0.2">
      <c r="A21" s="11">
        <v>44531</v>
      </c>
      <c r="B21">
        <v>14.27</v>
      </c>
      <c r="C21">
        <v>13.78</v>
      </c>
      <c r="D21">
        <v>9.68</v>
      </c>
      <c r="E21">
        <v>19.28</v>
      </c>
      <c r="F21">
        <v>18.87</v>
      </c>
      <c r="G21">
        <v>47.5</v>
      </c>
      <c r="H21">
        <v>38.08</v>
      </c>
      <c r="I21">
        <v>3.07</v>
      </c>
      <c r="J21">
        <v>65.23</v>
      </c>
      <c r="K21">
        <v>15.74</v>
      </c>
      <c r="L21">
        <v>10.71</v>
      </c>
      <c r="M21">
        <v>9.3699999999999992</v>
      </c>
    </row>
    <row r="22" spans="1:13" x14ac:dyDescent="0.2">
      <c r="A22" s="11">
        <v>44562</v>
      </c>
      <c r="B22">
        <v>13.68</v>
      </c>
      <c r="C22">
        <v>15.6</v>
      </c>
      <c r="D22">
        <v>10.4</v>
      </c>
      <c r="E22">
        <v>20.48</v>
      </c>
      <c r="F22">
        <v>30.03</v>
      </c>
      <c r="G22">
        <v>55.4</v>
      </c>
      <c r="H22">
        <v>34.36</v>
      </c>
      <c r="I22">
        <v>3.07</v>
      </c>
      <c r="J22">
        <v>56.18</v>
      </c>
      <c r="K22">
        <v>15.74</v>
      </c>
      <c r="L22">
        <v>9.5</v>
      </c>
      <c r="M22">
        <v>9.5500000000000007</v>
      </c>
    </row>
    <row r="23" spans="1:13" x14ac:dyDescent="0.2">
      <c r="A23" s="11">
        <v>44593</v>
      </c>
      <c r="B23">
        <v>13.43</v>
      </c>
      <c r="C23">
        <v>13.87</v>
      </c>
      <c r="D23">
        <v>8.19</v>
      </c>
      <c r="E23">
        <v>24.23</v>
      </c>
      <c r="F23">
        <v>22.08</v>
      </c>
      <c r="G23">
        <v>46.14</v>
      </c>
      <c r="H23">
        <v>30.84</v>
      </c>
      <c r="I23">
        <v>3.15</v>
      </c>
      <c r="J23">
        <v>49.95</v>
      </c>
      <c r="K23">
        <v>12.07</v>
      </c>
      <c r="L23">
        <v>10.24</v>
      </c>
      <c r="M23">
        <v>8.67</v>
      </c>
    </row>
    <row r="24" spans="1:13" x14ac:dyDescent="0.2">
      <c r="A24" s="11">
        <v>44621</v>
      </c>
      <c r="B24">
        <v>14.63</v>
      </c>
      <c r="C24">
        <v>15.94</v>
      </c>
      <c r="D24">
        <v>8.44</v>
      </c>
      <c r="E24">
        <v>25.27</v>
      </c>
      <c r="F24">
        <v>21.69</v>
      </c>
      <c r="G24">
        <v>69.2</v>
      </c>
      <c r="H24">
        <v>31.78</v>
      </c>
      <c r="I24">
        <v>3.15</v>
      </c>
      <c r="J24">
        <v>50.14</v>
      </c>
      <c r="K24">
        <v>9.99</v>
      </c>
      <c r="L24">
        <v>11.26</v>
      </c>
      <c r="M24">
        <v>9.2899999999999991</v>
      </c>
    </row>
    <row r="25" spans="1:13" x14ac:dyDescent="0.2">
      <c r="A25" s="11">
        <v>44652</v>
      </c>
      <c r="B25">
        <v>15.38</v>
      </c>
      <c r="C25">
        <v>15.18</v>
      </c>
      <c r="D25">
        <v>8.48</v>
      </c>
      <c r="E25">
        <v>23.95</v>
      </c>
      <c r="F25">
        <v>12</v>
      </c>
      <c r="G25">
        <v>69.069999999999993</v>
      </c>
      <c r="H25">
        <v>38.840000000000003</v>
      </c>
      <c r="I25">
        <v>2.83</v>
      </c>
      <c r="J25">
        <v>62.85</v>
      </c>
      <c r="K25">
        <v>9.99</v>
      </c>
      <c r="L25">
        <v>11.39</v>
      </c>
      <c r="M25">
        <v>9.1300000000000008</v>
      </c>
    </row>
    <row r="26" spans="1:13" x14ac:dyDescent="0.2">
      <c r="A26" s="11">
        <v>44682</v>
      </c>
      <c r="B26">
        <v>16.63</v>
      </c>
      <c r="C26">
        <v>18.84</v>
      </c>
      <c r="D26">
        <v>11.78</v>
      </c>
      <c r="E26">
        <v>24.07</v>
      </c>
      <c r="F26">
        <v>23</v>
      </c>
      <c r="G26">
        <v>79.5</v>
      </c>
      <c r="H26">
        <v>49</v>
      </c>
      <c r="I26">
        <v>2.83</v>
      </c>
      <c r="J26">
        <v>74.650000000000006</v>
      </c>
      <c r="K26">
        <v>20.149999999999999</v>
      </c>
      <c r="L26">
        <v>10.27</v>
      </c>
      <c r="M26">
        <v>10.58</v>
      </c>
    </row>
    <row r="27" spans="1:13" x14ac:dyDescent="0.2">
      <c r="A27" s="11">
        <v>44713</v>
      </c>
      <c r="B27">
        <v>16.23</v>
      </c>
      <c r="C27">
        <v>18.63</v>
      </c>
      <c r="D27">
        <v>13.71</v>
      </c>
      <c r="E27">
        <v>18.53</v>
      </c>
      <c r="F27">
        <v>7.56</v>
      </c>
      <c r="G27">
        <v>77.290000000000006</v>
      </c>
      <c r="H27">
        <v>50.95</v>
      </c>
      <c r="I27">
        <v>2.83</v>
      </c>
      <c r="J27">
        <v>70.989999999999995</v>
      </c>
      <c r="K27">
        <v>36.15</v>
      </c>
      <c r="L27">
        <v>9.35</v>
      </c>
      <c r="M27">
        <v>11.78</v>
      </c>
    </row>
    <row r="28" spans="1:13" x14ac:dyDescent="0.2">
      <c r="A28" s="11">
        <v>44743</v>
      </c>
      <c r="B28">
        <v>14.07</v>
      </c>
      <c r="C28">
        <v>14.78</v>
      </c>
      <c r="D28">
        <v>10.77</v>
      </c>
      <c r="E28">
        <v>12.88</v>
      </c>
      <c r="F28">
        <v>5.5</v>
      </c>
      <c r="G28">
        <v>65.94</v>
      </c>
      <c r="H28">
        <v>44.62</v>
      </c>
      <c r="I28">
        <v>2.67</v>
      </c>
      <c r="J28">
        <v>59.41</v>
      </c>
      <c r="K28">
        <v>36.25</v>
      </c>
      <c r="L28">
        <v>8.24</v>
      </c>
      <c r="M28">
        <v>9.2799999999999994</v>
      </c>
    </row>
    <row r="29" spans="1:13" x14ac:dyDescent="0.2">
      <c r="A29" s="11">
        <v>44774</v>
      </c>
      <c r="B29">
        <v>12.48</v>
      </c>
      <c r="C29">
        <v>14.74</v>
      </c>
      <c r="D29">
        <v>12.55</v>
      </c>
      <c r="E29">
        <v>8.42</v>
      </c>
      <c r="F29">
        <v>7.41</v>
      </c>
      <c r="G29">
        <v>59.94</v>
      </c>
      <c r="H29">
        <v>35.03</v>
      </c>
      <c r="I29">
        <v>5.17</v>
      </c>
      <c r="J29">
        <v>45.86</v>
      </c>
      <c r="K29">
        <v>28.29</v>
      </c>
      <c r="L29">
        <v>7.51</v>
      </c>
      <c r="M29">
        <v>10.06</v>
      </c>
    </row>
    <row r="30" spans="1:13" x14ac:dyDescent="0.2">
      <c r="A30" s="11">
        <v>44805</v>
      </c>
      <c r="B30">
        <v>10.55</v>
      </c>
      <c r="C30">
        <v>11.54</v>
      </c>
      <c r="D30">
        <v>11.03</v>
      </c>
      <c r="E30">
        <v>4.34</v>
      </c>
      <c r="F30">
        <v>-2.42</v>
      </c>
      <c r="G30">
        <v>44.72</v>
      </c>
      <c r="H30">
        <v>33.11</v>
      </c>
      <c r="I30">
        <v>5.17</v>
      </c>
      <c r="J30">
        <v>46</v>
      </c>
      <c r="K30">
        <v>20.48</v>
      </c>
      <c r="L30">
        <v>6.12</v>
      </c>
      <c r="M30">
        <v>8.02</v>
      </c>
    </row>
    <row r="31" spans="1:13" x14ac:dyDescent="0.2">
      <c r="A31" s="11">
        <v>44835</v>
      </c>
      <c r="B31">
        <v>8.67</v>
      </c>
      <c r="C31">
        <v>11.17</v>
      </c>
      <c r="D31">
        <v>8.4499999999999993</v>
      </c>
      <c r="E31">
        <v>8</v>
      </c>
      <c r="F31">
        <v>10.130000000000001</v>
      </c>
      <c r="G31">
        <v>43.57</v>
      </c>
      <c r="H31">
        <v>25.4</v>
      </c>
      <c r="I31">
        <v>4.1900000000000004</v>
      </c>
      <c r="J31">
        <v>29.09</v>
      </c>
      <c r="K31">
        <v>31.02</v>
      </c>
      <c r="L31">
        <v>4.42</v>
      </c>
      <c r="M31">
        <v>6.6</v>
      </c>
    </row>
    <row r="32" spans="1:13" x14ac:dyDescent="0.2">
      <c r="A32" s="11">
        <v>44866</v>
      </c>
      <c r="B32">
        <v>6.12</v>
      </c>
      <c r="C32">
        <v>5.94</v>
      </c>
      <c r="D32">
        <v>1.51</v>
      </c>
      <c r="E32">
        <v>7.86</v>
      </c>
      <c r="F32">
        <v>-0.05</v>
      </c>
      <c r="G32">
        <v>48.23</v>
      </c>
      <c r="H32">
        <v>19.71</v>
      </c>
      <c r="I32">
        <v>2.99</v>
      </c>
      <c r="J32">
        <v>23.76</v>
      </c>
      <c r="K32">
        <v>20.079999999999998</v>
      </c>
      <c r="L32">
        <v>3.44</v>
      </c>
      <c r="M32">
        <v>2.52</v>
      </c>
    </row>
    <row r="33" spans="1:13" x14ac:dyDescent="0.2">
      <c r="A33" s="11">
        <v>44896</v>
      </c>
      <c r="B33">
        <v>5.0199999999999996</v>
      </c>
      <c r="C33">
        <v>2.67</v>
      </c>
      <c r="D33">
        <v>-1.02</v>
      </c>
      <c r="E33">
        <v>4.01</v>
      </c>
      <c r="F33">
        <v>-0.39</v>
      </c>
      <c r="G33">
        <v>39.43</v>
      </c>
      <c r="H33">
        <v>18.09</v>
      </c>
      <c r="I33">
        <v>2.6</v>
      </c>
      <c r="J33">
        <v>22.69</v>
      </c>
      <c r="K33">
        <v>16.559999999999999</v>
      </c>
      <c r="L33">
        <v>3.37</v>
      </c>
      <c r="M33">
        <v>0.89</v>
      </c>
    </row>
    <row r="34" spans="1:13" x14ac:dyDescent="0.2">
      <c r="A34" s="11">
        <v>44927</v>
      </c>
      <c r="B34">
        <v>4.8</v>
      </c>
      <c r="C34">
        <v>4.0599999999999996</v>
      </c>
      <c r="D34">
        <v>2.67</v>
      </c>
      <c r="E34">
        <v>4.7</v>
      </c>
      <c r="F34">
        <v>-9.9700000000000006</v>
      </c>
      <c r="G34">
        <v>23.79</v>
      </c>
      <c r="H34">
        <v>15</v>
      </c>
      <c r="I34">
        <v>2.6</v>
      </c>
      <c r="J34">
        <v>17.88</v>
      </c>
      <c r="K34">
        <v>15.82</v>
      </c>
      <c r="L34">
        <v>3.06</v>
      </c>
      <c r="M34">
        <v>3.13</v>
      </c>
    </row>
    <row r="35" spans="1:13" x14ac:dyDescent="0.2">
      <c r="A35" s="11">
        <v>44958</v>
      </c>
      <c r="B35">
        <v>3.85</v>
      </c>
      <c r="C35">
        <v>3.64</v>
      </c>
      <c r="D35">
        <v>3.81</v>
      </c>
      <c r="E35">
        <v>0</v>
      </c>
      <c r="F35">
        <v>-3.33</v>
      </c>
      <c r="G35">
        <v>14.47</v>
      </c>
      <c r="H35">
        <v>13.96</v>
      </c>
      <c r="I35">
        <v>3.59</v>
      </c>
      <c r="J35">
        <v>15.82</v>
      </c>
      <c r="K35">
        <v>15.63</v>
      </c>
      <c r="L35">
        <v>1.94</v>
      </c>
      <c r="M35">
        <v>2.76</v>
      </c>
    </row>
    <row r="36" spans="1:13" x14ac:dyDescent="0.2">
      <c r="A36" s="11">
        <v>44986</v>
      </c>
      <c r="B36">
        <v>1.41</v>
      </c>
      <c r="C36">
        <v>2.52</v>
      </c>
      <c r="D36">
        <v>5.42</v>
      </c>
      <c r="E36">
        <v>-4.51</v>
      </c>
      <c r="F36">
        <v>-2.84</v>
      </c>
      <c r="G36">
        <v>-1.19</v>
      </c>
      <c r="H36">
        <v>8.69</v>
      </c>
      <c r="I36">
        <v>3.21</v>
      </c>
      <c r="J36">
        <v>6.1</v>
      </c>
      <c r="K36">
        <v>21.44</v>
      </c>
      <c r="L36">
        <v>-0.7</v>
      </c>
      <c r="M36">
        <v>2.3199999999999998</v>
      </c>
    </row>
    <row r="37" spans="1:13" x14ac:dyDescent="0.2">
      <c r="A37" s="11">
        <v>45017</v>
      </c>
      <c r="B37">
        <v>-0.79</v>
      </c>
      <c r="C37">
        <v>1.89</v>
      </c>
      <c r="D37">
        <v>3.88</v>
      </c>
      <c r="E37">
        <v>-6.7</v>
      </c>
      <c r="F37">
        <v>7.88</v>
      </c>
      <c r="G37">
        <v>1.64</v>
      </c>
      <c r="H37">
        <v>0.99</v>
      </c>
      <c r="I37">
        <v>3.51</v>
      </c>
      <c r="J37">
        <v>-4.9400000000000004</v>
      </c>
      <c r="K37">
        <v>20.13</v>
      </c>
      <c r="L37">
        <v>-2.2799999999999998</v>
      </c>
      <c r="M37">
        <v>0.4</v>
      </c>
    </row>
    <row r="38" spans="1:13" x14ac:dyDescent="0.2">
      <c r="A38" s="11">
        <v>45047</v>
      </c>
      <c r="B38">
        <v>-3.61</v>
      </c>
      <c r="C38">
        <v>-1.9</v>
      </c>
      <c r="D38">
        <v>1.63</v>
      </c>
      <c r="E38">
        <v>-9.51</v>
      </c>
      <c r="F38">
        <v>2.19</v>
      </c>
      <c r="G38">
        <v>-13.66</v>
      </c>
      <c r="H38">
        <v>-9.17</v>
      </c>
      <c r="I38">
        <v>2.52</v>
      </c>
      <c r="J38">
        <v>-16.23</v>
      </c>
      <c r="K38">
        <v>9.49</v>
      </c>
      <c r="L38">
        <v>-3.03</v>
      </c>
      <c r="M38">
        <v>-1.54</v>
      </c>
    </row>
    <row r="39" spans="1:13" x14ac:dyDescent="0.2">
      <c r="A39" s="11">
        <v>45078</v>
      </c>
      <c r="B39">
        <v>-4.18</v>
      </c>
      <c r="C39">
        <v>-2.98</v>
      </c>
      <c r="D39">
        <v>1.32</v>
      </c>
      <c r="E39">
        <v>-9.66</v>
      </c>
      <c r="F39">
        <v>0.53</v>
      </c>
      <c r="G39">
        <v>-21.43</v>
      </c>
      <c r="H39">
        <v>-12.51</v>
      </c>
      <c r="I39">
        <v>5.12</v>
      </c>
      <c r="J39">
        <v>-19.489999999999998</v>
      </c>
      <c r="K39">
        <v>1.1200000000000001</v>
      </c>
      <c r="L39">
        <v>-2.78</v>
      </c>
      <c r="M39">
        <v>-1.3</v>
      </c>
    </row>
    <row r="40" spans="1:13" x14ac:dyDescent="0.2">
      <c r="A40" s="11">
        <v>45108</v>
      </c>
      <c r="B40">
        <v>-1.23</v>
      </c>
      <c r="C40">
        <v>8.24</v>
      </c>
      <c r="D40">
        <v>15.09</v>
      </c>
      <c r="E40">
        <v>-5.76</v>
      </c>
      <c r="F40">
        <v>8.9499999999999993</v>
      </c>
      <c r="G40">
        <v>-13.66</v>
      </c>
      <c r="H40">
        <v>-12.73</v>
      </c>
      <c r="I40">
        <v>5.12</v>
      </c>
      <c r="J40">
        <v>-19.64</v>
      </c>
      <c r="K40">
        <v>0.3</v>
      </c>
      <c r="L40">
        <v>-2.58</v>
      </c>
      <c r="M40">
        <v>8.32</v>
      </c>
    </row>
    <row r="41" spans="1:13" x14ac:dyDescent="0.2">
      <c r="A41" s="11">
        <v>45139</v>
      </c>
      <c r="B41">
        <v>-0.46</v>
      </c>
      <c r="C41">
        <v>6.73</v>
      </c>
      <c r="D41">
        <v>11.43</v>
      </c>
      <c r="E41">
        <v>-6.8</v>
      </c>
      <c r="F41">
        <v>6.53</v>
      </c>
      <c r="G41">
        <v>-1.93</v>
      </c>
      <c r="H41">
        <v>-6.34</v>
      </c>
      <c r="I41">
        <v>2.46</v>
      </c>
      <c r="J41">
        <v>-9.74</v>
      </c>
      <c r="K41">
        <v>-1.03</v>
      </c>
      <c r="L41">
        <v>-2.2999999999999998</v>
      </c>
      <c r="M41">
        <v>6.19</v>
      </c>
    </row>
    <row r="42" spans="1:13" x14ac:dyDescent="0.2">
      <c r="A42" s="11">
        <v>45170</v>
      </c>
      <c r="B42">
        <v>-7.0000000000000007E-2</v>
      </c>
      <c r="C42">
        <v>4.38</v>
      </c>
      <c r="D42">
        <v>3.79</v>
      </c>
      <c r="E42">
        <v>-2.14</v>
      </c>
      <c r="F42">
        <v>18.96</v>
      </c>
      <c r="G42">
        <v>15.62</v>
      </c>
      <c r="H42">
        <v>-3.35</v>
      </c>
      <c r="I42">
        <v>1.79</v>
      </c>
      <c r="J42">
        <v>-4.66</v>
      </c>
      <c r="K42">
        <v>-2.56</v>
      </c>
      <c r="L42">
        <v>-1.27</v>
      </c>
      <c r="M42">
        <v>1.88</v>
      </c>
    </row>
    <row r="43" spans="1:13" x14ac:dyDescent="0.2">
      <c r="A43" s="11">
        <v>45200</v>
      </c>
      <c r="B43">
        <v>-0.26</v>
      </c>
      <c r="C43">
        <v>2.2599999999999998</v>
      </c>
      <c r="D43">
        <v>3.17</v>
      </c>
      <c r="E43">
        <v>-1.1399999999999999</v>
      </c>
      <c r="F43">
        <v>11.64</v>
      </c>
      <c r="G43">
        <v>-2.17</v>
      </c>
      <c r="H43">
        <v>-1.58</v>
      </c>
      <c r="I43">
        <v>1.79</v>
      </c>
      <c r="J43">
        <v>-0.48</v>
      </c>
      <c r="K43">
        <v>-6.8</v>
      </c>
      <c r="L43">
        <v>-1.06</v>
      </c>
      <c r="M43">
        <v>1.46</v>
      </c>
    </row>
    <row r="44" spans="1:13" x14ac:dyDescent="0.2">
      <c r="A44" s="11">
        <v>45231</v>
      </c>
      <c r="B44">
        <v>0.39</v>
      </c>
      <c r="C44">
        <v>5.16</v>
      </c>
      <c r="D44">
        <v>8.84</v>
      </c>
      <c r="E44">
        <v>-2.96</v>
      </c>
      <c r="F44">
        <v>8.7200000000000006</v>
      </c>
      <c r="G44">
        <v>-7.13</v>
      </c>
      <c r="H44">
        <v>-4.05</v>
      </c>
      <c r="I44">
        <v>1.79</v>
      </c>
      <c r="J44">
        <v>-5.74</v>
      </c>
      <c r="K44">
        <v>-2.91</v>
      </c>
      <c r="L44">
        <v>-0.78</v>
      </c>
      <c r="M44">
        <v>5.15</v>
      </c>
    </row>
    <row r="45" spans="1:13" x14ac:dyDescent="0.2">
      <c r="A45" s="11">
        <v>45261</v>
      </c>
      <c r="B45">
        <v>0.86</v>
      </c>
      <c r="C45">
        <v>5.73</v>
      </c>
      <c r="D45">
        <v>9.32</v>
      </c>
      <c r="E45">
        <v>-5.2</v>
      </c>
      <c r="F45">
        <v>6.77</v>
      </c>
      <c r="G45">
        <v>-0.13</v>
      </c>
      <c r="H45">
        <v>-1.39</v>
      </c>
      <c r="I45">
        <v>1.79</v>
      </c>
      <c r="J45">
        <v>-2.68</v>
      </c>
      <c r="K45">
        <v>0.44</v>
      </c>
      <c r="L45">
        <v>-0.78</v>
      </c>
      <c r="M45">
        <v>5.39</v>
      </c>
    </row>
    <row r="46" spans="1:13" x14ac:dyDescent="0.2">
      <c r="A46" s="11">
        <v>45292</v>
      </c>
      <c r="B46">
        <v>0.33</v>
      </c>
      <c r="C46">
        <v>4.07</v>
      </c>
      <c r="D46">
        <v>6.91</v>
      </c>
      <c r="E46">
        <v>-6.39</v>
      </c>
      <c r="F46">
        <v>10.58</v>
      </c>
      <c r="G46">
        <v>0.2</v>
      </c>
      <c r="H46">
        <v>-0.45</v>
      </c>
      <c r="I46">
        <v>1.41</v>
      </c>
      <c r="J46">
        <v>-1.1200000000000001</v>
      </c>
      <c r="K46">
        <v>0.32</v>
      </c>
      <c r="L46">
        <v>-1.2</v>
      </c>
      <c r="M46">
        <v>3.85</v>
      </c>
    </row>
    <row r="47" spans="1:13" x14ac:dyDescent="0.2">
      <c r="A47" s="11">
        <v>45323</v>
      </c>
      <c r="B47">
        <v>0.2</v>
      </c>
      <c r="C47">
        <v>4.55</v>
      </c>
      <c r="D47">
        <v>7.07</v>
      </c>
      <c r="E47">
        <v>-6.52</v>
      </c>
      <c r="F47">
        <v>3.45</v>
      </c>
      <c r="G47">
        <v>8.24</v>
      </c>
      <c r="H47">
        <v>-1.71</v>
      </c>
      <c r="I47">
        <v>0.28999999999999998</v>
      </c>
      <c r="J47">
        <v>-3.81</v>
      </c>
      <c r="K47">
        <v>3.02</v>
      </c>
      <c r="L47">
        <v>-1.27</v>
      </c>
      <c r="M47">
        <v>4.1399999999999997</v>
      </c>
    </row>
    <row r="48" spans="1:13" x14ac:dyDescent="0.2">
      <c r="A48" s="11">
        <v>45352</v>
      </c>
      <c r="B48">
        <v>0.26</v>
      </c>
      <c r="C48">
        <v>4.57</v>
      </c>
      <c r="D48">
        <v>7.05</v>
      </c>
      <c r="E48">
        <v>-4.25</v>
      </c>
      <c r="F48">
        <v>-0.36</v>
      </c>
      <c r="G48">
        <v>4.87</v>
      </c>
      <c r="H48">
        <v>-2.75</v>
      </c>
      <c r="I48">
        <v>0.52</v>
      </c>
      <c r="J48">
        <v>-3.51</v>
      </c>
      <c r="K48">
        <v>-2.56</v>
      </c>
      <c r="L48">
        <v>-0.85</v>
      </c>
      <c r="M48">
        <v>4.82</v>
      </c>
    </row>
    <row r="49" spans="1:13" x14ac:dyDescent="0.2">
      <c r="A49" s="11">
        <v>45383</v>
      </c>
      <c r="B49">
        <v>1.19</v>
      </c>
      <c r="C49">
        <v>5.23</v>
      </c>
      <c r="D49">
        <v>8.07</v>
      </c>
      <c r="E49">
        <v>-4.7699999999999996</v>
      </c>
      <c r="F49">
        <v>-0.27</v>
      </c>
      <c r="G49">
        <v>4.97</v>
      </c>
      <c r="H49">
        <v>-0.85</v>
      </c>
      <c r="I49">
        <v>0.3</v>
      </c>
      <c r="J49">
        <v>-0.06</v>
      </c>
      <c r="K49">
        <v>-3.88</v>
      </c>
      <c r="L49">
        <v>-0.14000000000000001</v>
      </c>
      <c r="M49">
        <v>6.09</v>
      </c>
    </row>
    <row r="50" spans="1:13" x14ac:dyDescent="0.2">
      <c r="A50" s="11">
        <v>45413</v>
      </c>
      <c r="B50">
        <v>2.74</v>
      </c>
      <c r="C50">
        <v>7.42</v>
      </c>
      <c r="D50">
        <v>9.93</v>
      </c>
      <c r="E50">
        <v>-3.87</v>
      </c>
      <c r="F50">
        <v>5.73</v>
      </c>
      <c r="G50">
        <v>9.8000000000000007</v>
      </c>
      <c r="H50">
        <v>1.01</v>
      </c>
      <c r="I50">
        <v>1.19</v>
      </c>
      <c r="J50">
        <v>1.98</v>
      </c>
      <c r="K50">
        <v>-1.95</v>
      </c>
      <c r="L50">
        <v>1</v>
      </c>
      <c r="M50">
        <v>7.75</v>
      </c>
    </row>
    <row r="51" spans="1:13" x14ac:dyDescent="0.2">
      <c r="A51" s="11">
        <v>45444</v>
      </c>
      <c r="B51">
        <v>3.43</v>
      </c>
      <c r="C51">
        <v>9.1999999999999993</v>
      </c>
      <c r="D51">
        <v>11.14</v>
      </c>
      <c r="E51">
        <v>-1.01</v>
      </c>
      <c r="F51">
        <v>10.7</v>
      </c>
      <c r="G51">
        <v>12.55</v>
      </c>
      <c r="H51">
        <v>0.48</v>
      </c>
      <c r="I51">
        <v>-1.31</v>
      </c>
      <c r="J51">
        <v>1.9</v>
      </c>
      <c r="K51">
        <v>-2.37</v>
      </c>
      <c r="L51">
        <v>1.5</v>
      </c>
      <c r="M51">
        <v>8.91</v>
      </c>
    </row>
    <row r="52" spans="1:13" x14ac:dyDescent="0.2">
      <c r="A52" s="11">
        <v>45474</v>
      </c>
      <c r="B52">
        <v>2.1</v>
      </c>
      <c r="C52">
        <v>3.18</v>
      </c>
      <c r="D52">
        <v>3.5</v>
      </c>
      <c r="E52">
        <v>-1.85</v>
      </c>
      <c r="F52">
        <v>5.2</v>
      </c>
      <c r="G52">
        <v>9.1199999999999992</v>
      </c>
      <c r="H52">
        <v>1.93</v>
      </c>
      <c r="I52">
        <v>-1.45</v>
      </c>
      <c r="J52">
        <v>3.69</v>
      </c>
      <c r="K52">
        <v>-0.97</v>
      </c>
      <c r="L52">
        <v>1.58</v>
      </c>
      <c r="M52">
        <v>3.6</v>
      </c>
    </row>
    <row r="53" spans="1:13" x14ac:dyDescent="0.2">
      <c r="A53" s="11">
        <v>45505</v>
      </c>
      <c r="B53">
        <v>1.25</v>
      </c>
      <c r="C53">
        <v>2.52</v>
      </c>
      <c r="D53">
        <v>3.06</v>
      </c>
      <c r="E53">
        <v>-1.84</v>
      </c>
      <c r="F53">
        <v>10.75</v>
      </c>
      <c r="G53">
        <v>1.77</v>
      </c>
      <c r="H53">
        <v>-0.54</v>
      </c>
      <c r="I53">
        <v>-1.45</v>
      </c>
      <c r="J53">
        <v>-0.44</v>
      </c>
      <c r="K53">
        <v>-0.22</v>
      </c>
      <c r="L53">
        <v>1</v>
      </c>
      <c r="M53">
        <v>3.21</v>
      </c>
    </row>
    <row r="54" spans="1:13" x14ac:dyDescent="0.2">
      <c r="A54" s="11">
        <v>45536</v>
      </c>
      <c r="B54">
        <v>1.91</v>
      </c>
      <c r="C54">
        <v>6.48</v>
      </c>
      <c r="D54">
        <v>11.48</v>
      </c>
      <c r="E54">
        <v>-1.46</v>
      </c>
      <c r="F54">
        <v>1.04</v>
      </c>
      <c r="G54">
        <v>-13.04</v>
      </c>
      <c r="H54">
        <v>-3.85</v>
      </c>
      <c r="I54">
        <v>-0.8</v>
      </c>
      <c r="J54">
        <v>-5.74</v>
      </c>
      <c r="K54">
        <v>-0.22</v>
      </c>
      <c r="L54">
        <v>1.07</v>
      </c>
      <c r="M54">
        <v>9.81</v>
      </c>
    </row>
    <row r="55" spans="1:13" x14ac:dyDescent="0.2">
      <c r="A55" s="11">
        <v>45566</v>
      </c>
      <c r="B55">
        <v>2.75</v>
      </c>
      <c r="C55">
        <v>8.26</v>
      </c>
      <c r="D55">
        <v>13.49</v>
      </c>
      <c r="E55">
        <v>-1.34</v>
      </c>
      <c r="F55">
        <v>4.51</v>
      </c>
      <c r="G55">
        <v>-11.8</v>
      </c>
      <c r="H55">
        <v>-4.3099999999999996</v>
      </c>
      <c r="I55">
        <v>-0.88</v>
      </c>
      <c r="J55">
        <v>-7.61</v>
      </c>
      <c r="K55">
        <v>3.44</v>
      </c>
      <c r="L55">
        <v>1.78</v>
      </c>
      <c r="M55">
        <v>12.15</v>
      </c>
    </row>
    <row r="56" spans="1:13" x14ac:dyDescent="0.2">
      <c r="A56" s="11">
        <v>45597</v>
      </c>
      <c r="B56">
        <v>2.16</v>
      </c>
      <c r="C56">
        <v>5.49</v>
      </c>
      <c r="D56">
        <v>8.48</v>
      </c>
      <c r="E56">
        <v>-0.61</v>
      </c>
      <c r="F56">
        <v>6.3</v>
      </c>
      <c r="G56">
        <v>-7.74</v>
      </c>
      <c r="H56">
        <v>-4.03</v>
      </c>
      <c r="I56">
        <v>-0.88</v>
      </c>
      <c r="J56">
        <v>-5.23</v>
      </c>
      <c r="K56">
        <v>-2.54</v>
      </c>
      <c r="L56">
        <v>2.0699999999999998</v>
      </c>
      <c r="M56">
        <v>8.86</v>
      </c>
    </row>
    <row r="57" spans="1:13" x14ac:dyDescent="0.2">
      <c r="A57" s="11">
        <v>45627</v>
      </c>
      <c r="B57">
        <v>2.57</v>
      </c>
      <c r="C57">
        <v>6.02</v>
      </c>
      <c r="D57">
        <v>8.5299999999999994</v>
      </c>
      <c r="E57">
        <v>2.4</v>
      </c>
      <c r="F57">
        <v>5.7</v>
      </c>
      <c r="G57">
        <v>-6.77</v>
      </c>
      <c r="H57">
        <v>-2.57</v>
      </c>
      <c r="I57">
        <v>-0.8</v>
      </c>
      <c r="J57">
        <v>-3.81</v>
      </c>
      <c r="K57">
        <v>-0.56999999999999995</v>
      </c>
      <c r="L57">
        <v>2.14</v>
      </c>
      <c r="M57">
        <v>8.9499999999999993</v>
      </c>
    </row>
    <row r="58" spans="1:13" x14ac:dyDescent="0.2">
      <c r="A58" s="11">
        <v>45658</v>
      </c>
      <c r="B58">
        <v>2.5099999999999998</v>
      </c>
      <c r="C58">
        <v>4.58</v>
      </c>
      <c r="D58">
        <v>5.83</v>
      </c>
      <c r="E58">
        <v>3.01</v>
      </c>
      <c r="F58">
        <v>1.56</v>
      </c>
      <c r="G58">
        <v>-0.53</v>
      </c>
      <c r="H58">
        <v>-1.87</v>
      </c>
      <c r="I58">
        <v>-0.44</v>
      </c>
      <c r="J58">
        <v>-2.58</v>
      </c>
      <c r="K58">
        <v>-0.89</v>
      </c>
      <c r="L58">
        <v>2.65</v>
      </c>
      <c r="M58">
        <v>7.52</v>
      </c>
    </row>
    <row r="59" spans="1:13" x14ac:dyDescent="0.2">
      <c r="A59" s="11">
        <v>45689</v>
      </c>
      <c r="B59">
        <v>2.4500000000000002</v>
      </c>
      <c r="C59">
        <v>2.92</v>
      </c>
      <c r="D59">
        <v>3.43</v>
      </c>
      <c r="E59">
        <v>4.97</v>
      </c>
      <c r="F59">
        <v>1.29</v>
      </c>
      <c r="G59">
        <v>-4.0599999999999996</v>
      </c>
      <c r="H59">
        <v>-0.97</v>
      </c>
      <c r="I59">
        <v>-0.28999999999999998</v>
      </c>
      <c r="J59">
        <v>-0.82</v>
      </c>
      <c r="K59">
        <v>-1.66</v>
      </c>
      <c r="L59">
        <v>3</v>
      </c>
      <c r="M59">
        <v>6.17</v>
      </c>
    </row>
    <row r="60" spans="1:13" x14ac:dyDescent="0.2">
      <c r="A60" s="11">
        <v>45717</v>
      </c>
      <c r="B60">
        <v>2.25</v>
      </c>
      <c r="C60">
        <v>1.26</v>
      </c>
      <c r="D60">
        <v>1.78</v>
      </c>
      <c r="E60">
        <v>1.62</v>
      </c>
      <c r="F60">
        <v>10.79</v>
      </c>
      <c r="G60">
        <v>-7.64</v>
      </c>
      <c r="H60">
        <v>0</v>
      </c>
      <c r="I60">
        <v>-0.15</v>
      </c>
      <c r="J60">
        <v>-1.57</v>
      </c>
      <c r="K60">
        <v>4.63</v>
      </c>
      <c r="L60">
        <v>3.21</v>
      </c>
      <c r="M60">
        <v>4.93</v>
      </c>
    </row>
    <row r="61" spans="1:13" x14ac:dyDescent="0.2">
      <c r="A61" s="11">
        <v>45748</v>
      </c>
      <c r="B61">
        <v>0.85</v>
      </c>
      <c r="C61">
        <v>-0.91</v>
      </c>
      <c r="D61">
        <v>0.3</v>
      </c>
      <c r="E61">
        <v>1.52</v>
      </c>
      <c r="F61">
        <v>1.79</v>
      </c>
      <c r="G61">
        <v>-15.55</v>
      </c>
      <c r="H61">
        <v>-3.76</v>
      </c>
      <c r="I61">
        <v>0.15</v>
      </c>
      <c r="J61">
        <v>-5.58</v>
      </c>
      <c r="K61">
        <v>-0.92</v>
      </c>
      <c r="L61">
        <v>2.62</v>
      </c>
      <c r="M61">
        <v>3.3</v>
      </c>
    </row>
    <row r="62" spans="1:13" x14ac:dyDescent="0.2">
      <c r="A62" s="11">
        <v>45778</v>
      </c>
      <c r="B62">
        <v>0.13</v>
      </c>
      <c r="C62">
        <v>-1.75</v>
      </c>
      <c r="D62">
        <v>-1.25</v>
      </c>
      <c r="E62">
        <v>1.28</v>
      </c>
      <c r="F62">
        <v>0.56999999999999995</v>
      </c>
      <c r="G62">
        <v>-11.54</v>
      </c>
      <c r="H62">
        <v>-4.8</v>
      </c>
      <c r="I62">
        <v>0.66</v>
      </c>
      <c r="J62">
        <v>-8.09</v>
      </c>
      <c r="K62">
        <v>1.62</v>
      </c>
      <c r="L62">
        <v>2.11</v>
      </c>
      <c r="M62">
        <v>1.93</v>
      </c>
    </row>
    <row r="63" spans="1:13" x14ac:dyDescent="0.2">
      <c r="A63" s="11">
        <v>45809</v>
      </c>
      <c r="B63">
        <v>-0.19</v>
      </c>
      <c r="C63">
        <v>-3.22</v>
      </c>
      <c r="D63">
        <v>-3.65</v>
      </c>
      <c r="E63">
        <v>2.16</v>
      </c>
      <c r="F63">
        <v>-0.35</v>
      </c>
      <c r="G63">
        <v>-10.77</v>
      </c>
      <c r="H63">
        <v>-3.13</v>
      </c>
      <c r="I63">
        <v>0.66</v>
      </c>
      <c r="J63">
        <v>-5.78</v>
      </c>
      <c r="K63">
        <v>1.89</v>
      </c>
      <c r="L63">
        <v>1.9</v>
      </c>
      <c r="M63">
        <v>-0.26</v>
      </c>
    </row>
    <row r="64" spans="1:13" x14ac:dyDescent="0.2">
      <c r="A64" s="11">
        <v>45839</v>
      </c>
      <c r="B64">
        <v>-0.57999999999999996</v>
      </c>
      <c r="C64">
        <v>-4.95</v>
      </c>
      <c r="D64">
        <v>-6.29</v>
      </c>
      <c r="E64">
        <v>3.4</v>
      </c>
      <c r="F64">
        <v>1.06</v>
      </c>
      <c r="G64">
        <v>-11.15</v>
      </c>
      <c r="H64">
        <v>-2.4300000000000002</v>
      </c>
      <c r="I64">
        <v>0.52</v>
      </c>
      <c r="J64">
        <v>-4.96</v>
      </c>
      <c r="K64">
        <v>3.31</v>
      </c>
      <c r="L64">
        <v>2.0499999999999998</v>
      </c>
      <c r="M64">
        <v>-2.15</v>
      </c>
    </row>
    <row r="65" spans="1:13" x14ac:dyDescent="0.2">
      <c r="A65" s="11">
        <v>45870</v>
      </c>
      <c r="B65">
        <v>0.52</v>
      </c>
      <c r="C65">
        <v>-2.1</v>
      </c>
      <c r="D65">
        <v>-3.06</v>
      </c>
      <c r="E65">
        <v>5.56</v>
      </c>
      <c r="F65">
        <v>3.3</v>
      </c>
      <c r="G65">
        <v>-9.8699999999999992</v>
      </c>
      <c r="H65">
        <v>-3.17</v>
      </c>
      <c r="I65">
        <v>0.52</v>
      </c>
      <c r="J65">
        <v>-4.72</v>
      </c>
      <c r="K65">
        <v>-1.1100000000000001</v>
      </c>
      <c r="L65">
        <v>2.5499999999999998</v>
      </c>
      <c r="M65">
        <v>0.21</v>
      </c>
    </row>
    <row r="66" spans="1:13" x14ac:dyDescent="0.2">
      <c r="A66" s="11"/>
    </row>
    <row r="67" spans="1:13" x14ac:dyDescent="0.2">
      <c r="A67" t="s">
        <v>285</v>
      </c>
      <c r="B67" t="s">
        <v>1389</v>
      </c>
      <c r="C67" t="s">
        <v>1389</v>
      </c>
      <c r="D67" t="s">
        <v>1389</v>
      </c>
      <c r="E67" t="s">
        <v>1389</v>
      </c>
      <c r="F67" t="s">
        <v>1389</v>
      </c>
      <c r="G67" t="s">
        <v>1389</v>
      </c>
      <c r="H67" t="s">
        <v>1389</v>
      </c>
      <c r="I67" t="s">
        <v>1389</v>
      </c>
      <c r="J67" t="s">
        <v>1389</v>
      </c>
      <c r="K67" t="s">
        <v>1389</v>
      </c>
      <c r="L67" t="s">
        <v>1389</v>
      </c>
      <c r="M67" t="s">
        <v>1389</v>
      </c>
    </row>
    <row r="68" spans="1:13" x14ac:dyDescent="0.2">
      <c r="A68" t="s">
        <v>9</v>
      </c>
      <c r="B68">
        <v>11.82</v>
      </c>
      <c r="C68">
        <v>8</v>
      </c>
      <c r="D68">
        <v>2.2400000000000002</v>
      </c>
      <c r="E68">
        <v>20.86</v>
      </c>
      <c r="F68">
        <v>13.68</v>
      </c>
      <c r="G68">
        <v>50.66</v>
      </c>
      <c r="H68">
        <v>28.31</v>
      </c>
      <c r="I68">
        <v>0.79</v>
      </c>
      <c r="J68">
        <v>58.37</v>
      </c>
      <c r="K68">
        <v>-0.99</v>
      </c>
      <c r="L68">
        <v>10.93</v>
      </c>
      <c r="M68">
        <v>6.12</v>
      </c>
    </row>
    <row r="69" spans="1:13" x14ac:dyDescent="0.2">
      <c r="A69" t="s">
        <v>11</v>
      </c>
      <c r="B69">
        <v>14.94</v>
      </c>
      <c r="C69">
        <v>16.420000000000002</v>
      </c>
      <c r="D69">
        <v>11.45</v>
      </c>
      <c r="E69">
        <v>17.309999999999999</v>
      </c>
      <c r="F69">
        <v>10.89</v>
      </c>
      <c r="G69">
        <v>70.27</v>
      </c>
      <c r="H69">
        <v>43.59</v>
      </c>
      <c r="I69">
        <v>3.26</v>
      </c>
      <c r="J69">
        <v>62.36</v>
      </c>
      <c r="K69">
        <v>25.72</v>
      </c>
      <c r="L69">
        <v>9.34</v>
      </c>
      <c r="M69">
        <v>10.17</v>
      </c>
    </row>
    <row r="70" spans="1:13" x14ac:dyDescent="0.2">
      <c r="A70" t="s">
        <v>1270</v>
      </c>
      <c r="B70">
        <v>-2.0699999999999998</v>
      </c>
      <c r="C70">
        <v>2.37</v>
      </c>
      <c r="D70">
        <v>6.68</v>
      </c>
      <c r="E70">
        <v>-7.7</v>
      </c>
      <c r="F70">
        <v>5.16</v>
      </c>
      <c r="G70">
        <v>-10.25</v>
      </c>
      <c r="H70">
        <v>-8.1300000000000008</v>
      </c>
      <c r="I70">
        <v>3.74</v>
      </c>
      <c r="J70">
        <v>-14.29</v>
      </c>
      <c r="K70">
        <v>5.68</v>
      </c>
      <c r="L70">
        <v>-2.6</v>
      </c>
      <c r="M70">
        <v>2.41</v>
      </c>
    </row>
    <row r="71" spans="1:13" x14ac:dyDescent="0.2">
      <c r="A71" t="s">
        <v>1390</v>
      </c>
      <c r="B71">
        <v>2.14</v>
      </c>
      <c r="C71">
        <v>5.42</v>
      </c>
      <c r="D71">
        <v>6.97</v>
      </c>
      <c r="E71">
        <v>-2.68</v>
      </c>
      <c r="F71">
        <v>6.29</v>
      </c>
      <c r="G71">
        <v>7.5</v>
      </c>
      <c r="H71">
        <v>0.39</v>
      </c>
      <c r="I71">
        <v>-0.56000000000000005</v>
      </c>
      <c r="J71">
        <v>1.39</v>
      </c>
      <c r="K71">
        <v>-1.91</v>
      </c>
      <c r="L71">
        <v>0.98</v>
      </c>
      <c r="M71">
        <v>5.84</v>
      </c>
    </row>
    <row r="72" spans="1:13" x14ac:dyDescent="0.2">
      <c r="A72" t="s">
        <v>1391</v>
      </c>
      <c r="B72">
        <v>0.14000000000000001</v>
      </c>
      <c r="C72">
        <v>-2.61</v>
      </c>
      <c r="D72">
        <v>-2.85</v>
      </c>
      <c r="E72">
        <v>2.8</v>
      </c>
      <c r="F72">
        <v>1.27</v>
      </c>
      <c r="G72">
        <v>-11.81</v>
      </c>
      <c r="H72">
        <v>-3.46</v>
      </c>
      <c r="I72">
        <v>0.5</v>
      </c>
      <c r="J72">
        <v>-5.83</v>
      </c>
      <c r="K72">
        <v>0.93</v>
      </c>
      <c r="L72">
        <v>2.25</v>
      </c>
      <c r="M72">
        <v>0.56999999999999995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opLeftCell="A63" workbookViewId="0">
      <selection activeCell="K83" sqref="K83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1400</v>
      </c>
      <c r="H5" t="s">
        <v>1401</v>
      </c>
      <c r="I5" t="s">
        <v>1401</v>
      </c>
      <c r="J5" t="s">
        <v>1401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28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222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25"/>
  <sheetViews>
    <sheetView workbookViewId="0">
      <selection activeCell="C25" sqref="C25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 t="shared" ref="C2:C18" si="0">B2/10^12</f>
        <v>20.529499999999999</v>
      </c>
      <c r="D2" s="18">
        <f t="shared" ref="D2:D18" si="1">E2*10^(12)</f>
        <v>25462730000000</v>
      </c>
      <c r="E2">
        <v>25.462730000000001</v>
      </c>
      <c r="F2" s="15">
        <v>29184890000000</v>
      </c>
      <c r="G2">
        <f t="shared" ref="G2:G18" si="2">F2/(10^12)</f>
        <v>29.184889999999999</v>
      </c>
    </row>
    <row r="3" spans="1:7" x14ac:dyDescent="0.2">
      <c r="A3" t="s">
        <v>569</v>
      </c>
      <c r="B3" s="18">
        <v>15801900000000</v>
      </c>
      <c r="C3" s="15">
        <f t="shared" si="0"/>
        <v>15.8019</v>
      </c>
      <c r="D3" s="18">
        <f t="shared" si="1"/>
        <v>17886330000000</v>
      </c>
      <c r="E3">
        <v>17.886330000000001</v>
      </c>
      <c r="F3" s="15">
        <v>18743803170827.164</v>
      </c>
      <c r="G3">
        <f t="shared" si="2"/>
        <v>18.743803170827164</v>
      </c>
    </row>
    <row r="4" spans="1:7" x14ac:dyDescent="0.2">
      <c r="A4" t="s">
        <v>647</v>
      </c>
      <c r="B4" s="18">
        <v>4435430000000</v>
      </c>
      <c r="C4" s="15">
        <f t="shared" si="0"/>
        <v>4.4354300000000002</v>
      </c>
      <c r="D4" s="18">
        <f t="shared" si="1"/>
        <v>4237529999999.9995</v>
      </c>
      <c r="E4">
        <v>4.2375299999999996</v>
      </c>
      <c r="F4" s="15">
        <v>4659929336890.624</v>
      </c>
      <c r="G4">
        <f t="shared" si="2"/>
        <v>4.6599293368906238</v>
      </c>
    </row>
    <row r="5" spans="1:7" x14ac:dyDescent="0.2">
      <c r="A5" t="s">
        <v>584</v>
      </c>
      <c r="B5" s="18">
        <v>3554680000000</v>
      </c>
      <c r="C5" s="15">
        <f t="shared" si="0"/>
        <v>3.5546799999999998</v>
      </c>
      <c r="D5" s="18">
        <f t="shared" si="1"/>
        <v>4085680000000</v>
      </c>
      <c r="E5">
        <v>4.08568</v>
      </c>
      <c r="F5" s="15">
        <v>4026210821146.8076</v>
      </c>
      <c r="G5">
        <f t="shared" si="2"/>
        <v>4.0262108211468073</v>
      </c>
    </row>
    <row r="6" spans="1:7" x14ac:dyDescent="0.2">
      <c r="A6" t="s">
        <v>524</v>
      </c>
      <c r="B6" s="18">
        <v>2726370000000</v>
      </c>
      <c r="C6" s="15">
        <f t="shared" si="0"/>
        <v>2.7263700000000002</v>
      </c>
      <c r="D6" s="18">
        <f t="shared" si="1"/>
        <v>3389690000000</v>
      </c>
      <c r="E6">
        <v>3.3896899999999999</v>
      </c>
      <c r="F6" s="15">
        <v>3912686168582.2144</v>
      </c>
      <c r="G6">
        <f t="shared" si="2"/>
        <v>3.9126861685822143</v>
      </c>
    </row>
    <row r="7" spans="1:7" x14ac:dyDescent="0.2">
      <c r="A7" t="s">
        <v>610</v>
      </c>
      <c r="B7" s="18">
        <v>3036530000000</v>
      </c>
      <c r="C7" s="15">
        <f t="shared" si="0"/>
        <v>3.03653</v>
      </c>
      <c r="D7" s="18">
        <f t="shared" si="1"/>
        <v>3081870000000</v>
      </c>
      <c r="E7">
        <v>3.0818699999999999</v>
      </c>
      <c r="F7" s="15">
        <v>3643834188782.9146</v>
      </c>
      <c r="G7">
        <f t="shared" si="2"/>
        <v>3.6438341887829147</v>
      </c>
    </row>
    <row r="8" spans="1:7" x14ac:dyDescent="0.2">
      <c r="A8" t="s">
        <v>606</v>
      </c>
      <c r="B8" s="18">
        <v>2577600000000</v>
      </c>
      <c r="C8" s="15">
        <f t="shared" si="0"/>
        <v>2.5775999999999999</v>
      </c>
      <c r="D8" s="18">
        <f t="shared" si="1"/>
        <v>2780140000000</v>
      </c>
      <c r="E8">
        <v>2.7801399999999998</v>
      </c>
      <c r="F8" s="15">
        <v>3162079073495.7808</v>
      </c>
      <c r="G8">
        <f t="shared" si="2"/>
        <v>3.1620790734957809</v>
      </c>
    </row>
    <row r="9" spans="1:7" x14ac:dyDescent="0.2">
      <c r="A9" t="s">
        <v>1145</v>
      </c>
      <c r="B9" s="18">
        <v>1490190000000</v>
      </c>
      <c r="C9" s="15">
        <f t="shared" si="0"/>
        <v>1.4901899999999999</v>
      </c>
      <c r="D9" s="18">
        <f t="shared" si="1"/>
        <v>2244250000000</v>
      </c>
      <c r="E9">
        <v>2.2442500000000001</v>
      </c>
      <c r="F9" s="15">
        <v>2372774547793.1245</v>
      </c>
      <c r="G9">
        <f t="shared" si="2"/>
        <v>2.3727745477931244</v>
      </c>
    </row>
    <row r="10" spans="1:7" x14ac:dyDescent="0.2">
      <c r="A10" t="s">
        <v>564</v>
      </c>
      <c r="B10" s="18">
        <v>1680390000000</v>
      </c>
      <c r="C10" s="15">
        <f t="shared" si="0"/>
        <v>1.6803900000000001</v>
      </c>
      <c r="D10" s="18">
        <f t="shared" si="1"/>
        <v>2137940000000</v>
      </c>
      <c r="E10">
        <v>2.13794</v>
      </c>
      <c r="F10" s="15">
        <v>2241253230970.3394</v>
      </c>
      <c r="G10">
        <f t="shared" si="2"/>
        <v>2.2412532309703392</v>
      </c>
    </row>
    <row r="11" spans="1:7" x14ac:dyDescent="0.2">
      <c r="A11" t="s">
        <v>644</v>
      </c>
      <c r="B11" s="18">
        <v>1862310000000</v>
      </c>
      <c r="C11" s="15">
        <f t="shared" si="0"/>
        <v>1.8623099999999999</v>
      </c>
      <c r="D11" s="18">
        <f t="shared" si="1"/>
        <v>2012010000000</v>
      </c>
      <c r="E11">
        <v>2.0120100000000001</v>
      </c>
      <c r="F11" s="15">
        <v>2179412080828.5867</v>
      </c>
      <c r="G11">
        <f t="shared" si="2"/>
        <v>2.1794120808285866</v>
      </c>
    </row>
    <row r="12" spans="1:7" x14ac:dyDescent="0.2">
      <c r="A12" t="s">
        <v>558</v>
      </c>
      <c r="B12" s="18">
        <v>1829900000000</v>
      </c>
      <c r="C12" s="15">
        <f t="shared" si="0"/>
        <v>1.8299000000000001</v>
      </c>
      <c r="D12" s="18">
        <f t="shared" si="1"/>
        <v>1920020000000</v>
      </c>
      <c r="E12">
        <v>1.9200200000000001</v>
      </c>
      <c r="F12" s="15">
        <v>2173835806671.656</v>
      </c>
      <c r="G12">
        <f t="shared" si="2"/>
        <v>2.1738358066716561</v>
      </c>
    </row>
    <row r="13" spans="1:7" x14ac:dyDescent="0.2">
      <c r="A13" t="s">
        <v>542</v>
      </c>
      <c r="B13" s="18">
        <v>1524360000000</v>
      </c>
      <c r="C13" s="15">
        <f t="shared" si="0"/>
        <v>1.5243599999999999</v>
      </c>
      <c r="D13" s="18">
        <f t="shared" si="1"/>
        <v>1702550000000</v>
      </c>
      <c r="E13">
        <v>1.70255</v>
      </c>
      <c r="F13" s="15">
        <v>1852722885258.1101</v>
      </c>
      <c r="G13">
        <f t="shared" si="2"/>
        <v>1.8527228852581101</v>
      </c>
    </row>
    <row r="14" spans="1:7" x14ac:dyDescent="0.2">
      <c r="A14" t="s">
        <v>682</v>
      </c>
      <c r="B14" s="18">
        <v>1206920000000</v>
      </c>
      <c r="C14" s="15">
        <f t="shared" si="0"/>
        <v>1.20692</v>
      </c>
      <c r="D14" s="18">
        <f t="shared" si="1"/>
        <v>1465849999999.9998</v>
      </c>
      <c r="E14">
        <v>1.4658499999999999</v>
      </c>
      <c r="F14" s="15">
        <v>1752193307380.3433</v>
      </c>
      <c r="G14">
        <f t="shared" si="2"/>
        <v>1.7521933073803433</v>
      </c>
    </row>
    <row r="15" spans="1:7" x14ac:dyDescent="0.2">
      <c r="A15" t="s">
        <v>599</v>
      </c>
      <c r="B15" s="18">
        <v>1238780000000</v>
      </c>
      <c r="C15" s="15">
        <f t="shared" si="0"/>
        <v>1.23878</v>
      </c>
      <c r="D15" s="18">
        <f t="shared" si="1"/>
        <v>1418920000000.0002</v>
      </c>
      <c r="E15">
        <v>1.4189200000000002</v>
      </c>
      <c r="F15" s="15">
        <v>1722745978335.156</v>
      </c>
      <c r="G15">
        <f t="shared" si="2"/>
        <v>1.722745978335156</v>
      </c>
    </row>
    <row r="16" spans="1:7" x14ac:dyDescent="0.2">
      <c r="A16" t="s">
        <v>1386</v>
      </c>
      <c r="B16" s="18">
        <v>1693640000000</v>
      </c>
      <c r="C16" s="15">
        <f t="shared" si="0"/>
        <v>1.69364</v>
      </c>
      <c r="D16" s="18">
        <f t="shared" si="1"/>
        <v>1673920000000</v>
      </c>
      <c r="E16">
        <v>1.6739200000000001</v>
      </c>
      <c r="F16" s="15">
        <v>1712792854202.3701</v>
      </c>
      <c r="G16">
        <f t="shared" si="2"/>
        <v>1.71279285420237</v>
      </c>
    </row>
    <row r="17" spans="1:7" x14ac:dyDescent="0.2">
      <c r="A17" t="s">
        <v>635</v>
      </c>
      <c r="B17" s="18">
        <v>1065590000000</v>
      </c>
      <c r="C17" s="15">
        <f t="shared" si="0"/>
        <v>1.06559</v>
      </c>
      <c r="D17" s="18">
        <f t="shared" si="1"/>
        <v>1318810000000</v>
      </c>
      <c r="E17">
        <v>1.31881</v>
      </c>
      <c r="F17" s="15">
        <v>1396300098190.9734</v>
      </c>
      <c r="G17">
        <f t="shared" si="2"/>
        <v>1.3963000981909734</v>
      </c>
    </row>
    <row r="18" spans="1:7" x14ac:dyDescent="0.2">
      <c r="A18" t="s">
        <v>1146</v>
      </c>
      <c r="B18" s="18">
        <v>1131040000000</v>
      </c>
      <c r="C18" s="15">
        <f t="shared" si="0"/>
        <v>1.13104</v>
      </c>
      <c r="D18" s="18">
        <f t="shared" si="1"/>
        <v>905840000000</v>
      </c>
      <c r="E18">
        <v>0.90583999999999998</v>
      </c>
      <c r="F18" s="15">
        <v>1323254808058.7441</v>
      </c>
      <c r="G18">
        <f t="shared" si="2"/>
        <v>1.3232548080587441</v>
      </c>
    </row>
    <row r="25" spans="1:7" x14ac:dyDescent="0.2">
      <c r="A25" t="s">
        <v>1412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38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N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18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N2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topLeftCell="A2"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GCF-Financing</vt:lpstr>
      <vt:lpstr>RBI-Rates</vt:lpstr>
      <vt:lpstr>WPI-Inflation</vt:lpstr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2025-10-13T17:45:37Z</dcterms:modified>
</cp:coreProperties>
</file>