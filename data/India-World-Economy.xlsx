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4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29" documentId="8_{28FFCAC0-0054-E748-A16F-43803246E076}" xr6:coauthVersionLast="47" xr6:coauthVersionMax="47" xr10:uidLastSave="{5FDA64FA-7F86-DB46-A31F-DA4C39C98868}"/>
  <bookViews>
    <workbookView xWindow="0" yWindow="500" windowWidth="38400" windowHeight="18980" xr2:uid="{76B7034E-9A87-8443-BB0E-07AC5642BFDE}"/>
  </bookViews>
  <sheets>
    <sheet name="CPI-Level" sheetId="46" r:id="rId1"/>
    <sheet name="CPI-Inflation" sheetId="45" r:id="rId2"/>
    <sheet name="REER-CPI" sheetId="43" r:id="rId3"/>
    <sheet name="Textile-Apparel-Imports" sheetId="42" r:id="rId4"/>
    <sheet name="Textile-Apparel-Exports" sheetId="41" r:id="rId5"/>
    <sheet name="Trade Balance" sheetId="40" r:id="rId6"/>
    <sheet name="WPI-Textiles" sheetId="39" r:id="rId7"/>
    <sheet name="Inflation-Clothing" sheetId="38" r:id="rId8"/>
    <sheet name="InstitutionalCredit-Industry" sheetId="37" r:id="rId9"/>
    <sheet name="GDP growth rate" sheetId="28" r:id="rId10"/>
    <sheet name="country-code" sheetId="30" r:id="rId11"/>
    <sheet name="GDP-Per Cap" sheetId="29" r:id="rId12"/>
    <sheet name="GDP-10-ConstUSD" sheetId="27" r:id="rId13"/>
    <sheet name="IIP" sheetId="16" r:id="rId14"/>
    <sheet name="ASI-Tex-Apparel" sheetId="35" r:id="rId15"/>
    <sheet name="IIP-Textiles-Apparel" sheetId="32" r:id="rId16"/>
    <sheet name="OBICUS-Order-Books" sheetId="34" r:id="rId17"/>
    <sheet name="OBICUS-Survey" sheetId="17" r:id="rId18"/>
    <sheet name="RCA - Textiles" sheetId="36" r:id="rId19"/>
    <sheet name="BOP-FinAcct" sheetId="25" r:id="rId20"/>
    <sheet name="Unemp-rate" sheetId="24" r:id="rId21"/>
    <sheet name="LFPR" sheetId="23" r:id="rId22"/>
    <sheet name="Corp-Gov-vs-Pvt" sheetId="20" r:id="rId23"/>
    <sheet name="Corporate-Pvt-Perf" sheetId="21" r:id="rId24"/>
    <sheet name="Corporate-Gov-Perf" sheetId="19" r:id="rId25"/>
    <sheet name="Corp-Fin-Perf" sheetId="18" r:id="rId26"/>
    <sheet name="CG-Tax-Rev" sheetId="15" r:id="rId27"/>
    <sheet name="CG-Deficit-Financing" sheetId="14" r:id="rId28"/>
    <sheet name="Power SourcesCoal_x000a__x000a_203,775_x000a__x000a_49." sheetId="31" r:id="rId29"/>
    <sheet name="C-GOVT-FINANCES" sheetId="13" r:id="rId30"/>
    <sheet name="House-Price-Index" sheetId="11" r:id="rId31"/>
    <sheet name="WPI" sheetId="10" r:id="rId32"/>
    <sheet name="GCF-Financing" sheetId="8" r:id="rId33"/>
    <sheet name="GCF-Public &amp; Private" sheetId="7" r:id="rId34"/>
    <sheet name="GVA" sheetId="6" r:id="rId35"/>
    <sheet name="GDP-Nominal" sheetId="4" r:id="rId36"/>
    <sheet name="GDp-Components" sheetId="5" r:id="rId37"/>
    <sheet name="CPI" sheetId="2" r:id="rId38"/>
    <sheet name="GDP Projection" sheetId="3" r:id="rId39"/>
  </sheets>
  <definedNames>
    <definedName name="_xlnm._FilterDatabase" localSheetId="33" hidden="1">'GCF-Public &amp; Private'!$AC$1:$AC$34</definedName>
    <definedName name="_xlnm._FilterDatabase" localSheetId="34" hidden="1">GVA!$BK$1:$BK$29</definedName>
    <definedName name="_xlchart.v1.0" hidden="1">'GDp-Components'!$A$1:$D$10</definedName>
    <definedName name="_xlchart.v1.1" hidden="1">'GDp-Components'!$E$1:$E$10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<sst xmlns="http://schemas.openxmlformats.org/spreadsheetml/2006/main" count="3972" uniqueCount="1403">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</sst>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1625600</xdr:colOff>
      <xdr:row>8</xdr:row>
      <xdr:rowOff>76206</xdr:rowOff>
    </xdr:from>
    <xdr:to>
      <xdr:col>17</xdr:col>
      <xdr:colOff>546100</xdr:colOff>
      <xdr:row>31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774700</xdr:colOff>
      <xdr:row>0</xdr:row>
      <xdr:rowOff>0</xdr:rowOff>
    </xdr:from>
    <xdr:to>
      <xdr:col>25</xdr:col>
      <xdr:colOff>673100</xdr:colOff>
      <xdr:row>22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abSelected="1" workbookViewId="0">
      <selection activeCell="P7" sqref="P7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271</v>
      </c>
      <c r="B3" t="s">
        <v>1393</v>
      </c>
      <c r="C3" t="s">
        <v>1393</v>
      </c>
      <c r="D3" t="s">
        <v>1393</v>
      </c>
      <c r="E3" t="s">
        <v>1394</v>
      </c>
      <c r="F3" t="s">
        <v>1394</v>
      </c>
      <c r="G3" t="s">
        <v>1394</v>
      </c>
      <c r="H3" t="s">
        <v>1395</v>
      </c>
      <c r="I3" t="s">
        <v>1395</v>
      </c>
      <c r="J3" t="s">
        <v>1395</v>
      </c>
      <c r="K3" t="s">
        <v>1396</v>
      </c>
      <c r="L3" t="s">
        <v>1397</v>
      </c>
      <c r="M3" t="s">
        <v>1398</v>
      </c>
      <c r="N3" t="s">
        <v>1399</v>
      </c>
    </row>
    <row r="4" spans="1:14" x14ac:dyDescent="0.2">
      <c r="A4" t="s">
        <v>55</v>
      </c>
      <c r="B4" t="s">
        <v>1388</v>
      </c>
      <c r="C4" t="s">
        <v>511</v>
      </c>
      <c r="D4" t="s">
        <v>512</v>
      </c>
      <c r="E4" t="s">
        <v>1388</v>
      </c>
      <c r="F4" t="s">
        <v>511</v>
      </c>
      <c r="G4" t="s">
        <v>512</v>
      </c>
      <c r="H4" t="s">
        <v>1388</v>
      </c>
      <c r="I4" t="s">
        <v>511</v>
      </c>
      <c r="J4" t="s">
        <v>512</v>
      </c>
      <c r="K4" t="s">
        <v>1388</v>
      </c>
      <c r="L4" t="s">
        <v>1388</v>
      </c>
      <c r="M4" t="s">
        <v>1388</v>
      </c>
      <c r="N4" t="s">
        <v>1388</v>
      </c>
    </row>
    <row r="5" spans="1:14" x14ac:dyDescent="0.2">
      <c r="A5" t="s">
        <v>284</v>
      </c>
      <c r="B5">
        <v>100</v>
      </c>
      <c r="C5">
        <v>100</v>
      </c>
      <c r="D5">
        <v>100</v>
      </c>
      <c r="E5">
        <v>54.11</v>
      </c>
      <c r="F5">
        <v>64.8</v>
      </c>
      <c r="G5">
        <v>44.81</v>
      </c>
      <c r="H5">
        <v>45.9</v>
      </c>
      <c r="I5">
        <v>35.200000000000003</v>
      </c>
      <c r="J5">
        <v>55.19</v>
      </c>
      <c r="K5">
        <v>51.72</v>
      </c>
      <c r="L5">
        <v>48.29</v>
      </c>
      <c r="M5">
        <v>42.2</v>
      </c>
      <c r="N5">
        <v>57.8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0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170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18"/>
  <sheetViews>
    <sheetView workbookViewId="0">
      <selection activeCell="B21" sqref="B2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>B2/10^12</f>
        <v>20.529499999999999</v>
      </c>
      <c r="D2" s="18">
        <f>E2*10^(12)</f>
        <v>25462730000000</v>
      </c>
      <c r="E2">
        <v>25.462730000000001</v>
      </c>
      <c r="F2" s="15">
        <v>29184890000000</v>
      </c>
      <c r="G2">
        <f>F2/(10^12)</f>
        <v>29.184889999999999</v>
      </c>
    </row>
    <row r="3" spans="1:7" x14ac:dyDescent="0.2">
      <c r="A3" t="s">
        <v>569</v>
      </c>
      <c r="B3" s="18">
        <v>15801900000000</v>
      </c>
      <c r="C3" s="15">
        <f>B3/10^12</f>
        <v>15.8019</v>
      </c>
      <c r="D3" s="18">
        <f>E3*10^(12)</f>
        <v>17886330000000</v>
      </c>
      <c r="E3">
        <v>17.886330000000001</v>
      </c>
      <c r="F3" s="15">
        <v>18743803170827.164</v>
      </c>
      <c r="G3">
        <f>F3/(10^12)</f>
        <v>18.743803170827164</v>
      </c>
    </row>
    <row r="4" spans="1:7" x14ac:dyDescent="0.2">
      <c r="A4" t="s">
        <v>647</v>
      </c>
      <c r="B4" s="18">
        <v>4435430000000</v>
      </c>
      <c r="C4" s="15">
        <f>B4/10^12</f>
        <v>4.4354300000000002</v>
      </c>
      <c r="D4" s="18">
        <f>E4*10^(12)</f>
        <v>4237529999999.9995</v>
      </c>
      <c r="E4">
        <v>4.2375299999999996</v>
      </c>
      <c r="F4" s="15">
        <v>4659929336890.624</v>
      </c>
      <c r="G4">
        <f>F4/(10^12)</f>
        <v>4.6599293368906238</v>
      </c>
    </row>
    <row r="5" spans="1:7" x14ac:dyDescent="0.2">
      <c r="A5" t="s">
        <v>584</v>
      </c>
      <c r="B5" s="18">
        <v>3554680000000</v>
      </c>
      <c r="C5" s="15">
        <f>B5/10^12</f>
        <v>3.5546799999999998</v>
      </c>
      <c r="D5" s="18">
        <f>E5*10^(12)</f>
        <v>4085680000000</v>
      </c>
      <c r="E5">
        <v>4.08568</v>
      </c>
      <c r="F5" s="15">
        <v>4026210821146.8076</v>
      </c>
      <c r="G5">
        <f>F5/(10^12)</f>
        <v>4.0262108211468073</v>
      </c>
    </row>
    <row r="6" spans="1:7" x14ac:dyDescent="0.2">
      <c r="A6" t="s">
        <v>524</v>
      </c>
      <c r="B6" s="18">
        <v>2726370000000</v>
      </c>
      <c r="C6" s="15">
        <f>B6/10^12</f>
        <v>2.7263700000000002</v>
      </c>
      <c r="D6" s="18">
        <f>E6*10^(12)</f>
        <v>3389690000000</v>
      </c>
      <c r="E6">
        <v>3.3896899999999999</v>
      </c>
      <c r="F6" s="15">
        <v>3912686168582.2144</v>
      </c>
      <c r="G6">
        <f>F6/(10^12)</f>
        <v>3.9126861685822143</v>
      </c>
    </row>
    <row r="7" spans="1:7" x14ac:dyDescent="0.2">
      <c r="A7" t="s">
        <v>610</v>
      </c>
      <c r="B7" s="18">
        <v>3036530000000</v>
      </c>
      <c r="C7" s="15">
        <f>B7/10^12</f>
        <v>3.03653</v>
      </c>
      <c r="D7" s="18">
        <f>E7*10^(12)</f>
        <v>3081870000000</v>
      </c>
      <c r="E7">
        <v>3.0818699999999999</v>
      </c>
      <c r="F7" s="15">
        <v>3643834188782.9146</v>
      </c>
      <c r="G7">
        <f>F7/(10^12)</f>
        <v>3.6438341887829147</v>
      </c>
    </row>
    <row r="8" spans="1:7" x14ac:dyDescent="0.2">
      <c r="A8" t="s">
        <v>606</v>
      </c>
      <c r="B8" s="18">
        <v>2577600000000</v>
      </c>
      <c r="C8" s="15">
        <f>B8/10^12</f>
        <v>2.5775999999999999</v>
      </c>
      <c r="D8" s="18">
        <f>E8*10^(12)</f>
        <v>2780140000000</v>
      </c>
      <c r="E8">
        <v>2.7801399999999998</v>
      </c>
      <c r="F8" s="15">
        <v>3162079073495.7808</v>
      </c>
      <c r="G8">
        <f>F8/(10^12)</f>
        <v>3.1620790734957809</v>
      </c>
    </row>
    <row r="9" spans="1:7" x14ac:dyDescent="0.2">
      <c r="A9" t="s">
        <v>1145</v>
      </c>
      <c r="B9" s="18">
        <v>1490190000000</v>
      </c>
      <c r="C9" s="15">
        <f>B9/10^12</f>
        <v>1.4901899999999999</v>
      </c>
      <c r="D9" s="18">
        <f>E9*10^(12)</f>
        <v>2244250000000</v>
      </c>
      <c r="E9">
        <v>2.2442500000000001</v>
      </c>
      <c r="F9" s="15">
        <v>2372774547793.1245</v>
      </c>
      <c r="G9">
        <f>F9/(10^12)</f>
        <v>2.3727745477931244</v>
      </c>
    </row>
    <row r="10" spans="1:7" x14ac:dyDescent="0.2">
      <c r="A10" t="s">
        <v>564</v>
      </c>
      <c r="B10" s="18">
        <v>1680390000000</v>
      </c>
      <c r="C10" s="15">
        <f>B10/10^12</f>
        <v>1.6803900000000001</v>
      </c>
      <c r="D10" s="18">
        <f>E10*10^(12)</f>
        <v>2137940000000</v>
      </c>
      <c r="E10">
        <v>2.13794</v>
      </c>
      <c r="F10" s="15">
        <v>2241253230970.3394</v>
      </c>
      <c r="G10">
        <f>F10/(10^12)</f>
        <v>2.2412532309703392</v>
      </c>
    </row>
    <row r="11" spans="1:7" x14ac:dyDescent="0.2">
      <c r="A11" t="s">
        <v>644</v>
      </c>
      <c r="B11" s="18">
        <v>1862310000000</v>
      </c>
      <c r="C11" s="15">
        <f>B11/10^12</f>
        <v>1.8623099999999999</v>
      </c>
      <c r="D11" s="18">
        <f>E11*10^(12)</f>
        <v>2012010000000</v>
      </c>
      <c r="E11">
        <v>2.0120100000000001</v>
      </c>
      <c r="F11" s="15">
        <v>2179412080828.5867</v>
      </c>
      <c r="G11">
        <f>F11/(10^12)</f>
        <v>2.1794120808285866</v>
      </c>
    </row>
    <row r="12" spans="1:7" x14ac:dyDescent="0.2">
      <c r="A12" t="s">
        <v>558</v>
      </c>
      <c r="B12" s="18">
        <v>1829900000000</v>
      </c>
      <c r="C12" s="15">
        <f>B12/10^12</f>
        <v>1.8299000000000001</v>
      </c>
      <c r="D12" s="18">
        <f>E12*10^(12)</f>
        <v>1920020000000</v>
      </c>
      <c r="E12">
        <v>1.9200200000000001</v>
      </c>
      <c r="F12" s="15">
        <v>2173835806671.656</v>
      </c>
      <c r="G12">
        <f>F12/(10^12)</f>
        <v>2.1738358066716561</v>
      </c>
    </row>
    <row r="13" spans="1:7" x14ac:dyDescent="0.2">
      <c r="A13" t="s">
        <v>542</v>
      </c>
      <c r="B13" s="18">
        <v>1524360000000</v>
      </c>
      <c r="C13" s="15">
        <f>B13/10^12</f>
        <v>1.5243599999999999</v>
      </c>
      <c r="D13" s="18">
        <f>E13*10^(12)</f>
        <v>1702550000000</v>
      </c>
      <c r="E13">
        <v>1.70255</v>
      </c>
      <c r="F13" s="15">
        <v>1852722885258.1101</v>
      </c>
      <c r="G13">
        <f>F13/(10^12)</f>
        <v>1.8527228852581101</v>
      </c>
    </row>
    <row r="14" spans="1:7" x14ac:dyDescent="0.2">
      <c r="A14" t="s">
        <v>682</v>
      </c>
      <c r="B14" s="18">
        <v>1206920000000</v>
      </c>
      <c r="C14" s="15">
        <f>B14/10^12</f>
        <v>1.20692</v>
      </c>
      <c r="D14" s="18">
        <f>E14*10^(12)</f>
        <v>1465849999999.9998</v>
      </c>
      <c r="E14">
        <v>1.4658499999999999</v>
      </c>
      <c r="F14" s="15">
        <v>1752193307380.3433</v>
      </c>
      <c r="G14">
        <f>F14/(10^12)</f>
        <v>1.7521933073803433</v>
      </c>
    </row>
    <row r="15" spans="1:7" x14ac:dyDescent="0.2">
      <c r="A15" t="s">
        <v>599</v>
      </c>
      <c r="B15" s="18">
        <v>1238780000000</v>
      </c>
      <c r="C15" s="15">
        <f>B15/10^12</f>
        <v>1.23878</v>
      </c>
      <c r="D15" s="18">
        <f>E15*10^(12)</f>
        <v>1418920000000.0002</v>
      </c>
      <c r="E15">
        <v>1.4189200000000002</v>
      </c>
      <c r="F15" s="15">
        <v>1722745978335.156</v>
      </c>
      <c r="G15">
        <f>F15/(10^12)</f>
        <v>1.722745978335156</v>
      </c>
    </row>
    <row r="16" spans="1:7" x14ac:dyDescent="0.2">
      <c r="A16" t="s">
        <v>1386</v>
      </c>
      <c r="B16" s="18">
        <v>1693640000000</v>
      </c>
      <c r="C16" s="15">
        <f>B16/10^12</f>
        <v>1.69364</v>
      </c>
      <c r="D16" s="18">
        <f>E16*10^(12)</f>
        <v>1673920000000</v>
      </c>
      <c r="E16">
        <v>1.6739200000000001</v>
      </c>
      <c r="F16" s="15">
        <v>1712792854202.3701</v>
      </c>
      <c r="G16">
        <f>F16/(10^12)</f>
        <v>1.71279285420237</v>
      </c>
    </row>
    <row r="17" spans="1:7" x14ac:dyDescent="0.2">
      <c r="A17" t="s">
        <v>635</v>
      </c>
      <c r="B17" s="18">
        <v>1065590000000</v>
      </c>
      <c r="C17" s="15">
        <f>B17/10^12</f>
        <v>1.06559</v>
      </c>
      <c r="D17" s="18">
        <f>E17*10^(12)</f>
        <v>1318810000000</v>
      </c>
      <c r="E17">
        <v>1.31881</v>
      </c>
      <c r="F17" s="15">
        <v>1396300098190.9734</v>
      </c>
      <c r="G17">
        <f>F17/(10^12)</f>
        <v>1.3963000981909734</v>
      </c>
    </row>
    <row r="18" spans="1:7" x14ac:dyDescent="0.2">
      <c r="A18" t="s">
        <v>1146</v>
      </c>
      <c r="B18" s="18">
        <v>1131040000000</v>
      </c>
      <c r="C18" s="15">
        <f>B18/10^12</f>
        <v>1.13104</v>
      </c>
      <c r="D18" s="18">
        <f>E18*10^(12)</f>
        <v>905840000000</v>
      </c>
      <c r="E18">
        <v>0.90583999999999998</v>
      </c>
      <c r="F18" s="15">
        <v>1323254808058.7441</v>
      </c>
      <c r="G18">
        <f>F18/(10^12)</f>
        <v>1.3232548080587441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51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M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21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topLeftCell="A12" workbookViewId="0">
      <selection activeCell="L19" sqref="L19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I1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GCF-Financing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2025-10-13T09:45:37Z</dcterms:modified>
</cp:coreProperties>
</file>